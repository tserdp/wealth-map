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starfishedge-my.sharepoint.com/personal/rene_de_posada_openxops_com/Documents/Documents/002_BUSINESS/Open xOps/WealthMap/"/>
    </mc:Choice>
  </mc:AlternateContent>
  <xr:revisionPtr revIDLastSave="614" documentId="8_{A14AAEA0-95DA-4AFE-8B88-98CC83134C20}" xr6:coauthVersionLast="47" xr6:coauthVersionMax="47" xr10:uidLastSave="{16AAFC91-1872-4767-9A15-E98996A32E9D}"/>
  <bookViews>
    <workbookView xWindow="-96" yWindow="-96" windowWidth="20928" windowHeight="12432" tabRatio="866" activeTab="4" xr2:uid="{6F7E100A-8AE8-400C-B083-CDD478C37FB9}"/>
  </bookViews>
  <sheets>
    <sheet name="Cover" sheetId="39" r:id="rId1"/>
    <sheet name="Projection Data" sheetId="40" r:id="rId2"/>
    <sheet name="Retirement Forecast" sheetId="41" r:id="rId3"/>
    <sheet name="Assumptions" sheetId="42" r:id="rId4"/>
    <sheet name="Social Security" sheetId="4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41" l="1"/>
  <c r="B5" i="41"/>
  <c r="C5" i="41"/>
  <c r="D5" i="41"/>
  <c r="B10" i="41"/>
  <c r="C10" i="41"/>
  <c r="D10" i="41"/>
  <c r="E10" i="41"/>
  <c r="F10" i="41"/>
  <c r="G10" i="41"/>
  <c r="H10" i="41"/>
  <c r="B11" i="41"/>
  <c r="C11" i="41"/>
  <c r="D11" i="41"/>
  <c r="E11" i="41"/>
  <c r="F11" i="41"/>
  <c r="G11" i="41"/>
  <c r="H11" i="41"/>
  <c r="B12" i="41"/>
  <c r="C12" i="41"/>
  <c r="D12" i="41"/>
  <c r="E12" i="41"/>
  <c r="F12" i="41"/>
  <c r="G12" i="41"/>
  <c r="H12" i="41"/>
  <c r="B13" i="41"/>
  <c r="C13" i="41"/>
  <c r="D13" i="41"/>
  <c r="E13" i="41"/>
  <c r="F13" i="41"/>
  <c r="G13" i="41"/>
  <c r="H13" i="41"/>
  <c r="B14" i="41"/>
  <c r="C14" i="41"/>
  <c r="D14" i="41"/>
  <c r="E14" i="41"/>
  <c r="F14" i="41"/>
  <c r="G14" i="41"/>
  <c r="H14" i="41"/>
  <c r="B15" i="41"/>
  <c r="C15" i="41"/>
  <c r="D15" i="41"/>
  <c r="E15" i="41"/>
  <c r="F15" i="41"/>
  <c r="G15" i="41"/>
  <c r="H15" i="41"/>
  <c r="B16" i="41"/>
  <c r="C16" i="41"/>
  <c r="D16" i="41"/>
  <c r="E16" i="41"/>
  <c r="F16" i="41"/>
  <c r="G16" i="41"/>
  <c r="H16" i="41"/>
  <c r="B17" i="41"/>
  <c r="C17" i="41"/>
  <c r="D17" i="41"/>
  <c r="E17" i="41"/>
  <c r="F17" i="41"/>
  <c r="G17" i="41"/>
  <c r="H17" i="41"/>
  <c r="A20" i="41"/>
  <c r="A21" i="41"/>
  <c r="A22" i="41"/>
  <c r="D2" i="40"/>
  <c r="E2" i="40"/>
  <c r="F2" i="40"/>
  <c r="G2" i="40"/>
  <c r="H2" i="40"/>
  <c r="I2" i="40"/>
  <c r="I8" i="40" s="1"/>
  <c r="J2" i="40"/>
  <c r="J8" i="40" s="1"/>
  <c r="K2" i="40"/>
  <c r="L2" i="40"/>
  <c r="M2" i="40"/>
  <c r="N2" i="40"/>
  <c r="O2" i="40"/>
  <c r="P2" i="40"/>
  <c r="Q2" i="40"/>
  <c r="Q7" i="40" s="1"/>
  <c r="R2" i="40"/>
  <c r="R8" i="40" s="1"/>
  <c r="R12" i="40" s="1"/>
  <c r="S2" i="40"/>
  <c r="S8" i="40" s="1"/>
  <c r="S12" i="40" s="1"/>
  <c r="T2" i="40"/>
  <c r="U2" i="40"/>
  <c r="V2" i="40"/>
  <c r="W2" i="40"/>
  <c r="X2" i="40"/>
  <c r="Y2" i="40"/>
  <c r="Y8" i="40" s="1"/>
  <c r="Y12" i="40" s="1"/>
  <c r="Z2" i="40"/>
  <c r="Z8" i="40" s="1"/>
  <c r="Z12" i="40" s="1"/>
  <c r="AA2" i="40"/>
  <c r="AB2" i="40"/>
  <c r="AC2" i="40"/>
  <c r="AD2" i="40"/>
  <c r="AE2" i="40"/>
  <c r="AF2" i="40"/>
  <c r="C7" i="40"/>
  <c r="T7" i="40" s="1"/>
  <c r="D7" i="40"/>
  <c r="D21" i="40" s="1"/>
  <c r="E7" i="40"/>
  <c r="D8" i="40"/>
  <c r="E8" i="40"/>
  <c r="E12" i="40" s="1"/>
  <c r="F8" i="40"/>
  <c r="F12" i="40" s="1"/>
  <c r="G8" i="40"/>
  <c r="G12" i="40" s="1"/>
  <c r="H8" i="40"/>
  <c r="H12" i="40" s="1"/>
  <c r="M8" i="40"/>
  <c r="M12" i="40" s="1"/>
  <c r="N8" i="40"/>
  <c r="N12" i="40" s="1"/>
  <c r="O8" i="40"/>
  <c r="O12" i="40" s="1"/>
  <c r="T8" i="40"/>
  <c r="U8" i="40"/>
  <c r="U12" i="40" s="1"/>
  <c r="V8" i="40"/>
  <c r="V12" i="40" s="1"/>
  <c r="W8" i="40"/>
  <c r="W12" i="40" s="1"/>
  <c r="X8" i="40"/>
  <c r="X12" i="40" s="1"/>
  <c r="AC8" i="40"/>
  <c r="AC12" i="40" s="1"/>
  <c r="D12" i="40"/>
  <c r="I12" i="40"/>
  <c r="J12" i="40"/>
  <c r="T12" i="40"/>
  <c r="D17" i="40"/>
  <c r="E17" i="40"/>
  <c r="F17" i="40"/>
  <c r="G17" i="40"/>
  <c r="H17" i="40"/>
  <c r="I17" i="40"/>
  <c r="J17" i="40"/>
  <c r="K17" i="40"/>
  <c r="L17" i="40"/>
  <c r="M17" i="40"/>
  <c r="N17" i="40"/>
  <c r="O17" i="40"/>
  <c r="P17" i="40"/>
  <c r="Q17" i="40"/>
  <c r="R17" i="40"/>
  <c r="S17" i="40"/>
  <c r="T17" i="40"/>
  <c r="U17" i="40"/>
  <c r="V17" i="40"/>
  <c r="W17" i="40"/>
  <c r="X17" i="40"/>
  <c r="Y17" i="40"/>
  <c r="Z17" i="40"/>
  <c r="AA17" i="40"/>
  <c r="AB17" i="40"/>
  <c r="AC17" i="40"/>
  <c r="AD17" i="40"/>
  <c r="AE17" i="40"/>
  <c r="AF17" i="40"/>
  <c r="D27" i="40"/>
  <c r="D28" i="40" s="1"/>
  <c r="A28" i="40"/>
  <c r="C28" i="40"/>
  <c r="J6" i="43"/>
  <c r="I6" i="43"/>
  <c r="H6" i="43"/>
  <c r="G6" i="43"/>
  <c r="F6" i="43"/>
  <c r="F12" i="43" s="1"/>
  <c r="E6" i="43"/>
  <c r="D6" i="43"/>
  <c r="C6" i="43"/>
  <c r="C7" i="43" s="1"/>
  <c r="C8" i="43" s="1"/>
  <c r="B6" i="43"/>
  <c r="B5" i="43"/>
  <c r="C5" i="43"/>
  <c r="D5" i="43"/>
  <c r="E5" i="43"/>
  <c r="F5" i="43"/>
  <c r="G5" i="43"/>
  <c r="H5" i="43"/>
  <c r="H7" i="43" s="1"/>
  <c r="H8" i="43" s="1"/>
  <c r="I5" i="43"/>
  <c r="J5" i="43"/>
  <c r="B11" i="43"/>
  <c r="E12" i="43"/>
  <c r="G10" i="43"/>
  <c r="H10" i="43"/>
  <c r="I10" i="43"/>
  <c r="J10" i="43"/>
  <c r="D9" i="43"/>
  <c r="J9" i="43"/>
  <c r="D10" i="43"/>
  <c r="D11" i="43"/>
  <c r="D12" i="43"/>
  <c r="F10" i="42"/>
  <c r="C34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H13" i="40" l="1"/>
  <c r="H14" i="40" s="1"/>
  <c r="Z13" i="40"/>
  <c r="Z14" i="40" s="1"/>
  <c r="S13" i="40"/>
  <c r="S14" i="40" s="1"/>
  <c r="T15" i="40"/>
  <c r="T16" i="40" s="1"/>
  <c r="T21" i="40"/>
  <c r="P7" i="40"/>
  <c r="K8" i="40"/>
  <c r="K12" i="40" s="1"/>
  <c r="K7" i="40"/>
  <c r="U7" i="40"/>
  <c r="E13" i="40"/>
  <c r="E14" i="40" s="1"/>
  <c r="E15" i="40" s="1"/>
  <c r="E16" i="40" s="1"/>
  <c r="X7" i="40"/>
  <c r="H7" i="40"/>
  <c r="F7" i="40"/>
  <c r="F13" i="40" s="1"/>
  <c r="F14" i="40" s="1"/>
  <c r="V7" i="40"/>
  <c r="G7" i="40"/>
  <c r="G13" i="40" s="1"/>
  <c r="G14" i="40" s="1"/>
  <c r="W7" i="40"/>
  <c r="D15" i="40"/>
  <c r="D16" i="40" s="1"/>
  <c r="D13" i="40"/>
  <c r="D14" i="40" s="1"/>
  <c r="T13" i="40"/>
  <c r="T14" i="40" s="1"/>
  <c r="AF7" i="40"/>
  <c r="O7" i="40"/>
  <c r="AA7" i="40"/>
  <c r="AA8" i="40"/>
  <c r="AA12" i="40" s="1"/>
  <c r="S7" i="40"/>
  <c r="R7" i="40"/>
  <c r="J13" i="40"/>
  <c r="J14" i="40" s="1"/>
  <c r="I13" i="40"/>
  <c r="I14" i="40" s="1"/>
  <c r="E25" i="40"/>
  <c r="F25" i="40" s="1"/>
  <c r="G25" i="40" s="1"/>
  <c r="H25" i="40" s="1"/>
  <c r="I25" i="40" s="1"/>
  <c r="J25" i="40" s="1"/>
  <c r="K25" i="40" s="1"/>
  <c r="L25" i="40" s="1"/>
  <c r="L8" i="40"/>
  <c r="L12" i="40" s="1"/>
  <c r="L7" i="40"/>
  <c r="AC7" i="40"/>
  <c r="E26" i="40"/>
  <c r="F26" i="40" s="1"/>
  <c r="G26" i="40" s="1"/>
  <c r="H26" i="40" s="1"/>
  <c r="I26" i="40" s="1"/>
  <c r="J26" i="40" s="1"/>
  <c r="K26" i="40" s="1"/>
  <c r="L26" i="40" s="1"/>
  <c r="M26" i="40" s="1"/>
  <c r="N26" i="40" s="1"/>
  <c r="O26" i="40" s="1"/>
  <c r="P26" i="40" s="1"/>
  <c r="Q26" i="40" s="1"/>
  <c r="R26" i="40" s="1"/>
  <c r="S26" i="40" s="1"/>
  <c r="T26" i="40" s="1"/>
  <c r="U26" i="40" s="1"/>
  <c r="V26" i="40" s="1"/>
  <c r="W26" i="40" s="1"/>
  <c r="X26" i="40" s="1"/>
  <c r="Y26" i="40" s="1"/>
  <c r="Z26" i="40" s="1"/>
  <c r="AA26" i="40" s="1"/>
  <c r="AB26" i="40" s="1"/>
  <c r="AC26" i="40" s="1"/>
  <c r="AD26" i="40" s="1"/>
  <c r="AE26" i="40" s="1"/>
  <c r="AF26" i="40" s="1"/>
  <c r="A26" i="40" s="1"/>
  <c r="E21" i="40"/>
  <c r="Q8" i="40"/>
  <c r="Q12" i="40" s="1"/>
  <c r="N7" i="40"/>
  <c r="N13" i="40" s="1"/>
  <c r="N14" i="40" s="1"/>
  <c r="AB7" i="40"/>
  <c r="AB8" i="40"/>
  <c r="AB12" i="40" s="1"/>
  <c r="AD7" i="40"/>
  <c r="P8" i="40"/>
  <c r="P12" i="40" s="1"/>
  <c r="M7" i="40"/>
  <c r="AE7" i="40"/>
  <c r="Z7" i="40"/>
  <c r="J7" i="40"/>
  <c r="Y7" i="40"/>
  <c r="I7" i="40"/>
  <c r="F7" i="43"/>
  <c r="F8" i="43" s="1"/>
  <c r="E7" i="43"/>
  <c r="E8" i="43" s="1"/>
  <c r="D7" i="43"/>
  <c r="D8" i="43" s="1"/>
  <c r="B7" i="43"/>
  <c r="B8" i="43" s="1"/>
  <c r="E10" i="43"/>
  <c r="I11" i="43"/>
  <c r="B10" i="43"/>
  <c r="H11" i="43"/>
  <c r="G11" i="43"/>
  <c r="I9" i="43"/>
  <c r="F10" i="43"/>
  <c r="C10" i="43"/>
  <c r="E11" i="43"/>
  <c r="F9" i="43"/>
  <c r="C12" i="43"/>
  <c r="B12" i="43"/>
  <c r="J11" i="43"/>
  <c r="F11" i="43"/>
  <c r="H9" i="43"/>
  <c r="J7" i="43"/>
  <c r="J8" i="43" s="1"/>
  <c r="G9" i="43"/>
  <c r="I7" i="43"/>
  <c r="I8" i="43" s="1"/>
  <c r="J12" i="43"/>
  <c r="C11" i="43"/>
  <c r="E9" i="43"/>
  <c r="G7" i="43"/>
  <c r="G8" i="43" s="1"/>
  <c r="C9" i="43"/>
  <c r="B9" i="43"/>
  <c r="H12" i="43"/>
  <c r="G12" i="43"/>
  <c r="I12" i="43"/>
  <c r="E19" i="40" l="1"/>
  <c r="E20" i="40" s="1" a="1"/>
  <c r="E20" i="40" s="1"/>
  <c r="E18" i="40"/>
  <c r="E29" i="40" s="1"/>
  <c r="T19" i="40"/>
  <c r="V20" i="40" s="1" a="1"/>
  <c r="V20" i="40" s="1"/>
  <c r="T18" i="40"/>
  <c r="T29" i="40" s="1"/>
  <c r="D19" i="40"/>
  <c r="D20" i="40" s="1" a="1"/>
  <c r="D20" i="40" s="1"/>
  <c r="D18" i="40"/>
  <c r="U21" i="40"/>
  <c r="M25" i="40"/>
  <c r="N25" i="40" s="1"/>
  <c r="O25" i="40" s="1"/>
  <c r="P25" i="40" s="1"/>
  <c r="Q25" i="40" s="1"/>
  <c r="R25" i="40" s="1"/>
  <c r="S25" i="40" s="1"/>
  <c r="T25" i="40" s="1"/>
  <c r="U25" i="40" s="1"/>
  <c r="V25" i="40" s="1"/>
  <c r="W25" i="40" s="1"/>
  <c r="X25" i="40" s="1"/>
  <c r="Y25" i="40" s="1"/>
  <c r="Z25" i="40" s="1"/>
  <c r="AA25" i="40" s="1"/>
  <c r="AB25" i="40" s="1"/>
  <c r="AC25" i="40" s="1"/>
  <c r="AD25" i="40" s="1"/>
  <c r="K21" i="40"/>
  <c r="K15" i="40"/>
  <c r="K16" i="40" s="1"/>
  <c r="L13" i="40"/>
  <c r="L14" i="40" s="1"/>
  <c r="L15" i="40" s="1"/>
  <c r="L16" i="40" s="1"/>
  <c r="M21" i="40"/>
  <c r="O21" i="40"/>
  <c r="T22" i="40"/>
  <c r="P13" i="40"/>
  <c r="P14" i="40" s="1"/>
  <c r="AB13" i="40"/>
  <c r="AB14" i="40" s="1"/>
  <c r="AB15" i="40" s="1"/>
  <c r="AB16" i="40" s="1"/>
  <c r="U13" i="40"/>
  <c r="U14" i="40" s="1"/>
  <c r="U15" i="40" s="1"/>
  <c r="U16" i="40" s="1"/>
  <c r="K13" i="40"/>
  <c r="K14" i="40" s="1"/>
  <c r="Q21" i="40"/>
  <c r="AB21" i="40"/>
  <c r="R21" i="40"/>
  <c r="O13" i="40"/>
  <c r="O14" i="40" s="1"/>
  <c r="O15" i="40" s="1"/>
  <c r="O16" i="40" s="1"/>
  <c r="I21" i="40"/>
  <c r="I15" i="40"/>
  <c r="I16" i="40" s="1"/>
  <c r="P15" i="40"/>
  <c r="P16" i="40" s="1"/>
  <c r="P21" i="40"/>
  <c r="E22" i="40"/>
  <c r="R13" i="40"/>
  <c r="R14" i="40" s="1"/>
  <c r="R15" i="40" s="1"/>
  <c r="R16" i="40" s="1"/>
  <c r="Y21" i="40"/>
  <c r="Y15" i="40"/>
  <c r="Y16" i="40" s="1"/>
  <c r="AC21" i="40"/>
  <c r="AC13" i="40"/>
  <c r="AC14" i="40" s="1"/>
  <c r="AC15" i="40" s="1"/>
  <c r="AC16" i="40" s="1"/>
  <c r="H15" i="40"/>
  <c r="H16" i="40" s="1"/>
  <c r="H21" i="40"/>
  <c r="Y13" i="40"/>
  <c r="Y14" i="40" s="1"/>
  <c r="W13" i="40"/>
  <c r="W14" i="40" s="1"/>
  <c r="W15" i="40" s="1"/>
  <c r="W16" i="40" s="1"/>
  <c r="W21" i="40"/>
  <c r="G15" i="40"/>
  <c r="G16" i="40" s="1"/>
  <c r="G21" i="40"/>
  <c r="V21" i="40"/>
  <c r="V13" i="40"/>
  <c r="V14" i="40" s="1"/>
  <c r="V15" i="40" s="1"/>
  <c r="V16" i="40" s="1"/>
  <c r="F15" i="40"/>
  <c r="F16" i="40" s="1"/>
  <c r="F21" i="40"/>
  <c r="J15" i="40"/>
  <c r="J16" i="40" s="1"/>
  <c r="J21" i="40"/>
  <c r="AA13" i="40"/>
  <c r="AA14" i="40" s="1"/>
  <c r="AA15" i="40" s="1"/>
  <c r="AA16" i="40" s="1"/>
  <c r="X21" i="40"/>
  <c r="X13" i="40"/>
  <c r="X14" i="40" s="1"/>
  <c r="X15" i="40" s="1"/>
  <c r="X16" i="40" s="1"/>
  <c r="N21" i="40"/>
  <c r="N15" i="40"/>
  <c r="N16" i="40" s="1"/>
  <c r="Q13" i="40"/>
  <c r="Q14" i="40" s="1"/>
  <c r="Q15" i="40" s="1"/>
  <c r="Q16" i="40"/>
  <c r="S21" i="40"/>
  <c r="S15" i="40"/>
  <c r="S16" i="40" s="1"/>
  <c r="Z21" i="40"/>
  <c r="Z15" i="40"/>
  <c r="Z16" i="40" s="1"/>
  <c r="L21" i="40"/>
  <c r="AA21" i="40"/>
  <c r="M13" i="40"/>
  <c r="M14" i="40" s="1"/>
  <c r="M15" i="40" s="1"/>
  <c r="M16" i="40" s="1"/>
  <c r="AB18" i="40" l="1"/>
  <c r="AB29" i="40" s="1"/>
  <c r="AB19" i="40"/>
  <c r="AD20" i="40" s="1" a="1"/>
  <c r="AD20" i="40" s="1"/>
  <c r="L18" i="40"/>
  <c r="L29" i="40" s="1"/>
  <c r="L19" i="40"/>
  <c r="L20" i="40" s="1" a="1"/>
  <c r="L20" i="40" s="1"/>
  <c r="O18" i="40"/>
  <c r="O29" i="40" s="1"/>
  <c r="O19" i="40"/>
  <c r="O20" i="40" s="1" a="1"/>
  <c r="O20" i="40" s="1"/>
  <c r="W18" i="40"/>
  <c r="W29" i="40" s="1"/>
  <c r="W19" i="40"/>
  <c r="Y20" i="40" s="1" a="1"/>
  <c r="Y20" i="40" s="1"/>
  <c r="AC18" i="40"/>
  <c r="AC22" i="40" s="1"/>
  <c r="AC19" i="40"/>
  <c r="AE20" i="40" s="1" a="1"/>
  <c r="AE20" i="40" s="1"/>
  <c r="V19" i="40"/>
  <c r="X20" i="40" s="1" a="1"/>
  <c r="X20" i="40" s="1"/>
  <c r="V18" i="40"/>
  <c r="V29" i="40" s="1"/>
  <c r="AA18" i="40"/>
  <c r="AA29" i="40" s="1"/>
  <c r="AA19" i="40"/>
  <c r="AC20" i="40" s="1" a="1"/>
  <c r="AC20" i="40" s="1"/>
  <c r="R19" i="40"/>
  <c r="R18" i="40"/>
  <c r="R29" i="40"/>
  <c r="K18" i="40"/>
  <c r="K29" i="40"/>
  <c r="K19" i="40"/>
  <c r="K20" i="40" s="1" a="1"/>
  <c r="K20" i="40" s="1"/>
  <c r="P19" i="40"/>
  <c r="P20" i="40" s="1" a="1"/>
  <c r="P20" i="40" s="1"/>
  <c r="P18" i="40"/>
  <c r="P22" i="40" s="1"/>
  <c r="X18" i="40"/>
  <c r="X29" i="40" s="1"/>
  <c r="X19" i="40"/>
  <c r="Z20" i="40" s="1" a="1"/>
  <c r="Z20" i="40" s="1"/>
  <c r="M18" i="40"/>
  <c r="M29" i="40"/>
  <c r="M19" i="40"/>
  <c r="M20" i="40" s="1" a="1"/>
  <c r="M20" i="40" s="1"/>
  <c r="U19" i="40"/>
  <c r="W20" i="40" s="1" a="1"/>
  <c r="W20" i="40" s="1"/>
  <c r="U18" i="40"/>
  <c r="U22" i="40" s="1"/>
  <c r="U29" i="40"/>
  <c r="F19" i="40"/>
  <c r="F20" i="40" s="1" a="1"/>
  <c r="F20" i="40" s="1"/>
  <c r="F18" i="40"/>
  <c r="F22" i="40" s="1"/>
  <c r="F29" i="40"/>
  <c r="D22" i="40"/>
  <c r="O22" i="40"/>
  <c r="D29" i="40"/>
  <c r="R22" i="40"/>
  <c r="Y19" i="40"/>
  <c r="AA20" i="40" s="1" a="1"/>
  <c r="AA20" i="40" s="1"/>
  <c r="Y18" i="40"/>
  <c r="Y29" i="40" s="1"/>
  <c r="S19" i="40"/>
  <c r="S18" i="40"/>
  <c r="S29" i="40" s="1"/>
  <c r="Q19" i="40"/>
  <c r="Q20" i="40" s="1" a="1"/>
  <c r="Q20" i="40" s="1"/>
  <c r="Q18" i="40"/>
  <c r="Q22" i="40" s="1"/>
  <c r="G18" i="40"/>
  <c r="G22" i="40" s="1"/>
  <c r="G19" i="40"/>
  <c r="G20" i="40" s="1" a="1"/>
  <c r="G20" i="40" s="1"/>
  <c r="H22" i="40"/>
  <c r="H23" i="40" s="1"/>
  <c r="M22" i="40"/>
  <c r="Z19" i="40"/>
  <c r="AB20" i="40" s="1" a="1"/>
  <c r="AB20" i="40" s="1"/>
  <c r="Z18" i="40"/>
  <c r="Z22" i="40" s="1"/>
  <c r="V22" i="40"/>
  <c r="H19" i="40"/>
  <c r="H20" i="40" s="1" a="1"/>
  <c r="H20" i="40" s="1"/>
  <c r="H18" i="40"/>
  <c r="H29" i="40" s="1"/>
  <c r="AB22" i="40"/>
  <c r="Y22" i="40"/>
  <c r="I19" i="40"/>
  <c r="I20" i="40" s="1" a="1"/>
  <c r="I20" i="40" s="1"/>
  <c r="I18" i="40"/>
  <c r="I29" i="40" s="1"/>
  <c r="N18" i="40"/>
  <c r="N29" i="40" s="1"/>
  <c r="N19" i="40"/>
  <c r="N20" i="40" s="1" a="1"/>
  <c r="N20" i="40" s="1"/>
  <c r="N22" i="40"/>
  <c r="L22" i="40"/>
  <c r="E23" i="40"/>
  <c r="E30" i="40"/>
  <c r="E24" i="40" s="1"/>
  <c r="T30" i="40"/>
  <c r="T23" i="40"/>
  <c r="AA22" i="40"/>
  <c r="J22" i="40"/>
  <c r="K22" i="40"/>
  <c r="AD8" i="40"/>
  <c r="J19" i="40"/>
  <c r="J20" i="40" s="1" a="1"/>
  <c r="J20" i="40" s="1"/>
  <c r="J18" i="40"/>
  <c r="J29" i="40"/>
  <c r="Q23" i="40" l="1"/>
  <c r="Q30" i="40"/>
  <c r="G30" i="40"/>
  <c r="G23" i="40"/>
  <c r="AC30" i="40"/>
  <c r="AC23" i="40"/>
  <c r="F30" i="40"/>
  <c r="F23" i="40"/>
  <c r="U30" i="40"/>
  <c r="U23" i="40"/>
  <c r="P23" i="40"/>
  <c r="P30" i="40"/>
  <c r="Z23" i="40"/>
  <c r="Z30" i="40"/>
  <c r="Q29" i="40"/>
  <c r="S22" i="40"/>
  <c r="V30" i="40"/>
  <c r="V23" i="40"/>
  <c r="T20" i="40" a="1"/>
  <c r="T20" i="40" s="1"/>
  <c r="R20" i="40" a="1"/>
  <c r="R20" i="40" s="1"/>
  <c r="I22" i="40"/>
  <c r="X22" i="40"/>
  <c r="J23" i="40"/>
  <c r="J30" i="40"/>
  <c r="P29" i="40"/>
  <c r="AA30" i="40"/>
  <c r="AA23" i="40"/>
  <c r="W22" i="40"/>
  <c r="K30" i="40"/>
  <c r="K23" i="40"/>
  <c r="Y23" i="40"/>
  <c r="Y30" i="40"/>
  <c r="R30" i="40"/>
  <c r="R23" i="40"/>
  <c r="AC29" i="40"/>
  <c r="O23" i="40"/>
  <c r="O30" i="40"/>
  <c r="F24" i="40"/>
  <c r="E27" i="40"/>
  <c r="E28" i="40" s="1"/>
  <c r="N23" i="40"/>
  <c r="N30" i="40"/>
  <c r="U20" i="40" a="1"/>
  <c r="U20" i="40" s="1"/>
  <c r="S20" i="40" a="1"/>
  <c r="S20" i="40" s="1"/>
  <c r="AD12" i="40"/>
  <c r="AD21" i="40"/>
  <c r="AB30" i="40"/>
  <c r="AB23" i="40"/>
  <c r="G29" i="40"/>
  <c r="D23" i="40"/>
  <c r="D30" i="40"/>
  <c r="Z29" i="40"/>
  <c r="AE25" i="40"/>
  <c r="L30" i="40"/>
  <c r="L23" i="40"/>
  <c r="M23" i="40"/>
  <c r="M30" i="40"/>
  <c r="X23" i="40" l="1"/>
  <c r="X30" i="40"/>
  <c r="G24" i="40"/>
  <c r="F27" i="40"/>
  <c r="F28" i="40" s="1"/>
  <c r="AE8" i="40"/>
  <c r="AF25" i="40" s="1"/>
  <c r="AD13" i="40"/>
  <c r="AD14" i="40" s="1"/>
  <c r="AD15" i="40" s="1"/>
  <c r="AD16" i="40" s="1"/>
  <c r="W30" i="40"/>
  <c r="W23" i="40"/>
  <c r="I23" i="40"/>
  <c r="I30" i="40"/>
  <c r="S30" i="40"/>
  <c r="S23" i="40"/>
  <c r="AD18" i="40" l="1"/>
  <c r="AD19" i="40"/>
  <c r="AF20" i="40" s="1" a="1"/>
  <c r="AF20" i="40" s="1"/>
  <c r="A25" i="40"/>
  <c r="AF8" i="40"/>
  <c r="AE12" i="40"/>
  <c r="AE21" i="40"/>
  <c r="H24" i="40"/>
  <c r="G27" i="40"/>
  <c r="G28" i="40" s="1"/>
  <c r="H27" i="40" l="1"/>
  <c r="H28" i="40" s="1"/>
  <c r="I24" i="40"/>
  <c r="AF12" i="40"/>
  <c r="AF21" i="40"/>
  <c r="AD22" i="40"/>
  <c r="AE13" i="40"/>
  <c r="AE14" i="40" s="1"/>
  <c r="AE15" i="40" s="1"/>
  <c r="AE16" i="40" s="1"/>
  <c r="AD29" i="40"/>
  <c r="AE18" i="40" l="1"/>
  <c r="AE19" i="40"/>
  <c r="AD23" i="40"/>
  <c r="AD30" i="40"/>
  <c r="AF13" i="40"/>
  <c r="AF14" i="40" s="1"/>
  <c r="AF15" i="40" s="1"/>
  <c r="AF16" i="40" s="1"/>
  <c r="I27" i="40"/>
  <c r="I28" i="40" s="1"/>
  <c r="J24" i="40"/>
  <c r="AF19" i="40" l="1"/>
  <c r="AF18" i="40"/>
  <c r="AF22" i="40" s="1"/>
  <c r="J27" i="40"/>
  <c r="J28" i="40" s="1"/>
  <c r="K24" i="40"/>
  <c r="AE22" i="40"/>
  <c r="AE29" i="40"/>
  <c r="AE23" i="40" l="1"/>
  <c r="AE30" i="40"/>
  <c r="A18" i="40"/>
  <c r="K27" i="40"/>
  <c r="K28" i="40" s="1"/>
  <c r="L24" i="40"/>
  <c r="AF23" i="40"/>
  <c r="AF30" i="40"/>
  <c r="AF29" i="40"/>
  <c r="L27" i="40" l="1"/>
  <c r="L28" i="40" s="1"/>
  <c r="M24" i="40"/>
  <c r="M27" i="40" l="1"/>
  <c r="M28" i="40" s="1"/>
  <c r="N24" i="40"/>
  <c r="N27" i="40" l="1"/>
  <c r="N28" i="40" s="1"/>
  <c r="O24" i="40"/>
  <c r="O27" i="40" l="1"/>
  <c r="O28" i="40" s="1"/>
  <c r="P24" i="40"/>
  <c r="P27" i="40" l="1"/>
  <c r="P28" i="40" s="1"/>
  <c r="Q24" i="40"/>
  <c r="R24" i="40" l="1"/>
  <c r="Q27" i="40"/>
  <c r="Q28" i="40" s="1"/>
  <c r="S24" i="40" l="1"/>
  <c r="R27" i="40"/>
  <c r="R28" i="40" s="1"/>
  <c r="T24" i="40" l="1"/>
  <c r="S27" i="40"/>
  <c r="S28" i="40" s="1"/>
  <c r="U24" i="40" l="1"/>
  <c r="T27" i="40"/>
  <c r="T28" i="40" s="1"/>
  <c r="V24" i="40" l="1"/>
  <c r="U27" i="40"/>
  <c r="U28" i="40" s="1"/>
  <c r="W24" i="40" l="1"/>
  <c r="V27" i="40"/>
  <c r="V28" i="40" s="1"/>
  <c r="X24" i="40" l="1"/>
  <c r="W27" i="40"/>
  <c r="W28" i="40" s="1"/>
  <c r="Y24" i="40" l="1"/>
  <c r="X27" i="40"/>
  <c r="X28" i="40" s="1"/>
  <c r="Z24" i="40" l="1"/>
  <c r="Y27" i="40"/>
  <c r="Y28" i="40" s="1"/>
  <c r="Z27" i="40" l="1"/>
  <c r="Z28" i="40" s="1"/>
  <c r="AA24" i="40"/>
  <c r="AA27" i="40" l="1"/>
  <c r="AA28" i="40" s="1"/>
  <c r="AB24" i="40"/>
  <c r="AB27" i="40" l="1"/>
  <c r="AB28" i="40" s="1"/>
  <c r="AC24" i="40"/>
  <c r="AC27" i="40" l="1"/>
  <c r="AC28" i="40" s="1"/>
  <c r="AD24" i="40"/>
  <c r="AD27" i="40" l="1"/>
  <c r="AD28" i="40" s="1"/>
  <c r="AE24" i="40"/>
  <c r="AE27" i="40" l="1"/>
  <c r="AE28" i="40" s="1"/>
  <c r="AF24" i="40"/>
  <c r="A24" i="40" l="1"/>
  <c r="AF27" i="40"/>
  <c r="AF28" i="40" l="1"/>
  <c r="A27" i="4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<sst xmlns="http://schemas.openxmlformats.org/spreadsheetml/2006/main" count="152" uniqueCount="110">
  <si>
    <t>Age</t>
  </si>
  <si>
    <t>Description</t>
  </si>
  <si>
    <t>Total_Ordinary_Gross</t>
  </si>
  <si>
    <t>Total_Federal_Tax</t>
  </si>
  <si>
    <t>MAGI_IRMAA</t>
  </si>
  <si>
    <t>Section</t>
  </si>
  <si>
    <t>Divisor</t>
  </si>
  <si>
    <t>Rental_Income</t>
  </si>
  <si>
    <t>CALCULATIONS</t>
  </si>
  <si>
    <t>IRMAA_Status</t>
  </si>
  <si>
    <t>CashFlow_AfterTax</t>
  </si>
  <si>
    <t>Monthly_CashFlow</t>
  </si>
  <si>
    <t>INPUTS</t>
  </si>
  <si>
    <t>SUMMARY</t>
  </si>
  <si>
    <t>CASH FLOW</t>
  </si>
  <si>
    <t>W2_Income</t>
  </si>
  <si>
    <t>SS TAXABILITY</t>
  </si>
  <si>
    <t>Provisional_Income_Approx</t>
  </si>
  <si>
    <t>Taxable_SS_%</t>
  </si>
  <si>
    <t>Taxable_SS_$</t>
  </si>
  <si>
    <t>Total_Taxable_Ordinary</t>
  </si>
  <si>
    <t>Total_Cash_in</t>
  </si>
  <si>
    <t>Annual_RMD</t>
  </si>
  <si>
    <t>Brokerage</t>
  </si>
  <si>
    <t>Cash Reserves</t>
  </si>
  <si>
    <t>ROTH IRA</t>
  </si>
  <si>
    <t>SLC LTCG</t>
  </si>
  <si>
    <t>Brokerage LTCG</t>
  </si>
  <si>
    <t>House</t>
  </si>
  <si>
    <t>Transportation</t>
  </si>
  <si>
    <t>Health</t>
  </si>
  <si>
    <t>Roth Contribution</t>
  </si>
  <si>
    <t>Total Taxable LTCG</t>
  </si>
  <si>
    <t>Ordinary Income</t>
  </si>
  <si>
    <t>LTCG</t>
  </si>
  <si>
    <t>CONVERSION</t>
  </si>
  <si>
    <t>From W2 to Brokerage</t>
  </si>
  <si>
    <t>Non W2 to Brokerage</t>
  </si>
  <si>
    <t>Tax Rate</t>
  </si>
  <si>
    <t>Savings</t>
  </si>
  <si>
    <t>Annual_SS (C7=claim age)</t>
  </si>
  <si>
    <t>Husband DOB</t>
  </si>
  <si>
    <t>Wife DOB</t>
  </si>
  <si>
    <t>Withdrawal Rate</t>
  </si>
  <si>
    <t>Husband PIA @ 67</t>
  </si>
  <si>
    <t>Husband monthly</t>
  </si>
  <si>
    <t>Wife monthly</t>
  </si>
  <si>
    <t>Couple monthly</t>
  </si>
  <si>
    <t>Cumulative by H age 70</t>
  </si>
  <si>
    <t>Cumulative by H age 75</t>
  </si>
  <si>
    <t>Cumulative by H age 80</t>
  </si>
  <si>
    <t>Cumulative by H age 85</t>
  </si>
  <si>
    <t>Metric / husband claim age</t>
  </si>
  <si>
    <t>Assumption: wife claims at her first eligible month after husband files. MFJ affects taxation, not gross SSA benefits. Values exclude COLA, tax, investment return, survivor benefits, and the earnings test.</t>
  </si>
  <si>
    <t>Couple Yearly</t>
  </si>
  <si>
    <t>401K Contribution</t>
  </si>
  <si>
    <t>RETIREMENT MODEL ASSUMPTIONS</t>
  </si>
  <si>
    <t>Editable inputs and supporting schedules; model financial amounts are in $000 unless noted.</t>
  </si>
  <si>
    <t>Key assumption</t>
  </si>
  <si>
    <t>Value</t>
  </si>
  <si>
    <t>Annual investment return</t>
  </si>
  <si>
    <t>Sustainable withdrawal rate</t>
  </si>
  <si>
    <t>Social Security claim age</t>
  </si>
  <si>
    <t>IRMAA MAGI threshold ($000)</t>
  </si>
  <si>
    <t>Tax calculation</t>
  </si>
  <si>
    <t>Embedded model estimate</t>
  </si>
  <si>
    <t>RMD age</t>
  </si>
  <si>
    <t>Implied rate</t>
  </si>
  <si>
    <t>Annual spending category</t>
  </si>
  <si>
    <t>Amount ($000)</t>
  </si>
  <si>
    <t>Total annual spending</t>
  </si>
  <si>
    <t>SOCIAL SECURITY CLAIMING COMPARISON</t>
  </si>
  <si>
    <t>Compares the couple's gross benefit when the husband claims from age 62 through 70.</t>
  </si>
  <si>
    <t>Input / note</t>
  </si>
  <si>
    <t>Calculated age</t>
  </si>
  <si>
    <t>Annual $000</t>
  </si>
  <si>
    <t>Calculated</t>
  </si>
  <si>
    <t>Potential annual withdrawal</t>
  </si>
  <si>
    <t>RETIREMENT FORECAST — AT A GLANCE</t>
  </si>
  <si>
    <t>Key milestones in actual dollars; edit highlighted inputs on the Assumptions sheet.</t>
  </si>
  <si>
    <t>Savings at age 77</t>
  </si>
  <si>
    <t>Monthly cash at 67</t>
  </si>
  <si>
    <t>First RMD at 75</t>
  </si>
  <si>
    <t>IRMAA status at 75</t>
  </si>
  <si>
    <t>MILESTONE PROJECTION</t>
  </si>
  <si>
    <t>Year</t>
  </si>
  <si>
    <t>Cash in</t>
  </si>
  <si>
    <t>Federal tax</t>
  </si>
  <si>
    <t>After-tax / month</t>
  </si>
  <si>
    <t>Total savings</t>
  </si>
  <si>
    <t>4% withdrawal</t>
  </si>
  <si>
    <t>IRMAA status</t>
  </si>
  <si>
    <t>KEY FINDINGS</t>
  </si>
  <si>
    <t>RETIREMENT PLANNING WORKBOOK</t>
  </si>
  <si>
    <t>Guide to the forecast, assumptions, Social Security choices, and full calculation model.</t>
  </si>
  <si>
    <t>CONTENTS</t>
  </si>
  <si>
    <t>Sheet</t>
  </si>
  <si>
    <t>Purpose</t>
  </si>
  <si>
    <t>Retirement Forecast</t>
  </si>
  <si>
    <t>Readable milestone summary, headline values, and key findings.</t>
  </si>
  <si>
    <t>Assumptions</t>
  </si>
  <si>
    <t>Editable return, withdrawal, claiming-age, IRMAA, RMD, and spending inputs.</t>
  </si>
  <si>
    <t>Social Security</t>
  </si>
  <si>
    <t>Claiming-age comparison for both spouses, including cumulative benefits.</t>
  </si>
  <si>
    <t>Projection Data</t>
  </si>
  <si>
    <t>Complete year-by-year calculation model in $000.</t>
  </si>
  <si>
    <t>Food + entertainment + vacations</t>
  </si>
  <si>
    <t>401(k) to Roth conversion</t>
  </si>
  <si>
    <t>401(k) withdrawal</t>
  </si>
  <si>
    <t>401(k)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</si>
</sst>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"/>
    <numFmt numFmtId="167" formatCode="0.0%"/>
    <numFmt numFmtId="169" formatCode="&quot;$&quot;0.00,,&quot;M&quot;"/>
    <numFmt numFmtId="170" formatCode="yyyy"/>
    <numFmt numFmtId="171" formatCode="&quot;$&quot;0&quot;K&quot;"/>
    <numFmt numFmtId="172" formatCode="&quot;$&quot;0.0&quot;K&quot;"/>
    <numFmt numFmtId="173" formatCode="mmm\ d\,\ yyyy"/>
    <numFmt numFmtId="174" formatCode="&quot;$&quot;#,##0.0&quot;K&quot;"/>
  </numFmts>
  <fonts count="1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11"/>
      <color rgb="FF2F75B5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rgb="FF37562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3F6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5" fillId="4" borderId="0" xfId="0" applyFont="1" applyFill="1"/>
    <xf numFmtId="0" fontId="5" fillId="4" borderId="0" xfId="0" applyFont="1" applyFill="1" applyAlignment="1">
      <alignment vertical="center"/>
    </xf>
    <xf numFmtId="0" fontId="7" fillId="0" borderId="0" xfId="0" applyFont="1"/>
    <xf numFmtId="0" fontId="4" fillId="5" borderId="0" xfId="0" applyFont="1" applyFill="1"/>
    <xf numFmtId="0" fontId="4" fillId="4" borderId="0" xfId="0" applyFont="1" applyFill="1" applyAlignment="1">
      <alignment horizontal="center" wrapText="1"/>
    </xf>
    <xf numFmtId="0" fontId="3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10" fillId="0" borderId="0" xfId="0" applyFont="1" applyAlignment="1">
      <alignment wrapText="1"/>
    </xf>
    <xf numFmtId="169" fontId="9" fillId="0" borderId="0" xfId="0" applyNumberFormat="1" applyFont="1"/>
    <xf numFmtId="164" fontId="9" fillId="0" borderId="0" xfId="0" applyNumberFormat="1" applyFont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/>
    </xf>
    <xf numFmtId="0" fontId="0" fillId="6" borderId="0" xfId="0" applyFill="1"/>
    <xf numFmtId="0" fontId="11" fillId="6" borderId="0" xfId="0" applyFont="1" applyFill="1"/>
    <xf numFmtId="167" fontId="0" fillId="0" borderId="0" xfId="0" applyNumberFormat="1"/>
    <xf numFmtId="167" fontId="3" fillId="3" borderId="0" xfId="0" applyNumberFormat="1" applyFont="1" applyFill="1"/>
    <xf numFmtId="0" fontId="3" fillId="3" borderId="0" xfId="0" applyFont="1" applyFill="1"/>
    <xf numFmtId="171" fontId="3" fillId="3" borderId="0" xfId="0" applyNumberFormat="1" applyFont="1" applyFill="1"/>
    <xf numFmtId="10" fontId="0" fillId="0" borderId="0" xfId="0" applyNumberFormat="1"/>
    <xf numFmtId="172" fontId="0" fillId="0" borderId="0" xfId="0" applyNumberFormat="1"/>
    <xf numFmtId="172" fontId="3" fillId="0" borderId="0" xfId="0" applyNumberFormat="1" applyFont="1"/>
    <xf numFmtId="173" fontId="0" fillId="0" borderId="0" xfId="0" applyNumberFormat="1"/>
    <xf numFmtId="0" fontId="3" fillId="7" borderId="0" xfId="0" applyFont="1" applyFill="1"/>
    <xf numFmtId="164" fontId="3" fillId="7" borderId="0" xfId="0" applyNumberFormat="1" applyFont="1" applyFill="1"/>
    <xf numFmtId="170" fontId="4" fillId="4" borderId="0" xfId="0" applyNumberFormat="1" applyFont="1" applyFill="1" applyAlignment="1">
      <alignment horizontal="center" wrapText="1"/>
    </xf>
    <xf numFmtId="174" fontId="0" fillId="0" borderId="0" xfId="0" applyNumberFormat="1"/>
    <xf numFmtId="9" fontId="0" fillId="0" borderId="0" xfId="0" applyNumberFormat="1"/>
    <xf numFmtId="0" fontId="3" fillId="6" borderId="0" xfId="0" applyFont="1" applyFill="1"/>
    <xf numFmtId="0" fontId="6" fillId="0" borderId="0" xfId="0" applyFont="1" applyAlignment="1">
      <alignment wrapText="1"/>
    </xf>
  </cellXfs>
  <cellStyles count="1">
    <cellStyle name="Normal" xfId="0" builtinId="0"/>
  </cellStyles>
  <dxfs count="6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</font>
      <fill>
        <patternFill patternType="solid">
          <fgColor indexed="64"/>
          <bgColor rgb="FFC6E0B4"/>
        </patternFill>
      </fill>
    </dxf>
    <dxf>
      <font>
        <b/>
        <i val="0"/>
      </font>
      <fill>
        <patternFill patternType="solid">
          <fgColor indexed="64"/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65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60E90C-E0B2-49EA-8F4B-D44E8F2FF838}">
  <we:reference id="WA200011056" version="1.0.0.2" store="Omex" storeType="OMEX"/>
  <we:alternateReferences>
    <we:reference id="WA200011056" version="1.0.0.2" store="WA200011056" storeType="OMEX"/>
  </we:alternateReferences>
  <we:properties>
    <we:property name="grokConversationBinding" value="{&quot;responseId&quot;:&quot;e881498c-b591-9c97-a377-61ae83ca7db6&quot;,&quot;title&quot;:&quot;Excel Pre-Medicare Formula Review&quot;,&quot;transport&quot;:&quot;responses&quot;}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5288-005B-4A23-A5BE-431467064FA9}">
  <dimension ref="A1:AX200"/>
  <sheetViews>
    <sheetView zoomScale="145" zoomScaleNormal="145" workbookViewId="0">
      <selection activeCell="B14" sqref="B14"/>
    </sheetView>
  </sheetViews>
  <sheetFormatPr defaultColWidth="9" defaultRowHeight="10.5" x14ac:dyDescent="0.4"/>
  <cols>
    <col min="1" max="1" width="35.1015625" style="1" customWidth="1"/>
    <col min="2" max="2" width="61.41796875" style="1" customWidth="1"/>
    <col min="3" max="3" width="18.41796875" style="1" customWidth="1"/>
    <col min="4" max="6" width="12.62890625" style="1" customWidth="1"/>
    <col min="7" max="32" width="12.62890625" style="2" customWidth="1"/>
    <col min="33" max="16384" width="9" style="2"/>
  </cols>
  <sheetData>
    <row r="1" spans="1:50" ht="30" customHeight="1" x14ac:dyDescent="0.9">
      <c r="A1" s="3" t="s">
        <v>93</v>
      </c>
      <c r="B1" s="3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</row>
    <row r="2" spans="1:50" ht="14.4" x14ac:dyDescent="0.55000000000000004">
      <c r="A2" s="5" t="s">
        <v>94</v>
      </c>
      <c r="B2" s="5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50" ht="14.4" x14ac:dyDescent="0.55000000000000004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spans="1:50" ht="14.4" x14ac:dyDescent="0.55000000000000004">
      <c r="A4" s="6" t="s">
        <v>95</v>
      </c>
      <c r="B4" s="6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0" ht="14.4" x14ac:dyDescent="0.55000000000000004">
      <c r="A5" s="7" t="s">
        <v>96</v>
      </c>
      <c r="B5" s="7" t="s">
        <v>97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</row>
    <row r="6" spans="1:50" ht="14.4" x14ac:dyDescent="0.55000000000000004">
      <c r="A6" s="9" t="s">
        <v>98</v>
      </c>
      <c r="B6" s="10" t="s">
        <v>99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0" ht="14.4" x14ac:dyDescent="0.55000000000000004">
      <c r="A7" s="9" t="s">
        <v>100</v>
      </c>
      <c r="B7" s="10" t="s">
        <v>101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0" ht="14.4" x14ac:dyDescent="0.55000000000000004">
      <c r="A8" s="9" t="s">
        <v>102</v>
      </c>
      <c r="B8" s="10" t="s">
        <v>103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0" ht="14.4" x14ac:dyDescent="0.55000000000000004">
      <c r="A9" s="9" t="s">
        <v>104</v>
      </c>
      <c r="B9" s="10" t="s">
        <v>105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0" ht="14.4" x14ac:dyDescent="0.5500000000000000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ht="14.4" x14ac:dyDescent="0.55000000000000004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ht="14.4" x14ac:dyDescent="0.55000000000000004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ht="14.4" x14ac:dyDescent="0.55000000000000004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ht="14.4" x14ac:dyDescent="0.5500000000000000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ht="14.4" x14ac:dyDescent="0.55000000000000004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ht="14.4" x14ac:dyDescent="0.55000000000000004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ht="14.4" x14ac:dyDescent="0.5500000000000000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ht="14.4" x14ac:dyDescent="0.5500000000000000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ht="14.4" x14ac:dyDescent="0.55000000000000004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ht="14.4" x14ac:dyDescent="0.55000000000000004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ht="14.4" x14ac:dyDescent="0.55000000000000004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ht="14.4" x14ac:dyDescent="0.5500000000000000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ht="14.4" x14ac:dyDescent="0.55000000000000004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ht="14.4" x14ac:dyDescent="0.5500000000000000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ht="14.4" x14ac:dyDescent="0.55000000000000004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 ht="14.4" x14ac:dyDescent="0.55000000000000004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ht="14.4" x14ac:dyDescent="0.55000000000000004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ht="14.4" x14ac:dyDescent="0.55000000000000004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0" ht="14.4" x14ac:dyDescent="0.55000000000000004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0" ht="14.4" x14ac:dyDescent="0.55000000000000004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0" ht="14.4" x14ac:dyDescent="0.55000000000000004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0" ht="14.4" x14ac:dyDescent="0.55000000000000004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0" ht="14.4" x14ac:dyDescent="0.5500000000000000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0" ht="14.4" x14ac:dyDescent="0.5500000000000000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0" ht="14.4" x14ac:dyDescent="0.55000000000000004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0" ht="14.4" x14ac:dyDescent="0.55000000000000004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0" ht="14.4" x14ac:dyDescent="0.5500000000000000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0" ht="14.4" x14ac:dyDescent="0.5500000000000000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0" ht="14.4" x14ac:dyDescent="0.55000000000000004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0" ht="14.4" x14ac:dyDescent="0.5500000000000000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0" ht="14.4" x14ac:dyDescent="0.55000000000000004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0" ht="14.4" x14ac:dyDescent="0.55000000000000004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0" ht="14.4" x14ac:dyDescent="0.55000000000000004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0" ht="14.4" x14ac:dyDescent="0.5500000000000000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0" ht="14.4" x14ac:dyDescent="0.55000000000000004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0" ht="14.4" x14ac:dyDescent="0.55000000000000004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0" ht="14.4" x14ac:dyDescent="0.55000000000000004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0" ht="14.4" x14ac:dyDescent="0.55000000000000004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0" ht="14.4" x14ac:dyDescent="0.55000000000000004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0" ht="14.4" x14ac:dyDescent="0.5500000000000000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0" ht="14.4" x14ac:dyDescent="0.55000000000000004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0" ht="14.4" x14ac:dyDescent="0.5500000000000000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0" ht="14.4" x14ac:dyDescent="0.55000000000000004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0" ht="14.4" x14ac:dyDescent="0.55000000000000004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0" ht="14.4" x14ac:dyDescent="0.55000000000000004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0" ht="14.4" x14ac:dyDescent="0.5500000000000000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0" ht="14.4" x14ac:dyDescent="0.55000000000000004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0" ht="14.4" x14ac:dyDescent="0.5500000000000000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0" ht="14.4" x14ac:dyDescent="0.5500000000000000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0" ht="14.4" x14ac:dyDescent="0.55000000000000004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0" ht="14.4" x14ac:dyDescent="0.5500000000000000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0" ht="14.4" x14ac:dyDescent="0.55000000000000004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0" ht="14.4" x14ac:dyDescent="0.55000000000000004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0" ht="14.4" x14ac:dyDescent="0.55000000000000004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0" ht="14.4" x14ac:dyDescent="0.5500000000000000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0" ht="14.4" x14ac:dyDescent="0.5500000000000000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0" ht="14.4" x14ac:dyDescent="0.5500000000000000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0" ht="14.4" x14ac:dyDescent="0.5500000000000000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0" ht="14.4" x14ac:dyDescent="0.55000000000000004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0" ht="14.4" x14ac:dyDescent="0.55000000000000004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0" ht="14.4" x14ac:dyDescent="0.5500000000000000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0" ht="14.4" x14ac:dyDescent="0.55000000000000004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0" ht="14.4" x14ac:dyDescent="0.55000000000000004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0" ht="14.4" x14ac:dyDescent="0.55000000000000004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0" ht="14.4" x14ac:dyDescent="0.5500000000000000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0" ht="14.4" x14ac:dyDescent="0.5500000000000000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0" ht="14.4" x14ac:dyDescent="0.55000000000000004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0" ht="14.4" x14ac:dyDescent="0.55000000000000004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0" ht="14.4" x14ac:dyDescent="0.55000000000000004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0" ht="14.4" x14ac:dyDescent="0.5500000000000000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0" ht="14.4" x14ac:dyDescent="0.55000000000000004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0" ht="24" customHeight="1" x14ac:dyDescent="0.5500000000000000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0" ht="14.4" x14ac:dyDescent="0.5500000000000000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0" ht="14.4" x14ac:dyDescent="0.55000000000000004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0" ht="14.4" x14ac:dyDescent="0.5500000000000000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0" ht="14.4" x14ac:dyDescent="0.55000000000000004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0" ht="14.4" x14ac:dyDescent="0.55000000000000004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0" ht="14.4" x14ac:dyDescent="0.5500000000000000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0" ht="14.4" x14ac:dyDescent="0.5500000000000000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0" ht="14.4" x14ac:dyDescent="0.55000000000000004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</row>
    <row r="91" spans="1:50" ht="14.4" x14ac:dyDescent="0.55000000000000004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</row>
    <row r="92" spans="1:50" ht="14.4" x14ac:dyDescent="0.55000000000000004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</row>
    <row r="93" spans="1:50" ht="14.4" x14ac:dyDescent="0.5500000000000000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</row>
    <row r="94" spans="1:50" ht="14.4" x14ac:dyDescent="0.55000000000000004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</row>
    <row r="95" spans="1:50" ht="14.4" x14ac:dyDescent="0.5500000000000000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</row>
    <row r="96" spans="1:50" ht="14.4" x14ac:dyDescent="0.5500000000000000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</row>
    <row r="97" spans="1:50" ht="14.4" x14ac:dyDescent="0.55000000000000004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</row>
    <row r="98" spans="1:50" ht="14.4" x14ac:dyDescent="0.5500000000000000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</row>
    <row r="99" spans="1:50" ht="14.4" x14ac:dyDescent="0.55000000000000004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</row>
    <row r="100" spans="1:50" ht="14.4" x14ac:dyDescent="0.55000000000000004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</row>
    <row r="101" spans="1:50" ht="14.4" x14ac:dyDescent="0.55000000000000004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</row>
    <row r="102" spans="1:50" ht="14.4" x14ac:dyDescent="0.5500000000000000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</row>
    <row r="103" spans="1:50" ht="14.4" x14ac:dyDescent="0.55000000000000004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</row>
    <row r="104" spans="1:50" ht="14.4" x14ac:dyDescent="0.5500000000000000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</row>
    <row r="105" spans="1:50" ht="14.4" x14ac:dyDescent="0.55000000000000004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</row>
    <row r="106" spans="1:50" ht="14.4" x14ac:dyDescent="0.5500000000000000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</row>
    <row r="107" spans="1:50" ht="14.4" x14ac:dyDescent="0.55000000000000004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</row>
    <row r="108" spans="1:50" ht="14.4" x14ac:dyDescent="0.5500000000000000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</row>
    <row r="109" spans="1:50" ht="14.4" x14ac:dyDescent="0.55000000000000004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</row>
    <row r="110" spans="1:50" ht="14.4" x14ac:dyDescent="0.55000000000000004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</row>
    <row r="111" spans="1:50" ht="14.4" x14ac:dyDescent="0.55000000000000004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</row>
    <row r="112" spans="1:50" ht="14.4" x14ac:dyDescent="0.55000000000000004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</row>
    <row r="113" spans="1:50" ht="14.4" x14ac:dyDescent="0.5500000000000000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</row>
    <row r="114" spans="1:50" ht="14.4" x14ac:dyDescent="0.55000000000000004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</row>
    <row r="115" spans="1:50" ht="14.4" x14ac:dyDescent="0.55000000000000004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</row>
    <row r="116" spans="1:50" ht="14.4" x14ac:dyDescent="0.55000000000000004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</row>
    <row r="117" spans="1:50" ht="14.4" x14ac:dyDescent="0.5500000000000000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</row>
    <row r="118" spans="1:50" ht="14.4" x14ac:dyDescent="0.55000000000000004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</row>
    <row r="119" spans="1:50" ht="14.4" x14ac:dyDescent="0.5500000000000000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</row>
    <row r="120" spans="1:50" ht="14.4" x14ac:dyDescent="0.55000000000000004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</row>
    <row r="121" spans="1:50" ht="14.4" x14ac:dyDescent="0.5500000000000000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</row>
    <row r="122" spans="1:50" ht="14.4" x14ac:dyDescent="0.55000000000000004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</row>
    <row r="123" spans="1:50" ht="14.4" x14ac:dyDescent="0.5500000000000000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</row>
    <row r="124" spans="1:50" ht="14.4" x14ac:dyDescent="0.55000000000000004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</row>
    <row r="125" spans="1:50" ht="14.4" x14ac:dyDescent="0.55000000000000004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1:50" ht="14.4" x14ac:dyDescent="0.55000000000000004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</row>
    <row r="127" spans="1:50" ht="14.4" x14ac:dyDescent="0.55000000000000004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</row>
    <row r="128" spans="1:50" ht="14.4" x14ac:dyDescent="0.5500000000000000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</row>
    <row r="129" spans="1:50" ht="14.4" x14ac:dyDescent="0.55000000000000004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</row>
    <row r="130" spans="1:50" ht="14.4" x14ac:dyDescent="0.55000000000000004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</row>
    <row r="131" spans="1:50" ht="14.4" x14ac:dyDescent="0.55000000000000004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</row>
    <row r="132" spans="1:50" ht="14.4" x14ac:dyDescent="0.55000000000000004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</row>
    <row r="133" spans="1:50" ht="14.4" x14ac:dyDescent="0.5500000000000000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</row>
    <row r="134" spans="1:50" ht="14.4" x14ac:dyDescent="0.55000000000000004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</row>
    <row r="135" spans="1:50" ht="14.4" x14ac:dyDescent="0.55000000000000004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</row>
    <row r="136" spans="1:50" ht="14.4" x14ac:dyDescent="0.55000000000000004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</row>
    <row r="137" spans="1:50" ht="14.4" x14ac:dyDescent="0.55000000000000004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</row>
    <row r="138" spans="1:50" ht="14.4" x14ac:dyDescent="0.55000000000000004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</row>
    <row r="139" spans="1:50" ht="14.4" x14ac:dyDescent="0.55000000000000004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</row>
    <row r="140" spans="1:50" ht="14.4" x14ac:dyDescent="0.5500000000000000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</row>
    <row r="141" spans="1:50" ht="14.4" x14ac:dyDescent="0.55000000000000004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</row>
    <row r="142" spans="1:50" ht="14.4" x14ac:dyDescent="0.55000000000000004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</row>
    <row r="143" spans="1:50" ht="14.4" x14ac:dyDescent="0.55000000000000004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</row>
    <row r="144" spans="1:50" ht="14.4" x14ac:dyDescent="0.55000000000000004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</row>
    <row r="145" spans="1:50" ht="14.4" x14ac:dyDescent="0.5500000000000000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</row>
    <row r="146" spans="1:50" ht="14.4" x14ac:dyDescent="0.55000000000000004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</row>
    <row r="147" spans="1:50" ht="14.4" x14ac:dyDescent="0.55000000000000004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</row>
    <row r="148" spans="1:50" ht="14.4" x14ac:dyDescent="0.55000000000000004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</row>
    <row r="149" spans="1:50" ht="14.4" x14ac:dyDescent="0.55000000000000004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</row>
    <row r="150" spans="1:50" ht="14.4" x14ac:dyDescent="0.55000000000000004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</row>
    <row r="151" spans="1:50" ht="14.4" x14ac:dyDescent="0.55000000000000004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</row>
    <row r="152" spans="1:50" ht="14.4" x14ac:dyDescent="0.5500000000000000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</row>
    <row r="153" spans="1:50" ht="14.4" x14ac:dyDescent="0.55000000000000004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</row>
    <row r="154" spans="1:50" ht="14.4" x14ac:dyDescent="0.55000000000000004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</row>
    <row r="155" spans="1:50" ht="14.4" x14ac:dyDescent="0.55000000000000004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</row>
    <row r="156" spans="1:50" ht="14.4" x14ac:dyDescent="0.5500000000000000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</row>
    <row r="157" spans="1:50" ht="14.4" x14ac:dyDescent="0.55000000000000004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</row>
    <row r="158" spans="1:50" ht="14.4" x14ac:dyDescent="0.55000000000000004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</row>
    <row r="159" spans="1:50" ht="14.4" x14ac:dyDescent="0.55000000000000004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</row>
    <row r="160" spans="1:50" ht="14.4" x14ac:dyDescent="0.55000000000000004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</row>
    <row r="161" spans="1:50" ht="14.4" x14ac:dyDescent="0.5500000000000000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</row>
    <row r="162" spans="1:50" ht="14.4" x14ac:dyDescent="0.55000000000000004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</row>
    <row r="163" spans="1:50" ht="14.4" x14ac:dyDescent="0.55000000000000004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</row>
    <row r="164" spans="1:50" ht="14.4" x14ac:dyDescent="0.55000000000000004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</row>
    <row r="165" spans="1:50" ht="14.4" x14ac:dyDescent="0.55000000000000004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</row>
    <row r="166" spans="1:50" ht="14.4" x14ac:dyDescent="0.5500000000000000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</row>
    <row r="167" spans="1:50" ht="14.4" x14ac:dyDescent="0.55000000000000004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</row>
    <row r="168" spans="1:50" ht="14.4" x14ac:dyDescent="0.55000000000000004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</row>
    <row r="169" spans="1:50" ht="14.4" x14ac:dyDescent="0.55000000000000004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</row>
    <row r="170" spans="1:50" ht="14.4" x14ac:dyDescent="0.55000000000000004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</row>
    <row r="171" spans="1:50" ht="14.4" x14ac:dyDescent="0.5500000000000000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</row>
    <row r="172" spans="1:50" ht="14.4" x14ac:dyDescent="0.55000000000000004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</row>
    <row r="173" spans="1:50" ht="14.4" x14ac:dyDescent="0.55000000000000004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</row>
    <row r="174" spans="1:50" ht="14.4" x14ac:dyDescent="0.55000000000000004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</row>
    <row r="175" spans="1:50" ht="14.4" x14ac:dyDescent="0.5500000000000000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</row>
    <row r="176" spans="1:50" ht="14.4" x14ac:dyDescent="0.55000000000000004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</row>
    <row r="177" spans="1:50" ht="14.4" x14ac:dyDescent="0.55000000000000004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</row>
    <row r="178" spans="1:50" ht="14.4" x14ac:dyDescent="0.55000000000000004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</row>
    <row r="179" spans="1:50" ht="14.4" x14ac:dyDescent="0.55000000000000004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</row>
    <row r="180" spans="1:50" ht="14.4" x14ac:dyDescent="0.5500000000000000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</row>
    <row r="181" spans="1:50" ht="14.4" x14ac:dyDescent="0.55000000000000004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</row>
    <row r="182" spans="1:50" ht="14.4" x14ac:dyDescent="0.5500000000000000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</row>
    <row r="183" spans="1:50" ht="14.4" x14ac:dyDescent="0.55000000000000004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</row>
    <row r="184" spans="1:50" ht="14.4" x14ac:dyDescent="0.55000000000000004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</row>
    <row r="185" spans="1:50" ht="14.4" x14ac:dyDescent="0.55000000000000004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</row>
    <row r="186" spans="1:50" ht="14.4" x14ac:dyDescent="0.55000000000000004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</row>
    <row r="187" spans="1:50" ht="14.4" x14ac:dyDescent="0.5500000000000000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</row>
    <row r="188" spans="1:50" ht="14.4" x14ac:dyDescent="0.55000000000000004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</row>
    <row r="189" spans="1:50" ht="14.4" x14ac:dyDescent="0.5500000000000000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</row>
    <row r="190" spans="1:50" ht="14.4" x14ac:dyDescent="0.55000000000000004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</row>
    <row r="191" spans="1:50" ht="14.4" x14ac:dyDescent="0.55000000000000004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</row>
    <row r="192" spans="1:50" ht="14.4" x14ac:dyDescent="0.55000000000000004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</row>
    <row r="193" spans="1:50" ht="14.4" x14ac:dyDescent="0.55000000000000004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</row>
    <row r="194" spans="1:50" ht="14.4" x14ac:dyDescent="0.5500000000000000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</row>
    <row r="195" spans="1:50" ht="14.4" x14ac:dyDescent="0.55000000000000004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</row>
    <row r="196" spans="1:50" ht="14.4" x14ac:dyDescent="0.55000000000000004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</row>
    <row r="197" spans="1:50" ht="14.4" x14ac:dyDescent="0.55000000000000004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</row>
    <row r="198" spans="1:50" ht="14.4" x14ac:dyDescent="0.55000000000000004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</row>
    <row r="199" spans="1:50" ht="14.4" x14ac:dyDescent="0.55000000000000004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</row>
    <row r="200" spans="1:50" ht="14.4" x14ac:dyDescent="0.55000000000000004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</row>
  </sheetData>
  <mergeCells count="3">
    <mergeCell ref="A1:B1"/>
    <mergeCell ref="A2:B2"/>
    <mergeCell ref="A4:B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2FE7-901E-4145-88B0-C88C30E15BE6}">
  <dimension ref="A1:AF33"/>
  <sheetViews>
    <sheetView topLeftCell="A11" workbookViewId="0">
      <selection activeCell="B24" sqref="B24"/>
    </sheetView>
  </sheetViews>
  <sheetFormatPr defaultRowHeight="14.4" x14ac:dyDescent="0.55000000000000004"/>
  <cols>
    <col min="1" max="1" width="21.05078125" customWidth="1"/>
    <col min="2" max="2" width="31.578125" customWidth="1"/>
    <col min="3" max="3" width="18.41796875" customWidth="1"/>
    <col min="4" max="32" width="12.62890625" customWidth="1"/>
  </cols>
  <sheetData>
    <row r="1" spans="1:32" ht="30" customHeight="1" x14ac:dyDescent="0.55000000000000004">
      <c r="A1" s="7" t="s">
        <v>5</v>
      </c>
      <c r="B1" s="7" t="s">
        <v>1</v>
      </c>
      <c r="C1" s="7" t="s">
        <v>73</v>
      </c>
      <c r="D1" s="32">
        <v>46387</v>
      </c>
      <c r="E1" s="32">
        <v>46752</v>
      </c>
      <c r="F1" s="32">
        <v>47118</v>
      </c>
      <c r="G1" s="32">
        <v>47483</v>
      </c>
      <c r="H1" s="32">
        <v>47848</v>
      </c>
      <c r="I1" s="32">
        <v>48213</v>
      </c>
      <c r="J1" s="32">
        <v>48579</v>
      </c>
      <c r="K1" s="32">
        <v>48944</v>
      </c>
      <c r="L1" s="32">
        <v>49309</v>
      </c>
      <c r="M1" s="32">
        <v>49674</v>
      </c>
      <c r="N1" s="32">
        <v>50040</v>
      </c>
      <c r="O1" s="32">
        <v>50405</v>
      </c>
      <c r="P1" s="32">
        <v>50770</v>
      </c>
      <c r="Q1" s="32">
        <v>51135</v>
      </c>
      <c r="R1" s="32">
        <v>51501</v>
      </c>
      <c r="S1" s="32">
        <v>51866</v>
      </c>
      <c r="T1" s="32">
        <v>52231</v>
      </c>
      <c r="U1" s="32">
        <v>52596</v>
      </c>
      <c r="V1" s="32">
        <v>52962</v>
      </c>
      <c r="W1" s="32">
        <v>53327</v>
      </c>
      <c r="X1" s="32">
        <v>53692</v>
      </c>
      <c r="Y1" s="32">
        <v>54057</v>
      </c>
      <c r="Z1" s="32">
        <v>54423</v>
      </c>
      <c r="AA1" s="32">
        <v>54788</v>
      </c>
      <c r="AB1" s="32">
        <v>55153</v>
      </c>
      <c r="AC1" s="32">
        <v>55518</v>
      </c>
      <c r="AD1" s="32">
        <v>55884</v>
      </c>
      <c r="AE1" s="32">
        <v>56249</v>
      </c>
      <c r="AF1" s="32">
        <v>56614</v>
      </c>
    </row>
    <row r="2" spans="1:32" x14ac:dyDescent="0.55000000000000004">
      <c r="A2" s="11" t="s">
        <v>0</v>
      </c>
      <c r="B2" s="11" t="s">
        <v>0</v>
      </c>
      <c r="C2" s="11" t="s">
        <v>74</v>
      </c>
      <c r="D2" s="11">
        <f>DATEDIF('Social Security'!$L$5,DATE(YEAR(D$1),12,31),"Y")</f>
        <v>49</v>
      </c>
      <c r="E2" s="11">
        <f>DATEDIF('Social Security'!$L$5,DATE(YEAR(E$1),12,31),"Y")</f>
        <v>50</v>
      </c>
      <c r="F2" s="11">
        <f>DATEDIF('Social Security'!$L$5,DATE(YEAR(F$1),12,31),"Y")</f>
        <v>51</v>
      </c>
      <c r="G2" s="11">
        <f>DATEDIF('Social Security'!$L$5,DATE(YEAR(G$1),12,31),"Y")</f>
        <v>52</v>
      </c>
      <c r="H2" s="11">
        <f>DATEDIF('Social Security'!$L$5,DATE(YEAR(H$1),12,31),"Y")</f>
        <v>53</v>
      </c>
      <c r="I2" s="11">
        <f>DATEDIF('Social Security'!$L$5,DATE(YEAR(I$1),12,31),"Y")</f>
        <v>54</v>
      </c>
      <c r="J2" s="11">
        <f>DATEDIF('Social Security'!$L$5,DATE(YEAR(J$1),12,31),"Y")</f>
        <v>55</v>
      </c>
      <c r="K2" s="11">
        <f>DATEDIF('Social Security'!$L$5,DATE(YEAR(K$1),12,31),"Y")</f>
        <v>56</v>
      </c>
      <c r="L2" s="11">
        <f>DATEDIF('Social Security'!$L$5,DATE(YEAR(L$1),12,31),"Y")</f>
        <v>57</v>
      </c>
      <c r="M2" s="11">
        <f>DATEDIF('Social Security'!$L$5,DATE(YEAR(M$1),12,31),"Y")</f>
        <v>58</v>
      </c>
      <c r="N2" s="11">
        <f>DATEDIF('Social Security'!$L$5,DATE(YEAR(N$1),12,31),"Y")</f>
        <v>59</v>
      </c>
      <c r="O2" s="11">
        <f>DATEDIF('Social Security'!$L$5,DATE(YEAR(O$1),12,31),"Y")</f>
        <v>60</v>
      </c>
      <c r="P2" s="11">
        <f>DATEDIF('Social Security'!$L$5,DATE(YEAR(P$1),12,31),"Y")</f>
        <v>61</v>
      </c>
      <c r="Q2" s="11">
        <f>DATEDIF('Social Security'!$L$5,DATE(YEAR(Q$1),12,31),"Y")</f>
        <v>62</v>
      </c>
      <c r="R2" s="11">
        <f>DATEDIF('Social Security'!$L$5,DATE(YEAR(R$1),12,31),"Y")</f>
        <v>63</v>
      </c>
      <c r="S2" s="11">
        <f>DATEDIF('Social Security'!$L$5,DATE(YEAR(S$1),12,31),"Y")</f>
        <v>64</v>
      </c>
      <c r="T2" s="11">
        <f>DATEDIF('Social Security'!$L$5,DATE(YEAR(T$1),12,31),"Y")</f>
        <v>65</v>
      </c>
      <c r="U2" s="11">
        <f>DATEDIF('Social Security'!$L$5,DATE(YEAR(U$1),12,31),"Y")</f>
        <v>66</v>
      </c>
      <c r="V2" s="11">
        <f>DATEDIF('Social Security'!$L$5,DATE(YEAR(V$1),12,31),"Y")</f>
        <v>67</v>
      </c>
      <c r="W2" s="11">
        <f>DATEDIF('Social Security'!$L$5,DATE(YEAR(W$1),12,31),"Y")</f>
        <v>68</v>
      </c>
      <c r="X2" s="11">
        <f>DATEDIF('Social Security'!$L$5,DATE(YEAR(X$1),12,31),"Y")</f>
        <v>69</v>
      </c>
      <c r="Y2" s="11">
        <f>DATEDIF('Social Security'!$L$5,DATE(YEAR(Y$1),12,31),"Y")</f>
        <v>70</v>
      </c>
      <c r="Z2" s="11">
        <f>DATEDIF('Social Security'!$L$5,DATE(YEAR(Z$1),12,31),"Y")</f>
        <v>71</v>
      </c>
      <c r="AA2" s="11">
        <f>DATEDIF('Social Security'!$L$5,DATE(YEAR(AA$1),12,31),"Y")</f>
        <v>72</v>
      </c>
      <c r="AB2" s="11">
        <f>DATEDIF('Social Security'!$L$5,DATE(YEAR(AB$1),12,31),"Y")</f>
        <v>73</v>
      </c>
      <c r="AC2" s="11">
        <f>DATEDIF('Social Security'!$L$5,DATE(YEAR(AC$1),12,31),"Y")</f>
        <v>74</v>
      </c>
      <c r="AD2" s="11">
        <f>DATEDIF('Social Security'!$L$5,DATE(YEAR(AD$1),12,31),"Y")</f>
        <v>75</v>
      </c>
      <c r="AE2" s="11">
        <f>DATEDIF('Social Security'!$L$5,DATE(YEAR(AE$1),12,31),"Y")</f>
        <v>76</v>
      </c>
      <c r="AF2" s="11">
        <f>DATEDIF('Social Security'!$L$5,DATE(YEAR(AF$1),12,31),"Y")</f>
        <v>77</v>
      </c>
    </row>
    <row r="3" spans="1:32" x14ac:dyDescent="0.55000000000000004">
      <c r="A3" s="30" t="s">
        <v>35</v>
      </c>
      <c r="B3" t="s">
        <v>107</v>
      </c>
      <c r="C3" t="s">
        <v>75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  <c r="X3" s="33">
        <v>0</v>
      </c>
      <c r="Y3" s="33">
        <v>0</v>
      </c>
      <c r="Z3" s="33">
        <v>0</v>
      </c>
      <c r="AA3" s="33">
        <v>0</v>
      </c>
      <c r="AB3" s="33">
        <v>0</v>
      </c>
      <c r="AC3" s="33">
        <v>0</v>
      </c>
      <c r="AD3" s="33">
        <v>0</v>
      </c>
      <c r="AE3" s="33">
        <v>0</v>
      </c>
      <c r="AF3" s="33">
        <v>0</v>
      </c>
    </row>
    <row r="4" spans="1:32" x14ac:dyDescent="0.55000000000000004">
      <c r="A4" s="30" t="s">
        <v>12</v>
      </c>
      <c r="B4" t="s">
        <v>108</v>
      </c>
      <c r="C4" t="s">
        <v>75</v>
      </c>
      <c r="D4" s="33">
        <v>0</v>
      </c>
      <c r="E4" s="33">
        <v>0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0</v>
      </c>
      <c r="M4" s="33">
        <v>0</v>
      </c>
      <c r="N4" s="33">
        <v>0</v>
      </c>
      <c r="O4" s="33">
        <v>0</v>
      </c>
      <c r="P4" s="33">
        <v>0</v>
      </c>
      <c r="Q4" s="33">
        <v>0</v>
      </c>
      <c r="R4" s="33">
        <v>0</v>
      </c>
      <c r="S4" s="33">
        <v>75</v>
      </c>
      <c r="T4" s="33">
        <v>75</v>
      </c>
      <c r="U4" s="33">
        <v>75</v>
      </c>
      <c r="V4" s="33">
        <v>0</v>
      </c>
      <c r="W4" s="33">
        <v>0</v>
      </c>
      <c r="X4" s="33">
        <v>0</v>
      </c>
      <c r="Y4" s="33">
        <v>0</v>
      </c>
      <c r="Z4" s="33">
        <v>0</v>
      </c>
      <c r="AA4" s="33">
        <v>0</v>
      </c>
      <c r="AB4" s="33">
        <v>0</v>
      </c>
      <c r="AC4" s="33">
        <v>0</v>
      </c>
      <c r="AD4" s="33">
        <v>0</v>
      </c>
      <c r="AE4" s="33">
        <v>0</v>
      </c>
      <c r="AF4" s="33">
        <v>0</v>
      </c>
    </row>
    <row r="5" spans="1:32" x14ac:dyDescent="0.55000000000000004">
      <c r="A5" s="30" t="s">
        <v>12</v>
      </c>
      <c r="B5" t="s">
        <v>15</v>
      </c>
      <c r="C5" t="s">
        <v>75</v>
      </c>
      <c r="D5" s="33">
        <v>100</v>
      </c>
      <c r="E5" s="33">
        <v>100</v>
      </c>
      <c r="F5" s="33">
        <v>100</v>
      </c>
      <c r="G5" s="33">
        <v>100</v>
      </c>
      <c r="H5" s="33">
        <v>100</v>
      </c>
      <c r="I5" s="33">
        <v>100</v>
      </c>
      <c r="J5" s="33">
        <v>100</v>
      </c>
      <c r="K5" s="33">
        <v>100</v>
      </c>
      <c r="L5" s="33">
        <v>100</v>
      </c>
      <c r="M5" s="33">
        <v>100</v>
      </c>
      <c r="N5" s="33">
        <v>100</v>
      </c>
      <c r="O5" s="33">
        <v>100</v>
      </c>
      <c r="P5" s="33">
        <v>100</v>
      </c>
      <c r="Q5" s="33">
        <v>100</v>
      </c>
      <c r="R5" s="33">
        <v>100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</row>
    <row r="6" spans="1:32" x14ac:dyDescent="0.55000000000000004">
      <c r="A6" s="30" t="s">
        <v>12</v>
      </c>
      <c r="B6" t="s">
        <v>7</v>
      </c>
      <c r="C6" t="s">
        <v>75</v>
      </c>
      <c r="D6" s="33">
        <v>0</v>
      </c>
      <c r="E6" s="33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33">
        <v>0</v>
      </c>
      <c r="V6" s="33">
        <v>0</v>
      </c>
      <c r="W6" s="33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33">
        <v>0</v>
      </c>
      <c r="AF6" s="33">
        <v>0</v>
      </c>
    </row>
    <row r="7" spans="1:32" x14ac:dyDescent="0.55000000000000004">
      <c r="A7" s="30" t="s">
        <v>12</v>
      </c>
      <c r="B7" t="s">
        <v>40</v>
      </c>
      <c r="C7">
        <f>Assumptions!B7</f>
        <v>67</v>
      </c>
      <c r="D7" s="33">
        <f>IF(D2&lt;$C$7,0,INDEX('Social Security'!$B$8:$J$8,1,MATCH($C$7,'Social Security'!$B$4:$J$4,0))/1000)</f>
        <v>0</v>
      </c>
      <c r="E7" s="33">
        <f>IF(E2&lt;$C$7,0,INDEX('Social Security'!$B$8:$J$8,1,MATCH($C$7,'Social Security'!$B$4:$J$4,0))/1000)</f>
        <v>0</v>
      </c>
      <c r="F7" s="33">
        <f>IF(F2&lt;$C$7,0,INDEX('Social Security'!$B$8:$J$8,1,MATCH($C$7,'Social Security'!$B$4:$J$4,0))/1000)</f>
        <v>0</v>
      </c>
      <c r="G7" s="33">
        <f>IF(G2&lt;$C$7,0,INDEX('Social Security'!$B$8:$J$8,1,MATCH($C$7,'Social Security'!$B$4:$J$4,0))/1000)</f>
        <v>0</v>
      </c>
      <c r="H7" s="33">
        <f>IF(H2&lt;$C$7,0,INDEX('Social Security'!$B$8:$J$8,1,MATCH($C$7,'Social Security'!$B$4:$J$4,0))/1000)</f>
        <v>0</v>
      </c>
      <c r="I7" s="33">
        <f>IF(I2&lt;$C$7,0,INDEX('Social Security'!$B$8:$J$8,1,MATCH($C$7,'Social Security'!$B$4:$J$4,0))/1000)</f>
        <v>0</v>
      </c>
      <c r="J7" s="33">
        <f>IF(J2&lt;$C$7,0,INDEX('Social Security'!$B$8:$J$8,1,MATCH($C$7,'Social Security'!$B$4:$J$4,0))/1000)</f>
        <v>0</v>
      </c>
      <c r="K7" s="33">
        <f>IF(K2&lt;$C$7,0,INDEX('Social Security'!$B$8:$J$8,1,MATCH($C$7,'Social Security'!$B$4:$J$4,0))/1000)</f>
        <v>0</v>
      </c>
      <c r="L7" s="33">
        <f>IF(L2&lt;$C$7,0,INDEX('Social Security'!$B$8:$J$8,1,MATCH($C$7,'Social Security'!$B$4:$J$4,0))/1000)</f>
        <v>0</v>
      </c>
      <c r="M7" s="33">
        <f>IF(M2&lt;$C$7,0,INDEX('Social Security'!$B$8:$J$8,1,MATCH($C$7,'Social Security'!$B$4:$J$4,0))/1000)</f>
        <v>0</v>
      </c>
      <c r="N7" s="33">
        <f>IF(N2&lt;$C$7,0,INDEX('Social Security'!$B$8:$J$8,1,MATCH($C$7,'Social Security'!$B$4:$J$4,0))/1000)</f>
        <v>0</v>
      </c>
      <c r="O7" s="33">
        <f>IF(O2&lt;$C$7,0,INDEX('Social Security'!$B$8:$J$8,1,MATCH($C$7,'Social Security'!$B$4:$J$4,0))/1000)</f>
        <v>0</v>
      </c>
      <c r="P7" s="33">
        <f>IF(P2&lt;$C$7,0,INDEX('Social Security'!$B$8:$J$8,1,MATCH($C$7,'Social Security'!$B$4:$J$4,0))/1000)</f>
        <v>0</v>
      </c>
      <c r="Q7" s="33">
        <f>IF(Q2&lt;$C$7,0,INDEX('Social Security'!$B$8:$J$8,1,MATCH($C$7,'Social Security'!$B$4:$J$4,0))/1000)</f>
        <v>0</v>
      </c>
      <c r="R7" s="33">
        <f>IF(R2&lt;$C$7,0,INDEX('Social Security'!$B$8:$J$8,1,MATCH($C$7,'Social Security'!$B$4:$J$4,0))/1000)</f>
        <v>0</v>
      </c>
      <c r="S7" s="33">
        <f>IF(S2&lt;$C$7,0,INDEX('Social Security'!$B$8:$J$8,1,MATCH($C$7,'Social Security'!$B$4:$J$4,0))/1000)</f>
        <v>0</v>
      </c>
      <c r="T7" s="33">
        <f>IF(T2&lt;$C$7,0,INDEX('Social Security'!$B$8:$J$8,1,MATCH($C$7,'Social Security'!$B$4:$J$4,0))/1000)</f>
        <v>0</v>
      </c>
      <c r="U7" s="33">
        <f>IF(U2&lt;$C$7,0,INDEX('Social Security'!$B$8:$J$8,1,MATCH($C$7,'Social Security'!$B$4:$J$4,0))/1000)</f>
        <v>0</v>
      </c>
      <c r="V7" s="33">
        <f>IF(V2&lt;$C$7,0,INDEX('Social Security'!$B$8:$J$8,1,MATCH($C$7,'Social Security'!$B$4:$J$4,0))/1000)</f>
        <v>65.628</v>
      </c>
      <c r="W7" s="33">
        <f>IF(W2&lt;$C$7,0,INDEX('Social Security'!$B$8:$J$8,1,MATCH($C$7,'Social Security'!$B$4:$J$4,0))/1000)</f>
        <v>65.628</v>
      </c>
      <c r="X7" s="33">
        <f>IF(X2&lt;$C$7,0,INDEX('Social Security'!$B$8:$J$8,1,MATCH($C$7,'Social Security'!$B$4:$J$4,0))/1000)</f>
        <v>65.628</v>
      </c>
      <c r="Y7" s="33">
        <f>IF(Y2&lt;$C$7,0,INDEX('Social Security'!$B$8:$J$8,1,MATCH($C$7,'Social Security'!$B$4:$J$4,0))/1000)</f>
        <v>65.628</v>
      </c>
      <c r="Z7" s="33">
        <f>IF(Z2&lt;$C$7,0,INDEX('Social Security'!$B$8:$J$8,1,MATCH($C$7,'Social Security'!$B$4:$J$4,0))/1000)</f>
        <v>65.628</v>
      </c>
      <c r="AA7" s="33">
        <f>IF(AA2&lt;$C$7,0,INDEX('Social Security'!$B$8:$J$8,1,MATCH($C$7,'Social Security'!$B$4:$J$4,0))/1000)</f>
        <v>65.628</v>
      </c>
      <c r="AB7" s="33">
        <f>IF(AB2&lt;$C$7,0,INDEX('Social Security'!$B$8:$J$8,1,MATCH($C$7,'Social Security'!$B$4:$J$4,0))/1000)</f>
        <v>65.628</v>
      </c>
      <c r="AC7" s="33">
        <f>IF(AC2&lt;$C$7,0,INDEX('Social Security'!$B$8:$J$8,1,MATCH($C$7,'Social Security'!$B$4:$J$4,0))/1000)</f>
        <v>65.628</v>
      </c>
      <c r="AD7" s="33">
        <f>IF(AD2&lt;$C$7,0,INDEX('Social Security'!$B$8:$J$8,1,MATCH($C$7,'Social Security'!$B$4:$J$4,0))/1000)</f>
        <v>65.628</v>
      </c>
      <c r="AE7" s="33">
        <f>IF(AE2&lt;$C$7,0,INDEX('Social Security'!$B$8:$J$8,1,MATCH($C$7,'Social Security'!$B$4:$J$4,0))/1000)</f>
        <v>65.628</v>
      </c>
      <c r="AF7" s="33">
        <f>IF(AF2&lt;$C$7,0,INDEX('Social Security'!$B$8:$J$8,1,MATCH($C$7,'Social Security'!$B$4:$J$4,0))/1000)</f>
        <v>65.628</v>
      </c>
    </row>
    <row r="8" spans="1:32" x14ac:dyDescent="0.55000000000000004">
      <c r="A8" s="30" t="s">
        <v>12</v>
      </c>
      <c r="B8" t="s">
        <v>22</v>
      </c>
      <c r="C8" t="s">
        <v>76</v>
      </c>
      <c r="D8" s="33">
        <f>IF(D2&gt;=75,D25/VLOOKUP(D2,Assumptions!$A$11:$B$34,2,FALSE),0)</f>
        <v>0</v>
      </c>
      <c r="E8" s="33">
        <f>IF(E2&gt;=75,E25/VLOOKUP(E2,Assumptions!$A$11:$B$34,2,FALSE),0)</f>
        <v>0</v>
      </c>
      <c r="F8" s="33">
        <f>IF(F2&gt;=75,F25/VLOOKUP(F2,Assumptions!$A$11:$B$34,2,FALSE),0)</f>
        <v>0</v>
      </c>
      <c r="G8" s="33">
        <f>IF(G2&gt;=75,G25/VLOOKUP(G2,Assumptions!$A$11:$B$34,2,FALSE),0)</f>
        <v>0</v>
      </c>
      <c r="H8" s="33">
        <f>IF(H2&gt;=75,H25/VLOOKUP(H2,Assumptions!$A$11:$B$34,2,FALSE),0)</f>
        <v>0</v>
      </c>
      <c r="I8" s="33">
        <f>IF(I2&gt;=75,I25/VLOOKUP(I2,Assumptions!$A$11:$B$34,2,FALSE),0)</f>
        <v>0</v>
      </c>
      <c r="J8" s="33">
        <f>IF(J2&gt;=75,J25/VLOOKUP(J2,Assumptions!$A$11:$B$34,2,FALSE),0)</f>
        <v>0</v>
      </c>
      <c r="K8" s="33">
        <f>IF(K2&gt;=75,K25/VLOOKUP(K2,Assumptions!$A$11:$B$34,2,FALSE),0)</f>
        <v>0</v>
      </c>
      <c r="L8" s="33">
        <f>IF(L2&gt;=75,L25/VLOOKUP(L2,Assumptions!$A$11:$B$34,2,FALSE),0)</f>
        <v>0</v>
      </c>
      <c r="M8" s="33">
        <f>IF(M2&gt;=75,M25/VLOOKUP(M2,Assumptions!$A$11:$B$34,2,FALSE),0)</f>
        <v>0</v>
      </c>
      <c r="N8" s="33">
        <f>IF(N2&gt;=75,N25/VLOOKUP(N2,Assumptions!$A$11:$B$34,2,FALSE),0)</f>
        <v>0</v>
      </c>
      <c r="O8" s="33">
        <f>IF(O2&gt;=75,O25/VLOOKUP(O2,Assumptions!$A$11:$B$34,2,FALSE),0)</f>
        <v>0</v>
      </c>
      <c r="P8" s="33">
        <f>IF(P2&gt;=75,P25/VLOOKUP(P2,Assumptions!$A$11:$B$34,2,FALSE),0)</f>
        <v>0</v>
      </c>
      <c r="Q8" s="33">
        <f>IF(Q2&gt;=75,Q25/VLOOKUP(Q2,Assumptions!$A$11:$B$34,2,FALSE),0)</f>
        <v>0</v>
      </c>
      <c r="R8" s="33">
        <f>IF(R2&gt;=75,R25/VLOOKUP(R2,Assumptions!$A$11:$B$34,2,FALSE),0)</f>
        <v>0</v>
      </c>
      <c r="S8" s="33">
        <f>IF(S2&gt;=75,S25/VLOOKUP(S2,Assumptions!$A$11:$B$34,2,FALSE),0)</f>
        <v>0</v>
      </c>
      <c r="T8" s="33">
        <f>IF(T2&gt;=75,T25/VLOOKUP(T2,Assumptions!$A$11:$B$34,2,FALSE),0)</f>
        <v>0</v>
      </c>
      <c r="U8" s="33">
        <f>IF(U2&gt;=75,U25/VLOOKUP(U2,Assumptions!$A$11:$B$34,2,FALSE),0)</f>
        <v>0</v>
      </c>
      <c r="V8" s="33">
        <f>IF(V2&gt;=75,V25/VLOOKUP(V2,Assumptions!$A$11:$B$34,2,FALSE),0)</f>
        <v>0</v>
      </c>
      <c r="W8" s="33">
        <f>IF(W2&gt;=75,W25/VLOOKUP(W2,Assumptions!$A$11:$B$34,2,FALSE),0)</f>
        <v>0</v>
      </c>
      <c r="X8" s="33">
        <f>IF(X2&gt;=75,X25/VLOOKUP(X2,Assumptions!$A$11:$B$34,2,FALSE),0)</f>
        <v>0</v>
      </c>
      <c r="Y8" s="33">
        <f>IF(Y2&gt;=75,Y25/VLOOKUP(Y2,Assumptions!$A$11:$B$34,2,FALSE),0)</f>
        <v>0</v>
      </c>
      <c r="Z8" s="33">
        <f>IF(Z2&gt;=75,Z25/VLOOKUP(Z2,Assumptions!$A$11:$B$34,2,FALSE),0)</f>
        <v>0</v>
      </c>
      <c r="AA8" s="33">
        <f>IF(AA2&gt;=75,AA25/VLOOKUP(AA2,Assumptions!$A$11:$B$34,2,FALSE),0)</f>
        <v>0</v>
      </c>
      <c r="AB8" s="33">
        <f>IF(AB2&gt;=75,AB25/VLOOKUP(AB2,Assumptions!$A$11:$B$34,2,FALSE),0)</f>
        <v>0</v>
      </c>
      <c r="AC8" s="33">
        <f>IF(AC2&gt;=75,AC25/VLOOKUP(AC2,Assumptions!$A$11:$B$34,2,FALSE),0)</f>
        <v>0</v>
      </c>
      <c r="AD8" s="33">
        <f>IF(AD2&gt;=75,AD25/VLOOKUP(AD2,Assumptions!$A$11:$B$34,2,FALSE),0)</f>
        <v>70.749722256105827</v>
      </c>
      <c r="AE8" s="33">
        <f>IF(AE2&gt;=75,AE25/VLOOKUP(AE2,Assumptions!$A$11:$B$34,2,FALSE),0)</f>
        <v>75.775340712568038</v>
      </c>
      <c r="AF8" s="33">
        <f>IF(AF2&gt;=75,AF25/VLOOKUP(AF2,Assumptions!$A$11:$B$34,2,FALSE),0)</f>
        <v>80.799179622474441</v>
      </c>
    </row>
    <row r="9" spans="1:32" x14ac:dyDescent="0.55000000000000004">
      <c r="A9" s="30" t="s">
        <v>12</v>
      </c>
      <c r="B9" t="s">
        <v>27</v>
      </c>
      <c r="C9" t="s">
        <v>75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  <c r="U9" s="33">
        <v>0</v>
      </c>
      <c r="V9" s="33">
        <v>0</v>
      </c>
      <c r="W9" s="33">
        <v>0</v>
      </c>
      <c r="X9" s="33">
        <v>0</v>
      </c>
      <c r="Y9" s="33">
        <v>0</v>
      </c>
      <c r="Z9" s="33">
        <v>0</v>
      </c>
      <c r="AA9" s="33">
        <v>0</v>
      </c>
      <c r="AB9" s="33">
        <v>0</v>
      </c>
      <c r="AC9" s="33">
        <v>0</v>
      </c>
      <c r="AD9" s="33">
        <v>0</v>
      </c>
      <c r="AE9" s="33">
        <v>0</v>
      </c>
      <c r="AF9" s="33">
        <v>0</v>
      </c>
    </row>
    <row r="10" spans="1:32" x14ac:dyDescent="0.55000000000000004">
      <c r="A10" s="30" t="s">
        <v>12</v>
      </c>
      <c r="B10" t="s">
        <v>26</v>
      </c>
      <c r="C10" t="s">
        <v>75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</row>
    <row r="11" spans="1:32" x14ac:dyDescent="0.55000000000000004">
      <c r="A11" s="30" t="s">
        <v>12</v>
      </c>
      <c r="B11" t="s">
        <v>25</v>
      </c>
      <c r="C11" t="s">
        <v>75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F11" s="33">
        <v>0</v>
      </c>
    </row>
    <row r="12" spans="1:32" x14ac:dyDescent="0.55000000000000004">
      <c r="A12" s="30" t="s">
        <v>8</v>
      </c>
      <c r="B12" t="s">
        <v>2</v>
      </c>
      <c r="C12" t="s">
        <v>76</v>
      </c>
      <c r="D12" s="33">
        <f>D3+D4+D5+D6+D8</f>
        <v>100</v>
      </c>
      <c r="E12" s="33">
        <f>E3+E4+E5+E6+E8</f>
        <v>100</v>
      </c>
      <c r="F12" s="33">
        <f>F3+F4+F5+F6+F8</f>
        <v>100</v>
      </c>
      <c r="G12" s="33">
        <f>G3+G4+G5+G6+G8</f>
        <v>100</v>
      </c>
      <c r="H12" s="33">
        <f>H3+H4+H5+H6+H8</f>
        <v>100</v>
      </c>
      <c r="I12" s="33">
        <f>I3+I4+I5+I6+I8</f>
        <v>100</v>
      </c>
      <c r="J12" s="33">
        <f>J3+J4+J5+J6+J8</f>
        <v>100</v>
      </c>
      <c r="K12" s="33">
        <f>K3+K4+K5+K6+K8</f>
        <v>100</v>
      </c>
      <c r="L12" s="33">
        <f>L3+L4+L5+L6+L8</f>
        <v>100</v>
      </c>
      <c r="M12" s="33">
        <f>M3+M4+M5+M6+M8</f>
        <v>100</v>
      </c>
      <c r="N12" s="33">
        <f>N3+N4+N5+N6+N8</f>
        <v>100</v>
      </c>
      <c r="O12" s="33">
        <f>O3+O4+O5+O6+O8</f>
        <v>100</v>
      </c>
      <c r="P12" s="33">
        <f>P3+P4+P5+P6+P8</f>
        <v>100</v>
      </c>
      <c r="Q12" s="33">
        <f>Q3+Q4+Q5+Q6+Q8</f>
        <v>100</v>
      </c>
      <c r="R12" s="33">
        <f>R3+R4+R5+R6+R8</f>
        <v>100</v>
      </c>
      <c r="S12" s="33">
        <f>S3+S4+S5+S6+S8</f>
        <v>75</v>
      </c>
      <c r="T12" s="33">
        <f>T3+T4+T5+T6+T8</f>
        <v>75</v>
      </c>
      <c r="U12" s="33">
        <f>U3+U4+U5+U6+U8</f>
        <v>75</v>
      </c>
      <c r="V12" s="33">
        <f>V3+V4+V5+V6+V8</f>
        <v>0</v>
      </c>
      <c r="W12" s="33">
        <f>W3+W4+W5+W6+W8</f>
        <v>0</v>
      </c>
      <c r="X12" s="33">
        <f>X3+X4+X5+X6+X8</f>
        <v>0</v>
      </c>
      <c r="Y12" s="33">
        <f>Y3+Y4+Y5+Y6+Y8</f>
        <v>0</v>
      </c>
      <c r="Z12" s="33">
        <f>Z3+Z4+Z5+Z6+Z8</f>
        <v>0</v>
      </c>
      <c r="AA12" s="33">
        <f>AA3+AA4+AA5+AA6+AA8</f>
        <v>0</v>
      </c>
      <c r="AB12" s="33">
        <f>AB3+AB4+AB5+AB6+AB8</f>
        <v>0</v>
      </c>
      <c r="AC12" s="33">
        <f>AC3+AC4+AC5+AC6+AC8</f>
        <v>0</v>
      </c>
      <c r="AD12" s="33">
        <f>AD3+AD4+AD5+AD6+AD8</f>
        <v>70.749722256105827</v>
      </c>
      <c r="AE12" s="33">
        <f>AE3+AE4+AE5+AE6+AE8</f>
        <v>75.775340712568038</v>
      </c>
      <c r="AF12" s="33">
        <f>AF3+AF4+AF5+AF6+AF8</f>
        <v>80.799179622474441</v>
      </c>
    </row>
    <row r="13" spans="1:32" x14ac:dyDescent="0.55000000000000004">
      <c r="A13" s="30" t="s">
        <v>16</v>
      </c>
      <c r="B13" t="s">
        <v>17</v>
      </c>
      <c r="C13" t="s">
        <v>76</v>
      </c>
      <c r="D13" s="33">
        <f>D12+D17+D7*0.5</f>
        <v>100</v>
      </c>
      <c r="E13" s="33">
        <f>E12+E17+E7*0.5</f>
        <v>100</v>
      </c>
      <c r="F13" s="33">
        <f>F12+F17+F7*0.5</f>
        <v>100</v>
      </c>
      <c r="G13" s="33">
        <f>G12+G17+G7*0.5</f>
        <v>100</v>
      </c>
      <c r="H13" s="33">
        <f>H12+H17+H7*0.5</f>
        <v>100</v>
      </c>
      <c r="I13" s="33">
        <f>I12+I17+I7*0.5</f>
        <v>100</v>
      </c>
      <c r="J13" s="33">
        <f>J12+J17+J7*0.5</f>
        <v>100</v>
      </c>
      <c r="K13" s="33">
        <f>K12+K17+K7*0.5</f>
        <v>100</v>
      </c>
      <c r="L13" s="33">
        <f>L12+L17+L7*0.5</f>
        <v>100</v>
      </c>
      <c r="M13" s="33">
        <f>M12+M17+M7*0.5</f>
        <v>100</v>
      </c>
      <c r="N13" s="33">
        <f>N12+N17+N7*0.5</f>
        <v>100</v>
      </c>
      <c r="O13" s="33">
        <f>O12+O17+O7*0.5</f>
        <v>100</v>
      </c>
      <c r="P13" s="33">
        <f>P12+P17+P7*0.5</f>
        <v>100</v>
      </c>
      <c r="Q13" s="33">
        <f>Q12+Q17+Q7*0.5</f>
        <v>100</v>
      </c>
      <c r="R13" s="33">
        <f>R12+R17+R7*0.5</f>
        <v>100</v>
      </c>
      <c r="S13" s="33">
        <f>S12+S17+S7*0.5</f>
        <v>75</v>
      </c>
      <c r="T13" s="33">
        <f>T12+T17+T7*0.5</f>
        <v>75</v>
      </c>
      <c r="U13" s="33">
        <f>U12+U17+U7*0.5</f>
        <v>75</v>
      </c>
      <c r="V13" s="33">
        <f>V12+V17+V7*0.5</f>
        <v>32.814</v>
      </c>
      <c r="W13" s="33">
        <f>W12+W17+W7*0.5</f>
        <v>32.814</v>
      </c>
      <c r="X13" s="33">
        <f>X12+X17+X7*0.5</f>
        <v>32.814</v>
      </c>
      <c r="Y13" s="33">
        <f>Y12+Y17+Y7*0.5</f>
        <v>32.814</v>
      </c>
      <c r="Z13" s="33">
        <f>Z12+Z17+Z7*0.5</f>
        <v>32.814</v>
      </c>
      <c r="AA13" s="33">
        <f>AA12+AA17+AA7*0.5</f>
        <v>32.814</v>
      </c>
      <c r="AB13" s="33">
        <f>AB12+AB17+AB7*0.5</f>
        <v>32.814</v>
      </c>
      <c r="AC13" s="33">
        <f>AC12+AC17+AC7*0.5</f>
        <v>32.814</v>
      </c>
      <c r="AD13" s="33">
        <f>AD12+AD17+AD7*0.5</f>
        <v>103.56372225610582</v>
      </c>
      <c r="AE13" s="33">
        <f>AE12+AE17+AE7*0.5</f>
        <v>108.58934071256803</v>
      </c>
      <c r="AF13" s="33">
        <f>AF12+AF17+AF7*0.5</f>
        <v>113.61317962247443</v>
      </c>
    </row>
    <row r="14" spans="1:32" x14ac:dyDescent="0.55000000000000004">
      <c r="A14" s="30" t="s">
        <v>16</v>
      </c>
      <c r="B14" t="s">
        <v>18</v>
      </c>
      <c r="C14" t="s">
        <v>76</v>
      </c>
      <c r="D14" s="34">
        <f>IF(D13&lt;32,0,IF(D13&lt;44,0.5,0.85))</f>
        <v>0.85</v>
      </c>
      <c r="E14" s="34">
        <f>IF(E13&lt;32,0,IF(E13&lt;44,0.5,0.85))</f>
        <v>0.85</v>
      </c>
      <c r="F14" s="34">
        <f>IF(F13&lt;32,0,IF(F13&lt;44,0.5,0.85))</f>
        <v>0.85</v>
      </c>
      <c r="G14" s="34">
        <f>IF(G13&lt;32,0,IF(G13&lt;44,0.5,0.85))</f>
        <v>0.85</v>
      </c>
      <c r="H14" s="34">
        <f>IF(H13&lt;32,0,IF(H13&lt;44,0.5,0.85))</f>
        <v>0.85</v>
      </c>
      <c r="I14" s="34">
        <f>IF(I13&lt;32,0,IF(I13&lt;44,0.5,0.85))</f>
        <v>0.85</v>
      </c>
      <c r="J14" s="34">
        <f>IF(J13&lt;32,0,IF(J13&lt;44,0.5,0.85))</f>
        <v>0.85</v>
      </c>
      <c r="K14" s="34">
        <f>IF(K13&lt;32,0,IF(K13&lt;44,0.5,0.85))</f>
        <v>0.85</v>
      </c>
      <c r="L14" s="34">
        <f>IF(L13&lt;32,0,IF(L13&lt;44,0.5,0.85))</f>
        <v>0.85</v>
      </c>
      <c r="M14" s="34">
        <f>IF(M13&lt;32,0,IF(M13&lt;44,0.5,0.85))</f>
        <v>0.85</v>
      </c>
      <c r="N14" s="34">
        <f>IF(N13&lt;32,0,IF(N13&lt;44,0.5,0.85))</f>
        <v>0.85</v>
      </c>
      <c r="O14" s="34">
        <f>IF(O13&lt;32,0,IF(O13&lt;44,0.5,0.85))</f>
        <v>0.85</v>
      </c>
      <c r="P14" s="34">
        <f>IF(P13&lt;32,0,IF(P13&lt;44,0.5,0.85))</f>
        <v>0.85</v>
      </c>
      <c r="Q14" s="34">
        <f>IF(Q13&lt;32,0,IF(Q13&lt;44,0.5,0.85))</f>
        <v>0.85</v>
      </c>
      <c r="R14" s="34">
        <f>IF(R13&lt;32,0,IF(R13&lt;44,0.5,0.85))</f>
        <v>0.85</v>
      </c>
      <c r="S14" s="34">
        <f>IF(S13&lt;32,0,IF(S13&lt;44,0.5,0.85))</f>
        <v>0.85</v>
      </c>
      <c r="T14" s="34">
        <f>IF(T13&lt;32,0,IF(T13&lt;44,0.5,0.85))</f>
        <v>0.85</v>
      </c>
      <c r="U14" s="34">
        <f>IF(U13&lt;32,0,IF(U13&lt;44,0.5,0.85))</f>
        <v>0.85</v>
      </c>
      <c r="V14" s="34">
        <f>IF(V13&lt;32,0,IF(V13&lt;44,0.5,0.85))</f>
        <v>0.5</v>
      </c>
      <c r="W14" s="34">
        <f>IF(W13&lt;32,0,IF(W13&lt;44,0.5,0.85))</f>
        <v>0.5</v>
      </c>
      <c r="X14" s="34">
        <f>IF(X13&lt;32,0,IF(X13&lt;44,0.5,0.85))</f>
        <v>0.5</v>
      </c>
      <c r="Y14" s="34">
        <f>IF(Y13&lt;32,0,IF(Y13&lt;44,0.5,0.85))</f>
        <v>0.5</v>
      </c>
      <c r="Z14" s="34">
        <f>IF(Z13&lt;32,0,IF(Z13&lt;44,0.5,0.85))</f>
        <v>0.5</v>
      </c>
      <c r="AA14" s="34">
        <f>IF(AA13&lt;32,0,IF(AA13&lt;44,0.5,0.85))</f>
        <v>0.5</v>
      </c>
      <c r="AB14" s="34">
        <f>IF(AB13&lt;32,0,IF(AB13&lt;44,0.5,0.85))</f>
        <v>0.5</v>
      </c>
      <c r="AC14" s="34">
        <f>IF(AC13&lt;32,0,IF(AC13&lt;44,0.5,0.85))</f>
        <v>0.5</v>
      </c>
      <c r="AD14" s="34">
        <f>IF(AD13&lt;32,0,IF(AD13&lt;44,0.5,0.85))</f>
        <v>0.85</v>
      </c>
      <c r="AE14" s="34">
        <f>IF(AE13&lt;32,0,IF(AE13&lt;44,0.5,0.85))</f>
        <v>0.85</v>
      </c>
      <c r="AF14" s="34">
        <f>IF(AF13&lt;32,0,IF(AF13&lt;44,0.5,0.85))</f>
        <v>0.85</v>
      </c>
    </row>
    <row r="15" spans="1:32" x14ac:dyDescent="0.55000000000000004">
      <c r="A15" s="30" t="s">
        <v>16</v>
      </c>
      <c r="B15" t="s">
        <v>19</v>
      </c>
      <c r="C15" t="s">
        <v>76</v>
      </c>
      <c r="D15" s="33">
        <f>D7*D14</f>
        <v>0</v>
      </c>
      <c r="E15" s="33">
        <f>E7*E14</f>
        <v>0</v>
      </c>
      <c r="F15" s="33">
        <f>F7*F14</f>
        <v>0</v>
      </c>
      <c r="G15" s="33">
        <f>G7*G14</f>
        <v>0</v>
      </c>
      <c r="H15" s="33">
        <f>H7*H14</f>
        <v>0</v>
      </c>
      <c r="I15" s="33">
        <f>I7*I14</f>
        <v>0</v>
      </c>
      <c r="J15" s="33">
        <f>J7*J14</f>
        <v>0</v>
      </c>
      <c r="K15" s="33">
        <f>K7*K14</f>
        <v>0</v>
      </c>
      <c r="L15" s="33">
        <f>L7*L14</f>
        <v>0</v>
      </c>
      <c r="M15" s="33">
        <f>M7*M14</f>
        <v>0</v>
      </c>
      <c r="N15" s="33">
        <f>N7*N14</f>
        <v>0</v>
      </c>
      <c r="O15" s="33">
        <f>O7*O14</f>
        <v>0</v>
      </c>
      <c r="P15" s="33">
        <f>P7*P14</f>
        <v>0</v>
      </c>
      <c r="Q15" s="33">
        <f>Q7*Q14</f>
        <v>0</v>
      </c>
      <c r="R15" s="33">
        <f>R7*R14</f>
        <v>0</v>
      </c>
      <c r="S15" s="33">
        <f>S7*S14</f>
        <v>0</v>
      </c>
      <c r="T15" s="33">
        <f>T7*T14</f>
        <v>0</v>
      </c>
      <c r="U15" s="33">
        <f>U7*U14</f>
        <v>0</v>
      </c>
      <c r="V15" s="33">
        <f>V7*V14</f>
        <v>32.814</v>
      </c>
      <c r="W15" s="33">
        <f>W7*W14</f>
        <v>32.814</v>
      </c>
      <c r="X15" s="33">
        <f>X7*X14</f>
        <v>32.814</v>
      </c>
      <c r="Y15" s="33">
        <f>Y7*Y14</f>
        <v>32.814</v>
      </c>
      <c r="Z15" s="33">
        <f>Z7*Z14</f>
        <v>32.814</v>
      </c>
      <c r="AA15" s="33">
        <f>AA7*AA14</f>
        <v>32.814</v>
      </c>
      <c r="AB15" s="33">
        <f>AB7*AB14</f>
        <v>32.814</v>
      </c>
      <c r="AC15" s="33">
        <f>AC7*AC14</f>
        <v>32.814</v>
      </c>
      <c r="AD15" s="33">
        <f>AD7*AD14</f>
        <v>55.783799999999999</v>
      </c>
      <c r="AE15" s="33">
        <f>AE7*AE14</f>
        <v>55.783799999999999</v>
      </c>
      <c r="AF15" s="33">
        <f>AF7*AF14</f>
        <v>55.783799999999999</v>
      </c>
    </row>
    <row r="16" spans="1:32" x14ac:dyDescent="0.55000000000000004">
      <c r="A16" s="30" t="s">
        <v>33</v>
      </c>
      <c r="B16" t="s">
        <v>20</v>
      </c>
      <c r="C16" t="s">
        <v>76</v>
      </c>
      <c r="D16" s="33">
        <f>D12+D15</f>
        <v>100</v>
      </c>
      <c r="E16" s="33">
        <f>E12+E15</f>
        <v>100</v>
      </c>
      <c r="F16" s="33">
        <f>F12+F15</f>
        <v>100</v>
      </c>
      <c r="G16" s="33">
        <f>G12+G15</f>
        <v>100</v>
      </c>
      <c r="H16" s="33">
        <f>H12+H15</f>
        <v>100</v>
      </c>
      <c r="I16" s="33">
        <f>I12+I15</f>
        <v>100</v>
      </c>
      <c r="J16" s="33">
        <f>J12+J15</f>
        <v>100</v>
      </c>
      <c r="K16" s="33">
        <f>K12+K15</f>
        <v>100</v>
      </c>
      <c r="L16" s="33">
        <f>L12+L15</f>
        <v>100</v>
      </c>
      <c r="M16" s="33">
        <f>M12+M15</f>
        <v>100</v>
      </c>
      <c r="N16" s="33">
        <f>N12+N15</f>
        <v>100</v>
      </c>
      <c r="O16" s="33">
        <f>O12+O15</f>
        <v>100</v>
      </c>
      <c r="P16" s="33">
        <f>P12+P15</f>
        <v>100</v>
      </c>
      <c r="Q16" s="33">
        <f>Q12+Q15</f>
        <v>100</v>
      </c>
      <c r="R16" s="33">
        <f>R12+R15</f>
        <v>100</v>
      </c>
      <c r="S16" s="33">
        <f>S12+S15</f>
        <v>75</v>
      </c>
      <c r="T16" s="33">
        <f>T12+T15</f>
        <v>75</v>
      </c>
      <c r="U16" s="33">
        <f>U12+U15</f>
        <v>75</v>
      </c>
      <c r="V16" s="33">
        <f>V12+V15</f>
        <v>32.814</v>
      </c>
      <c r="W16" s="33">
        <f>W12+W15</f>
        <v>32.814</v>
      </c>
      <c r="X16" s="33">
        <f>X12+X15</f>
        <v>32.814</v>
      </c>
      <c r="Y16" s="33">
        <f>Y12+Y15</f>
        <v>32.814</v>
      </c>
      <c r="Z16" s="33">
        <f>Z12+Z15</f>
        <v>32.814</v>
      </c>
      <c r="AA16" s="33">
        <f>AA12+AA15</f>
        <v>32.814</v>
      </c>
      <c r="AB16" s="33">
        <f>AB12+AB15</f>
        <v>32.814</v>
      </c>
      <c r="AC16" s="33">
        <f>AC12+AC15</f>
        <v>32.814</v>
      </c>
      <c r="AD16" s="33">
        <f>AD12+AD15</f>
        <v>126.53352225610583</v>
      </c>
      <c r="AE16" s="33">
        <f>AE12+AE15</f>
        <v>131.55914071256802</v>
      </c>
      <c r="AF16" s="33">
        <f>AF12+AF15</f>
        <v>136.58297962247445</v>
      </c>
    </row>
    <row r="17" spans="1:32" x14ac:dyDescent="0.55000000000000004">
      <c r="A17" s="30" t="s">
        <v>34</v>
      </c>
      <c r="B17" t="s">
        <v>32</v>
      </c>
      <c r="C17" t="s">
        <v>76</v>
      </c>
      <c r="D17" s="33">
        <f>D9+D10</f>
        <v>0</v>
      </c>
      <c r="E17" s="33">
        <f>E9+E10</f>
        <v>0</v>
      </c>
      <c r="F17" s="33">
        <f>F9+F10</f>
        <v>0</v>
      </c>
      <c r="G17" s="33">
        <f>G9+G10</f>
        <v>0</v>
      </c>
      <c r="H17" s="33">
        <f>H9+H10</f>
        <v>0</v>
      </c>
      <c r="I17" s="33">
        <f>I9+I10</f>
        <v>0</v>
      </c>
      <c r="J17" s="33">
        <f>J9+J10</f>
        <v>0</v>
      </c>
      <c r="K17" s="33">
        <f>K9+K10</f>
        <v>0</v>
      </c>
      <c r="L17" s="33">
        <f>L9+L10</f>
        <v>0</v>
      </c>
      <c r="M17" s="33">
        <f>M9+M10</f>
        <v>0</v>
      </c>
      <c r="N17" s="33">
        <f>N9+N10</f>
        <v>0</v>
      </c>
      <c r="O17" s="33">
        <f>O9+O10</f>
        <v>0</v>
      </c>
      <c r="P17" s="33">
        <f>P9+P10</f>
        <v>0</v>
      </c>
      <c r="Q17" s="33">
        <f>Q9+Q10</f>
        <v>0</v>
      </c>
      <c r="R17" s="33">
        <f>R9+R10</f>
        <v>0</v>
      </c>
      <c r="S17" s="33">
        <f>S9+S10</f>
        <v>0</v>
      </c>
      <c r="T17" s="33">
        <f>T9+T10</f>
        <v>0</v>
      </c>
      <c r="U17" s="33">
        <f>U9+U10</f>
        <v>0</v>
      </c>
      <c r="V17" s="33">
        <f>V9+V10</f>
        <v>0</v>
      </c>
      <c r="W17" s="33">
        <f>W9+W10</f>
        <v>0</v>
      </c>
      <c r="X17" s="33">
        <f>X9+X10</f>
        <v>0</v>
      </c>
      <c r="Y17" s="33">
        <f>Y9+Y10</f>
        <v>0</v>
      </c>
      <c r="Z17" s="33">
        <f>Z9+Z10</f>
        <v>0</v>
      </c>
      <c r="AA17" s="33">
        <f>AA9+AA10</f>
        <v>0</v>
      </c>
      <c r="AB17" s="33">
        <f>AB9+AB10</f>
        <v>0</v>
      </c>
      <c r="AC17" s="33">
        <f>AC9+AC10</f>
        <v>0</v>
      </c>
      <c r="AD17" s="33">
        <f>AD9+AD10</f>
        <v>0</v>
      </c>
      <c r="AE17" s="33">
        <f>AE9+AE10</f>
        <v>0</v>
      </c>
      <c r="AF17" s="33">
        <f>AF9+AF10</f>
        <v>0</v>
      </c>
    </row>
    <row r="18" spans="1:32" x14ac:dyDescent="0.55000000000000004">
      <c r="A18" s="30">
        <f>SUM(D18:AF18)</f>
        <v>163.65057507318519</v>
      </c>
      <c r="B18" t="s">
        <v>3</v>
      </c>
      <c r="C18" t="s">
        <v>76</v>
      </c>
      <c r="D18" s="33">
        <f>_xlfn.LET(_xlpm.o,D16,_xlpm.g,D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D6,MAX(0,_xlpm.o+_xlpm.g-250))*0.038)</f>
        <v>7.6400000000000006</v>
      </c>
      <c r="E18" s="33">
        <f>_xlfn.LET(_xlpm.o,E16,_xlpm.g,E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E6,MAX(0,_xlpm.o+_xlpm.g-250))*0.038)</f>
        <v>7.6400000000000006</v>
      </c>
      <c r="F18" s="33">
        <f>_xlfn.LET(_xlpm.o,F16,_xlpm.g,F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F6,MAX(0,_xlpm.o+_xlpm.g-250))*0.038)</f>
        <v>7.6400000000000006</v>
      </c>
      <c r="G18" s="33">
        <f>_xlfn.LET(_xlpm.o,G16,_xlpm.g,G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G6,MAX(0,_xlpm.o+_xlpm.g-250))*0.038)</f>
        <v>7.6400000000000006</v>
      </c>
      <c r="H18" s="33">
        <f>_xlfn.LET(_xlpm.o,H16,_xlpm.g,H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H6,MAX(0,_xlpm.o+_xlpm.g-250))*0.038)</f>
        <v>7.6400000000000006</v>
      </c>
      <c r="I18" s="33">
        <f>_xlfn.LET(_xlpm.o,I16,_xlpm.g,I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I6,MAX(0,_xlpm.o+_xlpm.g-250))*0.038)</f>
        <v>7.6400000000000006</v>
      </c>
      <c r="J18" s="33">
        <f>_xlfn.LET(_xlpm.o,J16,_xlpm.g,J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J6,MAX(0,_xlpm.o+_xlpm.g-250))*0.038)</f>
        <v>7.6400000000000006</v>
      </c>
      <c r="K18" s="33">
        <f>_xlfn.LET(_xlpm.o,K16,_xlpm.g,K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K6,MAX(0,_xlpm.o+_xlpm.g-250))*0.038)</f>
        <v>7.6400000000000006</v>
      </c>
      <c r="L18" s="33">
        <f>_xlfn.LET(_xlpm.o,L16,_xlpm.g,L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L6,MAX(0,_xlpm.o+_xlpm.g-250))*0.038)</f>
        <v>7.6400000000000006</v>
      </c>
      <c r="M18" s="33">
        <f>_xlfn.LET(_xlpm.o,M16,_xlpm.g,M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M6,MAX(0,_xlpm.o+_xlpm.g-250))*0.038)</f>
        <v>7.6400000000000006</v>
      </c>
      <c r="N18" s="33">
        <f>_xlfn.LET(_xlpm.o,N16,_xlpm.g,N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N6,MAX(0,_xlpm.o+_xlpm.g-250))*0.038)</f>
        <v>7.6400000000000006</v>
      </c>
      <c r="O18" s="33">
        <f>_xlfn.LET(_xlpm.o,O16,_xlpm.g,O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O6,MAX(0,_xlpm.o+_xlpm.g-250))*0.038)</f>
        <v>7.6400000000000006</v>
      </c>
      <c r="P18" s="33">
        <f>_xlfn.LET(_xlpm.o,P16,_xlpm.g,P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P6,MAX(0,_xlpm.o+_xlpm.g-250))*0.038)</f>
        <v>7.6400000000000006</v>
      </c>
      <c r="Q18" s="33">
        <f>_xlfn.LET(_xlpm.o,Q16,_xlpm.g,Q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Q6,MAX(0,_xlpm.o+_xlpm.g-250))*0.038)</f>
        <v>7.6400000000000006</v>
      </c>
      <c r="R18" s="33">
        <f>_xlfn.LET(_xlpm.o,R16,_xlpm.g,R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R6,MAX(0,_xlpm.o+_xlpm.g-250))*0.038)</f>
        <v>7.6400000000000006</v>
      </c>
      <c r="S18" s="33">
        <f>_xlfn.LET(_xlpm.o,S16,_xlpm.g,S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S6,MAX(0,_xlpm.o+_xlpm.g-250))*0.038)</f>
        <v>4.6400000000000006</v>
      </c>
      <c r="T18" s="33">
        <f>_xlfn.LET(_xlpm.o,T16,_xlpm.g,T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T6,MAX(0,_xlpm.o+_xlpm.g-250))*0.038)</f>
        <v>4.6400000000000006</v>
      </c>
      <c r="U18" s="33">
        <f>_xlfn.LET(_xlpm.o,U16,_xlpm.g,U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U6,MAX(0,_xlpm.o+_xlpm.g-250))*0.038)</f>
        <v>4.6400000000000006</v>
      </c>
      <c r="V18" s="33">
        <f>_xlfn.LET(_xlpm.o,V16,_xlpm.g,V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V6,MAX(0,_xlpm.o+_xlpm.g-250))*0.038)</f>
        <v>6.1399999999999726E-2</v>
      </c>
      <c r="W18" s="33">
        <f>_xlfn.LET(_xlpm.o,W16,_xlpm.g,W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W6,MAX(0,_xlpm.o+_xlpm.g-250))*0.038)</f>
        <v>6.1399999999999726E-2</v>
      </c>
      <c r="X18" s="33">
        <f>_xlfn.LET(_xlpm.o,X16,_xlpm.g,X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X6,MAX(0,_xlpm.o+_xlpm.g-250))*0.038)</f>
        <v>6.1399999999999726E-2</v>
      </c>
      <c r="Y18" s="33">
        <f>_xlfn.LET(_xlpm.o,Y16,_xlpm.g,Y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Y6,MAX(0,_xlpm.o+_xlpm.g-250))*0.038)</f>
        <v>6.1399999999999726E-2</v>
      </c>
      <c r="Z18" s="33">
        <f>_xlfn.LET(_xlpm.o,Z16,_xlpm.g,Z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Z6,MAX(0,_xlpm.o+_xlpm.g-250))*0.038)</f>
        <v>6.1399999999999726E-2</v>
      </c>
      <c r="AA18" s="33">
        <f>_xlfn.LET(_xlpm.o,AA16,_xlpm.g,AA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AA6,MAX(0,_xlpm.o+_xlpm.g-250))*0.038)</f>
        <v>6.1399999999999726E-2</v>
      </c>
      <c r="AB18" s="33">
        <f>_xlfn.LET(_xlpm.o,AB16,_xlpm.g,AB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AB6,MAX(0,_xlpm.o+_xlpm.g-250))*0.038)</f>
        <v>6.1399999999999726E-2</v>
      </c>
      <c r="AC18" s="33">
        <f>_xlfn.LET(_xlpm.o,AC16,_xlpm.g,AC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AC6,MAX(0,_xlpm.o+_xlpm.g-250))*0.038)</f>
        <v>6.1399999999999726E-2</v>
      </c>
      <c r="AD18" s="33">
        <f>_xlfn.LET(_xlpm.o,AD16,_xlpm.g,AD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AD6,MAX(0,_xlpm.o+_xlpm.g-250))*0.038)</f>
        <v>10.824022670732699</v>
      </c>
      <c r="AE18" s="33">
        <f>_xlfn.LET(_xlpm.o,AE16,_xlpm.g,AE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AE6,MAX(0,_xlpm.o+_xlpm.g-250))*0.038)</f>
        <v>11.427096885508163</v>
      </c>
      <c r="AF18" s="33">
        <f>_xlfn.LET(_xlpm.o,AF16,_xlpm.g,AF17,_xlpm.t,MAX(0,_xlpm.o-32.2),_xlpm.x,MAX(0,MIN(_xlpm.t,24.8))*0.1+MAX(0,MIN(_xlpm.t,100.8)-24.8)*0.12+MAX(0,MIN(_xlpm.t,211.4)-100.8)*0.22+MAX(0,MIN(_xlpm.t,403.55)-211.4)*0.24+MAX(0,MIN(_xlpm.t,512.45)-403.55)*0.32+MAX(0,MIN(_xlpm.t,768.7)-512.45)*0.35+MAX(0,_xlpm.t-768.7)*0.37,_xlpm.a,MIN(_xlpm.g,MAX(0,98.4-_xlpm.t)),_xlpm.b,MIN(_xlpm.g-_xlpm.a,MAX(0,613.7-MAX(_xlpm.t,98.4))),_xlpm.x+_xlpm.b*0.15+(_xlpm.g-_xlpm.a-_xlpm.b)*0.2+MIN(_xlpm.g+AF6,MAX(0,_xlpm.o+_xlpm.g-250))*0.038)</f>
        <v>12.38825551694438</v>
      </c>
    </row>
    <row r="19" spans="1:32" x14ac:dyDescent="0.55000000000000004">
      <c r="A19" s="30" t="s">
        <v>13</v>
      </c>
      <c r="B19" t="s">
        <v>4</v>
      </c>
      <c r="C19" t="s">
        <v>76</v>
      </c>
      <c r="D19" s="33">
        <f>D16+D17</f>
        <v>100</v>
      </c>
      <c r="E19" s="33">
        <f>E16+E17</f>
        <v>100</v>
      </c>
      <c r="F19" s="33">
        <f>F16+F17</f>
        <v>100</v>
      </c>
      <c r="G19" s="33">
        <f>G16+G17</f>
        <v>100</v>
      </c>
      <c r="H19" s="33">
        <f>H16+H17</f>
        <v>100</v>
      </c>
      <c r="I19" s="33">
        <f>I16+I17</f>
        <v>100</v>
      </c>
      <c r="J19" s="33">
        <f>J16+J17</f>
        <v>100</v>
      </c>
      <c r="K19" s="33">
        <f>K16+K17</f>
        <v>100</v>
      </c>
      <c r="L19" s="33">
        <f>L16+L17</f>
        <v>100</v>
      </c>
      <c r="M19" s="33">
        <f>M16+M17</f>
        <v>100</v>
      </c>
      <c r="N19" s="33">
        <f>N16+N17</f>
        <v>100</v>
      </c>
      <c r="O19" s="33">
        <f>O16+O17</f>
        <v>100</v>
      </c>
      <c r="P19" s="33">
        <f>P16+P17</f>
        <v>100</v>
      </c>
      <c r="Q19" s="33">
        <f>Q16+Q17</f>
        <v>100</v>
      </c>
      <c r="R19" s="33">
        <f>R16+R17</f>
        <v>100</v>
      </c>
      <c r="S19" s="33">
        <f>S16+S17</f>
        <v>75</v>
      </c>
      <c r="T19" s="33">
        <f>T16+T17</f>
        <v>75</v>
      </c>
      <c r="U19" s="33">
        <f>U16+U17</f>
        <v>75</v>
      </c>
      <c r="V19" s="33">
        <f>V16+V17</f>
        <v>32.814</v>
      </c>
      <c r="W19" s="33">
        <f>W16+W17</f>
        <v>32.814</v>
      </c>
      <c r="X19" s="33">
        <f>X16+X17</f>
        <v>32.814</v>
      </c>
      <c r="Y19" s="33">
        <f>Y16+Y17</f>
        <v>32.814</v>
      </c>
      <c r="Z19" s="33">
        <f>Z16+Z17</f>
        <v>32.814</v>
      </c>
      <c r="AA19" s="33">
        <f>AA16+AA17</f>
        <v>32.814</v>
      </c>
      <c r="AB19" s="33">
        <f>AB16+AB17</f>
        <v>32.814</v>
      </c>
      <c r="AC19" s="33">
        <f>AC16+AC17</f>
        <v>32.814</v>
      </c>
      <c r="AD19" s="33">
        <f>AD16+AD17</f>
        <v>126.53352225610583</v>
      </c>
      <c r="AE19" s="33">
        <f>AE16+AE17</f>
        <v>131.55914071256802</v>
      </c>
      <c r="AF19" s="33">
        <f>AF16+AF17</f>
        <v>136.58297962247445</v>
      </c>
    </row>
    <row r="20" spans="1:32" x14ac:dyDescent="0.55000000000000004">
      <c r="A20" s="35" t="s">
        <v>13</v>
      </c>
      <c r="B20" s="20" t="s">
        <v>9</v>
      </c>
      <c r="C20" s="20" t="s">
        <v>76</v>
      </c>
      <c r="D20" s="20" t="str" cm="1">
        <f t="array" ref="D20">IF(D2&lt;65,IF(D19&lt;=Assumptions!$B$8,"✅ SAFE - $0 IRMAA","⚠️ IRMAA"),IF(INDEX($D$19:$AF$19,1,MAX(1,COLUMN()-COLUMN($D$19)-1))&lt;=Assumptions!$B$8,"✅ SAFE - $0 IRMAA","⚠️ IRMAA"))</f>
        <v>✅ SAFE - $0 IRMAA</v>
      </c>
      <c r="E20" s="20" t="str" cm="1">
        <f t="array" ref="E20">IF(E2&lt;65,IF(E19&lt;=Assumptions!$B$8,"✅ SAFE - $0 IRMAA","⚠️ IRMAA"),IF(INDEX($D$19:$AF$19,1,MAX(1,COLUMN()-COLUMN($D$19)-1))&lt;=Assumptions!$B$8,"✅ SAFE - $0 IRMAA","⚠️ IRMAA"))</f>
        <v>✅ SAFE - $0 IRMAA</v>
      </c>
      <c r="F20" s="20" t="str" cm="1">
        <f t="array" ref="F20">IF(F2&lt;65,IF(F19&lt;=Assumptions!$B$8,"✅ SAFE - $0 IRMAA","⚠️ IRMAA"),IF(INDEX($D$19:$AF$19,1,MAX(1,COLUMN()-COLUMN($D$19)-1))&lt;=Assumptions!$B$8,"✅ SAFE - $0 IRMAA","⚠️ IRMAA"))</f>
        <v>✅ SAFE - $0 IRMAA</v>
      </c>
      <c r="G20" s="20" t="str" cm="1">
        <f t="array" ref="G20">IF(G2&lt;65,IF(G19&lt;=Assumptions!$B$8,"✅ SAFE - $0 IRMAA","⚠️ IRMAA"),IF(INDEX($D$19:$AF$19,1,MAX(1,COLUMN()-COLUMN($D$19)-1))&lt;=Assumptions!$B$8,"✅ SAFE - $0 IRMAA","⚠️ IRMAA"))</f>
        <v>✅ SAFE - $0 IRMAA</v>
      </c>
      <c r="H20" s="20" t="str" cm="1">
        <f t="array" ref="H20">IF(H2&lt;65,IF(H19&lt;=Assumptions!$B$8,"✅ SAFE - $0 IRMAA","⚠️ IRMAA"),IF(INDEX($D$19:$AF$19,1,MAX(1,COLUMN()-COLUMN($D$19)-1))&lt;=Assumptions!$B$8,"✅ SAFE - $0 IRMAA","⚠️ IRMAA"))</f>
        <v>✅ SAFE - $0 IRMAA</v>
      </c>
      <c r="I20" s="20" t="str" cm="1">
        <f t="array" ref="I20">IF(I2&lt;65,IF(I19&lt;=Assumptions!$B$8,"✅ SAFE - $0 IRMAA","⚠️ IRMAA"),IF(INDEX($D$19:$AF$19,1,MAX(1,COLUMN()-COLUMN($D$19)-1))&lt;=Assumptions!$B$8,"✅ SAFE - $0 IRMAA","⚠️ IRMAA"))</f>
        <v>✅ SAFE - $0 IRMAA</v>
      </c>
      <c r="J20" s="20" t="str" cm="1">
        <f t="array" ref="J20">IF(J2&lt;65,IF(J19&lt;=Assumptions!$B$8,"✅ SAFE - $0 IRMAA","⚠️ IRMAA"),IF(INDEX($D$19:$AF$19,1,MAX(1,COLUMN()-COLUMN($D$19)-1))&lt;=Assumptions!$B$8,"✅ SAFE - $0 IRMAA","⚠️ IRMAA"))</f>
        <v>✅ SAFE - $0 IRMAA</v>
      </c>
      <c r="K20" s="20" t="str" cm="1">
        <f t="array" ref="K20">IF(K2&lt;65,IF(K19&lt;=Assumptions!$B$8,"✅ SAFE - $0 IRMAA","⚠️ IRMAA"),IF(INDEX($D$19:$AF$19,1,MAX(1,COLUMN()-COLUMN($D$19)-1))&lt;=Assumptions!$B$8,"✅ SAFE - $0 IRMAA","⚠️ IRMAA"))</f>
        <v>✅ SAFE - $0 IRMAA</v>
      </c>
      <c r="L20" s="20" t="str" cm="1">
        <f t="array" ref="L20">IF(L2&lt;65,IF(L19&lt;=Assumptions!$B$8,"✅ SAFE - $0 IRMAA","⚠️ IRMAA"),IF(INDEX($D$19:$AF$19,1,MAX(1,COLUMN()-COLUMN($D$19)-1))&lt;=Assumptions!$B$8,"✅ SAFE - $0 IRMAA","⚠️ IRMAA"))</f>
        <v>✅ SAFE - $0 IRMAA</v>
      </c>
      <c r="M20" s="20" t="str" cm="1">
        <f t="array" ref="M20">IF(M2&lt;65,IF(M19&lt;=Assumptions!$B$8,"✅ SAFE - $0 IRMAA","⚠️ IRMAA"),IF(INDEX($D$19:$AF$19,1,MAX(1,COLUMN()-COLUMN($D$19)-1))&lt;=Assumptions!$B$8,"✅ SAFE - $0 IRMAA","⚠️ IRMAA"))</f>
        <v>✅ SAFE - $0 IRMAA</v>
      </c>
      <c r="N20" s="20" t="str" cm="1">
        <f t="array" ref="N20">IF(N2&lt;65,IF(N19&lt;=Assumptions!$B$8,"✅ SAFE - $0 IRMAA","⚠️ IRMAA"),IF(INDEX($D$19:$AF$19,1,MAX(1,COLUMN()-COLUMN($D$19)-1))&lt;=Assumptions!$B$8,"✅ SAFE - $0 IRMAA","⚠️ IRMAA"))</f>
        <v>✅ SAFE - $0 IRMAA</v>
      </c>
      <c r="O20" s="20" t="str" cm="1">
        <f t="array" ref="O20">IF(O2&lt;65,IF(O19&lt;=Assumptions!$B$8,"✅ SAFE - $0 IRMAA","⚠️ IRMAA"),IF(INDEX($D$19:$AF$19,1,MAX(1,COLUMN()-COLUMN($D$19)-1))&lt;=Assumptions!$B$8,"✅ SAFE - $0 IRMAA","⚠️ IRMAA"))</f>
        <v>✅ SAFE - $0 IRMAA</v>
      </c>
      <c r="P20" s="20" t="str" cm="1">
        <f t="array" ref="P20">IF(P2&lt;65,IF(P19&lt;=Assumptions!$B$8,"✅ SAFE - $0 IRMAA","⚠️ IRMAA"),IF(INDEX($D$19:$AF$19,1,MAX(1,COLUMN()-COLUMN($D$19)-1))&lt;=Assumptions!$B$8,"✅ SAFE - $0 IRMAA","⚠️ IRMAA"))</f>
        <v>✅ SAFE - $0 IRMAA</v>
      </c>
      <c r="Q20" s="20" t="str" cm="1">
        <f t="array" ref="Q20">IF(Q2&lt;65,IF(Q19&lt;=Assumptions!$B$8,"✅ SAFE - $0 IRMAA","⚠️ IRMAA"),IF(INDEX($D$19:$AF$19,1,MAX(1,COLUMN()-COLUMN($D$19)-1))&lt;=Assumptions!$B$8,"✅ SAFE - $0 IRMAA","⚠️ IRMAA"))</f>
        <v>✅ SAFE - $0 IRMAA</v>
      </c>
      <c r="R20" s="20" t="str" cm="1">
        <f t="array" ref="R20">IF(R2&lt;65,IF(R19&lt;=Assumptions!$B$8,"✅ SAFE - $0 IRMAA","⚠️ IRMAA"),IF(INDEX($D$19:$AF$19,1,MAX(1,COLUMN()-COLUMN($D$19)-1))&lt;=Assumptions!$B$8,"✅ SAFE - $0 IRMAA","⚠️ IRMAA"))</f>
        <v>✅ SAFE - $0 IRMAA</v>
      </c>
      <c r="S20" s="20" t="str" cm="1">
        <f t="array" ref="S20">IF(S2&lt;65,IF(S19&lt;=Assumptions!$B$8,"✅ SAFE - $0 IRMAA","⚠️ IRMAA"),IF(INDEX($D$19:$AF$19,1,MAX(1,COLUMN()-COLUMN($D$19)-1))&lt;=Assumptions!$B$8,"✅ SAFE - $0 IRMAA","⚠️ IRMAA"))</f>
        <v>✅ SAFE - $0 IRMAA</v>
      </c>
      <c r="T20" s="20" t="str" cm="1">
        <f t="array" ref="T20">IF(T2&lt;65,IF(T19&lt;=Assumptions!$B$8,"✅ SAFE - $0 IRMAA","⚠️ IRMAA"),IF(INDEX($D$19:$AF$19,1,MAX(1,COLUMN()-COLUMN($D$19)-1))&lt;=Assumptions!$B$8,"✅ SAFE - $0 IRMAA","⚠️ IRMAA"))</f>
        <v>✅ SAFE - $0 IRMAA</v>
      </c>
      <c r="U20" s="20" t="str" cm="1">
        <f t="array" ref="U20">IF(U2&lt;65,IF(U19&lt;=Assumptions!$B$8,"✅ SAFE - $0 IRMAA","⚠️ IRMAA"),IF(INDEX($D$19:$AF$19,1,MAX(1,COLUMN()-COLUMN($D$19)-1))&lt;=Assumptions!$B$8,"✅ SAFE - $0 IRMAA","⚠️ IRMAA"))</f>
        <v>✅ SAFE - $0 IRMAA</v>
      </c>
      <c r="V20" s="20" t="str" cm="1">
        <f t="array" ref="V20">IF(V2&lt;65,IF(V19&lt;=Assumptions!$B$8,"✅ SAFE - $0 IRMAA","⚠️ IRMAA"),IF(INDEX($D$19:$AF$19,1,MAX(1,COLUMN()-COLUMN($D$19)-1))&lt;=Assumptions!$B$8,"✅ SAFE - $0 IRMAA","⚠️ IRMAA"))</f>
        <v>✅ SAFE - $0 IRMAA</v>
      </c>
      <c r="W20" s="20" t="str" cm="1">
        <f t="array" ref="W20">IF(W2&lt;65,IF(W19&lt;=Assumptions!$B$8,"✅ SAFE - $0 IRMAA","⚠️ IRMAA"),IF(INDEX($D$19:$AF$19,1,MAX(1,COLUMN()-COLUMN($D$19)-1))&lt;=Assumptions!$B$8,"✅ SAFE - $0 IRMAA","⚠️ IRMAA"))</f>
        <v>✅ SAFE - $0 IRMAA</v>
      </c>
      <c r="X20" s="20" t="str" cm="1">
        <f t="array" ref="X20">IF(X2&lt;65,IF(X19&lt;=Assumptions!$B$8,"✅ SAFE - $0 IRMAA","⚠️ IRMAA"),IF(INDEX($D$19:$AF$19,1,MAX(1,COLUMN()-COLUMN($D$19)-1))&lt;=Assumptions!$B$8,"✅ SAFE - $0 IRMAA","⚠️ IRMAA"))</f>
        <v>✅ SAFE - $0 IRMAA</v>
      </c>
      <c r="Y20" s="20" t="str" cm="1">
        <f t="array" ref="Y20">IF(Y2&lt;65,IF(Y19&lt;=Assumptions!$B$8,"✅ SAFE - $0 IRMAA","⚠️ IRMAA"),IF(INDEX($D$19:$AF$19,1,MAX(1,COLUMN()-COLUMN($D$19)-1))&lt;=Assumptions!$B$8,"✅ SAFE - $0 IRMAA","⚠️ IRMAA"))</f>
        <v>✅ SAFE - $0 IRMAA</v>
      </c>
      <c r="Z20" s="20" t="str" cm="1">
        <f t="array" ref="Z20">IF(Z2&lt;65,IF(Z19&lt;=Assumptions!$B$8,"✅ SAFE - $0 IRMAA","⚠️ IRMAA"),IF(INDEX($D$19:$AF$19,1,MAX(1,COLUMN()-COLUMN($D$19)-1))&lt;=Assumptions!$B$8,"✅ SAFE - $0 IRMAA","⚠️ IRMAA"))</f>
        <v>✅ SAFE - $0 IRMAA</v>
      </c>
      <c r="AA20" s="20" t="str" cm="1">
        <f t="array" ref="AA20">IF(AA2&lt;65,IF(AA19&lt;=Assumptions!$B$8,"✅ SAFE - $0 IRMAA","⚠️ IRMAA"),IF(INDEX($D$19:$AF$19,1,MAX(1,COLUMN()-COLUMN($D$19)-1))&lt;=Assumptions!$B$8,"✅ SAFE - $0 IRMAA","⚠️ IRMAA"))</f>
        <v>✅ SAFE - $0 IRMAA</v>
      </c>
      <c r="AB20" s="20" t="str" cm="1">
        <f t="array" ref="AB20">IF(AB2&lt;65,IF(AB19&lt;=Assumptions!$B$8,"✅ SAFE - $0 IRMAA","⚠️ IRMAA"),IF(INDEX($D$19:$AF$19,1,MAX(1,COLUMN()-COLUMN($D$19)-1))&lt;=Assumptions!$B$8,"✅ SAFE - $0 IRMAA","⚠️ IRMAA"))</f>
        <v>✅ SAFE - $0 IRMAA</v>
      </c>
      <c r="AC20" s="20" t="str" cm="1">
        <f t="array" ref="AC20">IF(AC2&lt;65,IF(AC19&lt;=Assumptions!$B$8,"✅ SAFE - $0 IRMAA","⚠️ IRMAA"),IF(INDEX($D$19:$AF$19,1,MAX(1,COLUMN()-COLUMN($D$19)-1))&lt;=Assumptions!$B$8,"✅ SAFE - $0 IRMAA","⚠️ IRMAA"))</f>
        <v>✅ SAFE - $0 IRMAA</v>
      </c>
      <c r="AD20" s="20" t="str" cm="1">
        <f t="array" ref="AD20">IF(AD2&lt;65,IF(AD19&lt;=Assumptions!$B$8,"✅ SAFE - $0 IRMAA","⚠️ IRMAA"),IF(INDEX($D$19:$AF$19,1,MAX(1,COLUMN()-COLUMN($D$19)-1))&lt;=Assumptions!$B$8,"✅ SAFE - $0 IRMAA","⚠️ IRMAA"))</f>
        <v>✅ SAFE - $0 IRMAA</v>
      </c>
      <c r="AE20" s="20" t="str" cm="1">
        <f t="array" ref="AE20">IF(AE2&lt;65,IF(AE19&lt;=Assumptions!$B$8,"✅ SAFE - $0 IRMAA","⚠️ IRMAA"),IF(INDEX($D$19:$AF$19,1,MAX(1,COLUMN()-COLUMN($D$19)-1))&lt;=Assumptions!$B$8,"✅ SAFE - $0 IRMAA","⚠️ IRMAA"))</f>
        <v>✅ SAFE - $0 IRMAA</v>
      </c>
      <c r="AF20" s="20" t="str" cm="1">
        <f t="array" ref="AF20">IF(AF2&lt;65,IF(AF19&lt;=Assumptions!$B$8,"✅ SAFE - $0 IRMAA","⚠️ IRMAA"),IF(INDEX($D$19:$AF$19,1,MAX(1,COLUMN()-COLUMN($D$19)-1))&lt;=Assumptions!$B$8,"✅ SAFE - $0 IRMAA","⚠️ IRMAA"))</f>
        <v>✅ SAFE - $0 IRMAA</v>
      </c>
    </row>
    <row r="21" spans="1:32" x14ac:dyDescent="0.55000000000000004">
      <c r="A21" s="30" t="s">
        <v>13</v>
      </c>
      <c r="B21" t="s">
        <v>21</v>
      </c>
      <c r="C21" t="s">
        <v>76</v>
      </c>
      <c r="D21" s="33">
        <f>SUM(D4:D11)</f>
        <v>100</v>
      </c>
      <c r="E21" s="33">
        <f>SUM(E4:E11)</f>
        <v>100</v>
      </c>
      <c r="F21" s="33">
        <f>SUM(F4:F11)</f>
        <v>100</v>
      </c>
      <c r="G21" s="33">
        <f>SUM(G4:G11)</f>
        <v>100</v>
      </c>
      <c r="H21" s="33">
        <f>SUM(H4:H11)</f>
        <v>100</v>
      </c>
      <c r="I21" s="33">
        <f>SUM(I4:I11)</f>
        <v>100</v>
      </c>
      <c r="J21" s="33">
        <f>SUM(J4:J11)</f>
        <v>100</v>
      </c>
      <c r="K21" s="33">
        <f>SUM(K4:K11)</f>
        <v>100</v>
      </c>
      <c r="L21" s="33">
        <f>SUM(L4:L11)</f>
        <v>100</v>
      </c>
      <c r="M21" s="33">
        <f>SUM(M4:M11)</f>
        <v>100</v>
      </c>
      <c r="N21" s="33">
        <f>SUM(N4:N11)</f>
        <v>100</v>
      </c>
      <c r="O21" s="33">
        <f>SUM(O4:O11)</f>
        <v>100</v>
      </c>
      <c r="P21" s="33">
        <f>SUM(P4:P11)</f>
        <v>100</v>
      </c>
      <c r="Q21" s="33">
        <f>SUM(Q4:Q11)</f>
        <v>100</v>
      </c>
      <c r="R21" s="33">
        <f>SUM(R4:R11)</f>
        <v>100</v>
      </c>
      <c r="S21" s="33">
        <f>SUM(S4:S11)</f>
        <v>75</v>
      </c>
      <c r="T21" s="33">
        <f>SUM(T4:T11)</f>
        <v>75</v>
      </c>
      <c r="U21" s="33">
        <f>SUM(U4:U11)</f>
        <v>75</v>
      </c>
      <c r="V21" s="33">
        <f>SUM(V4:V11)</f>
        <v>65.628</v>
      </c>
      <c r="W21" s="33">
        <f>SUM(W4:W11)</f>
        <v>65.628</v>
      </c>
      <c r="X21" s="33">
        <f>SUM(X4:X11)</f>
        <v>65.628</v>
      </c>
      <c r="Y21" s="33">
        <f>SUM(Y4:Y11)</f>
        <v>65.628</v>
      </c>
      <c r="Z21" s="33">
        <f>SUM(Z4:Z11)</f>
        <v>65.628</v>
      </c>
      <c r="AA21" s="33">
        <f>SUM(AA4:AA11)</f>
        <v>65.628</v>
      </c>
      <c r="AB21" s="33">
        <f>SUM(AB4:AB11)</f>
        <v>65.628</v>
      </c>
      <c r="AC21" s="33">
        <f>SUM(AC4:AC11)</f>
        <v>65.628</v>
      </c>
      <c r="AD21" s="33">
        <f>SUM(AD4:AD11)</f>
        <v>136.37772225610581</v>
      </c>
      <c r="AE21" s="33">
        <f>SUM(AE4:AE11)</f>
        <v>141.40334071256802</v>
      </c>
      <c r="AF21" s="33">
        <f>SUM(AF4:AF11)</f>
        <v>146.42717962247445</v>
      </c>
    </row>
    <row r="22" spans="1:32" x14ac:dyDescent="0.55000000000000004">
      <c r="A22" s="30" t="s">
        <v>14</v>
      </c>
      <c r="B22" t="s">
        <v>10</v>
      </c>
      <c r="C22" t="s">
        <v>76</v>
      </c>
      <c r="D22" s="33">
        <f>D21 - D18 - D31</f>
        <v>92.36</v>
      </c>
      <c r="E22" s="33">
        <f>E21 - E18 - E31</f>
        <v>86.36</v>
      </c>
      <c r="F22" s="33">
        <f>F21 - F18 - F31</f>
        <v>86.36</v>
      </c>
      <c r="G22" s="33">
        <f>G21 - G18 - G31</f>
        <v>86.36</v>
      </c>
      <c r="H22" s="33">
        <f>H21 - H18 - H31</f>
        <v>86.36</v>
      </c>
      <c r="I22" s="33">
        <f>I21 - I18 - I31</f>
        <v>86.36</v>
      </c>
      <c r="J22" s="33">
        <f>J21 - J18 - J31</f>
        <v>86.36</v>
      </c>
      <c r="K22" s="33">
        <f>K21 - K18 - K31</f>
        <v>86.36</v>
      </c>
      <c r="L22" s="33">
        <f>L21 - L18 - L31</f>
        <v>86.36</v>
      </c>
      <c r="M22" s="33">
        <f>M21 - M18 - M31</f>
        <v>86.36</v>
      </c>
      <c r="N22" s="33">
        <f>N21 - N18 - N31</f>
        <v>86.36</v>
      </c>
      <c r="O22" s="33">
        <f>O21 - O18 - O31</f>
        <v>86.36</v>
      </c>
      <c r="P22" s="33">
        <f>P21 - P18 - P31</f>
        <v>86.36</v>
      </c>
      <c r="Q22" s="33">
        <f>Q21 - Q18 - Q31</f>
        <v>86.36</v>
      </c>
      <c r="R22" s="33">
        <f>R21 - R18 - R31</f>
        <v>86.36</v>
      </c>
      <c r="S22" s="33">
        <f>S21 - S18 - S31</f>
        <v>70.36</v>
      </c>
      <c r="T22" s="33">
        <f>T21 - T18 - T31</f>
        <v>70.36</v>
      </c>
      <c r="U22" s="33">
        <f>U21 - U18 - U31</f>
        <v>70.36</v>
      </c>
      <c r="V22" s="33">
        <f>V21 - V18 - V31</f>
        <v>65.566599999999994</v>
      </c>
      <c r="W22" s="33">
        <f>W21 - W18 - W31</f>
        <v>65.566599999999994</v>
      </c>
      <c r="X22" s="33">
        <f>X21 - X18 - X31</f>
        <v>65.566599999999994</v>
      </c>
      <c r="Y22" s="33">
        <f>Y21 - Y18 - Y31</f>
        <v>65.566599999999994</v>
      </c>
      <c r="Z22" s="33">
        <f>Z21 - Z18 - Z31</f>
        <v>65.566599999999994</v>
      </c>
      <c r="AA22" s="33">
        <f>AA21 - AA18 - AA31</f>
        <v>65.566599999999994</v>
      </c>
      <c r="AB22" s="33">
        <f>AB21 - AB18 - AB31</f>
        <v>65.566599999999994</v>
      </c>
      <c r="AC22" s="33">
        <f>AC21 - AC18 - AC31</f>
        <v>65.566599999999994</v>
      </c>
      <c r="AD22" s="33">
        <f>AD21 - AD18 - AD31</f>
        <v>125.55369958537311</v>
      </c>
      <c r="AE22" s="33">
        <f>AE21 - AE18 - AE31</f>
        <v>129.97624382705988</v>
      </c>
      <c r="AF22" s="33">
        <f>AF21 - AF18 - AF31</f>
        <v>134.03892410553007</v>
      </c>
    </row>
    <row r="23" spans="1:32" x14ac:dyDescent="0.55000000000000004">
      <c r="A23" s="30" t="s">
        <v>14</v>
      </c>
      <c r="B23" t="s">
        <v>11</v>
      </c>
      <c r="C23" t="s">
        <v>76</v>
      </c>
      <c r="D23" s="33">
        <f>D22/12</f>
        <v>7.6966666666666663</v>
      </c>
      <c r="E23" s="33">
        <f>E22/12</f>
        <v>7.1966666666666663</v>
      </c>
      <c r="F23" s="33">
        <f>F22/12</f>
        <v>7.1966666666666663</v>
      </c>
      <c r="G23" s="33">
        <f>G22/12</f>
        <v>7.1966666666666663</v>
      </c>
      <c r="H23" s="33">
        <f>H22/12</f>
        <v>7.1966666666666663</v>
      </c>
      <c r="I23" s="33">
        <f>I22/12</f>
        <v>7.1966666666666663</v>
      </c>
      <c r="J23" s="33">
        <f>J22/12</f>
        <v>7.1966666666666663</v>
      </c>
      <c r="K23" s="33">
        <f>K22/12</f>
        <v>7.1966666666666663</v>
      </c>
      <c r="L23" s="33">
        <f>L22/12</f>
        <v>7.1966666666666663</v>
      </c>
      <c r="M23" s="33">
        <f>M22/12</f>
        <v>7.1966666666666663</v>
      </c>
      <c r="N23" s="33">
        <f>N22/12</f>
        <v>7.1966666666666663</v>
      </c>
      <c r="O23" s="33">
        <f>O22/12</f>
        <v>7.1966666666666663</v>
      </c>
      <c r="P23" s="33">
        <f>P22/12</f>
        <v>7.1966666666666663</v>
      </c>
      <c r="Q23" s="33">
        <f>Q22/12</f>
        <v>7.1966666666666663</v>
      </c>
      <c r="R23" s="33">
        <f>R22/12</f>
        <v>7.1966666666666663</v>
      </c>
      <c r="S23" s="33">
        <f>S22/12</f>
        <v>5.8633333333333333</v>
      </c>
      <c r="T23" s="33">
        <f>T22/12</f>
        <v>5.8633333333333333</v>
      </c>
      <c r="U23" s="33">
        <f>U22/12</f>
        <v>5.8633333333333333</v>
      </c>
      <c r="V23" s="33">
        <f>V22/12</f>
        <v>5.4638833333333325</v>
      </c>
      <c r="W23" s="33">
        <f>W22/12</f>
        <v>5.4638833333333325</v>
      </c>
      <c r="X23" s="33">
        <f>X22/12</f>
        <v>5.4638833333333325</v>
      </c>
      <c r="Y23" s="33">
        <f>Y22/12</f>
        <v>5.4638833333333325</v>
      </c>
      <c r="Z23" s="33">
        <f>Z22/12</f>
        <v>5.4638833333333325</v>
      </c>
      <c r="AA23" s="33">
        <f>AA22/12</f>
        <v>5.4638833333333325</v>
      </c>
      <c r="AB23" s="33">
        <f>AB22/12</f>
        <v>5.4638833333333325</v>
      </c>
      <c r="AC23" s="33">
        <f>AC22/12</f>
        <v>5.4638833333333325</v>
      </c>
      <c r="AD23" s="33">
        <f>AD22/12</f>
        <v>10.462808298781093</v>
      </c>
      <c r="AE23" s="33">
        <f>AE22/12</f>
        <v>10.83135365225499</v>
      </c>
      <c r="AF23" s="33">
        <f>AF22/12</f>
        <v>11.169910342127507</v>
      </c>
    </row>
    <row r="24" spans="1:32" x14ac:dyDescent="0.55000000000000004">
      <c r="A24">
        <f>AF24</f>
        <v>1786.4840409689461</v>
      </c>
      <c r="B24" t="s">
        <v>23</v>
      </c>
      <c r="C24" t="s">
        <v>76</v>
      </c>
      <c r="D24" s="33">
        <v>200</v>
      </c>
      <c r="E24" s="33">
        <f>D24*(1+$A$28)-E9+E31-E30+E32</f>
        <v>220.5</v>
      </c>
      <c r="F24" s="33">
        <f>E24*(1+$A$28)-F9+F31-F30+F32</f>
        <v>242.48625000000001</v>
      </c>
      <c r="G24" s="33">
        <f>F24*(1+$A$28)-G9+G31-G30+G32</f>
        <v>266.066503125</v>
      </c>
      <c r="H24" s="33">
        <f>G24*(1+$A$28)-H9+H31-H30+H32</f>
        <v>291.35632460156251</v>
      </c>
      <c r="I24" s="33">
        <f>H24*(1+$A$28)-I9+I31-I30+I32</f>
        <v>318.47965813517578</v>
      </c>
      <c r="J24" s="33">
        <f>I24*(1+$A$28)-J9+J31-J30+J32</f>
        <v>347.56943334997601</v>
      </c>
      <c r="K24" s="33">
        <f>J24*(1+$A$28)-K9+K31-K30+K32</f>
        <v>378.76821726784925</v>
      </c>
      <c r="L24" s="33">
        <f>K24*(1+$A$28)-L9+L31-L30+L32</f>
        <v>412.2289130197683</v>
      </c>
      <c r="M24" s="33">
        <f>L24*(1+$A$28)-M9+M31-M30+M32</f>
        <v>448.1155092137015</v>
      </c>
      <c r="N24" s="33">
        <f>M24*(1+$A$28)-N9+N31-N30+N32</f>
        <v>486.60388363169488</v>
      </c>
      <c r="O24" s="33">
        <f>N24*(1+$A$28)-O9+O31-O30+O32</f>
        <v>527.8826651949928</v>
      </c>
      <c r="P24" s="33">
        <f>O24*(1+$A$28)-P9+P31-P30+P32</f>
        <v>572.15415842162975</v>
      </c>
      <c r="Q24" s="33">
        <f>P24*(1+$A$28)-Q9+Q31-Q30+Q32</f>
        <v>619.63533490719794</v>
      </c>
      <c r="R24" s="33">
        <f>Q24*(1+$A$28)-R9+R31-R30+R32</f>
        <v>670.55889668796976</v>
      </c>
      <c r="S24" s="33">
        <f>R24*(1+$A$28)-S9+S31-S30+S32</f>
        <v>719.17441669784762</v>
      </c>
      <c r="T24" s="33">
        <f>S24*(1+$A$28)-T9+T31-T30+T32</f>
        <v>771.31456190844153</v>
      </c>
      <c r="U24" s="33">
        <f>T24*(1+$A$28)-U9+U31-U30+U32</f>
        <v>827.23486764680354</v>
      </c>
      <c r="V24" s="33">
        <f>U24*(1+$A$28)-V9+V31-V30+V32</f>
        <v>887.20939555119685</v>
      </c>
      <c r="W24" s="33">
        <f>V24*(1+$A$28)-W9+W31-W30+W32</f>
        <v>951.53207672865858</v>
      </c>
      <c r="X24" s="33">
        <f>W24*(1+$A$28)-X9+X31-X30+X32</f>
        <v>1020.5181522914863</v>
      </c>
      <c r="Y24" s="33">
        <f>X24*(1+$A$28)-Y9+Y31-Y30+Y32</f>
        <v>1094.5057183326192</v>
      </c>
      <c r="Z24" s="33">
        <f>Y24*(1+$A$28)-Z9+Z31-Z30+Z32</f>
        <v>1173.857382911734</v>
      </c>
      <c r="AA24" s="33">
        <f>Z24*(1+$A$28)-AA9+AA31-AA30+AA32</f>
        <v>1258.9620431728347</v>
      </c>
      <c r="AB24" s="33">
        <f>AA24*(1+$A$28)-AB9+AB31-AB30+AB32</f>
        <v>1350.2367913028652</v>
      </c>
      <c r="AC24" s="33">
        <f>AB24*(1+$A$28)-AC9+AC31-AC30+AC32</f>
        <v>1448.1289586723228</v>
      </c>
      <c r="AD24" s="33">
        <f>AC24*(1+$A$28)-AD9+AD31-AD30+AD32</f>
        <v>1553.1183081760662</v>
      </c>
      <c r="AE24" s="33">
        <f>AD24*(1+$A$28)-AE9+AE31-AE30+AE32</f>
        <v>1665.7193855188309</v>
      </c>
      <c r="AF24" s="33">
        <f>AE24*(1+$A$28)-AF9+AF31-AF30+AF32</f>
        <v>1786.4840409689461</v>
      </c>
    </row>
    <row r="25" spans="1:32" x14ac:dyDescent="0.55000000000000004">
      <c r="A25">
        <f>AF25</f>
        <v>1850.3012133546645</v>
      </c>
      <c r="B25" t="s">
        <v>109</v>
      </c>
      <c r="C25" t="s">
        <v>76</v>
      </c>
      <c r="D25" s="33">
        <v>350</v>
      </c>
      <c r="E25" s="33">
        <f>D25*(1+$A$28)-E3-E4+E33-D8</f>
        <v>381.375</v>
      </c>
      <c r="F25" s="33">
        <f>E25*(1+$A$28)-F3-F4+IF(F5&gt;149,18,0)-E8</f>
        <v>409.02468750000003</v>
      </c>
      <c r="G25" s="33">
        <f>F25*(1+$A$28)-G3-G4+IF(G5&gt;149,18,0)-F8</f>
        <v>438.67897734375003</v>
      </c>
      <c r="H25" s="33">
        <f>G25*(1+$A$28)-H3-H4+IF(H5&gt;149,18,0)-G8</f>
        <v>470.48320320117193</v>
      </c>
      <c r="I25" s="33">
        <f>H25*(1+$A$28)-I3-I4+IF(I5&gt;149,18,0)-H8</f>
        <v>504.59323543325689</v>
      </c>
      <c r="J25" s="33">
        <f>I25*(1+$A$28)-J3-J4+IF(J5&gt;149,18,0)-I8</f>
        <v>541.176245002168</v>
      </c>
      <c r="K25" s="33">
        <f>J25*(1+$A$28)-K3-K4+IF(K5&gt;149,18,0)-J8</f>
        <v>580.41152276482524</v>
      </c>
      <c r="L25" s="33">
        <f>K25*(1+$A$28)-L3-L4+IF(L5&gt;149,18,0)-K8</f>
        <v>622.49135816527507</v>
      </c>
      <c r="M25" s="33">
        <f>L25*(1+$A$28)-M3-M4+IF(M5&gt;149,18,0)-L8</f>
        <v>667.62198163225753</v>
      </c>
      <c r="N25" s="33">
        <f>M25*(1+$A$28)-N3-N4+IF(N5&gt;149,18,0)-M8</f>
        <v>716.02457530059621</v>
      </c>
      <c r="O25" s="33">
        <f>N25*(1+$A$28)-O3-O4+IF(O5&gt;149,18,0)-N8</f>
        <v>767.93635700988943</v>
      </c>
      <c r="P25" s="33">
        <f>O25*(1+$A$28)-P3-P4+IF(P5&gt;149,18,0)-O8</f>
        <v>823.61174289310645</v>
      </c>
      <c r="Q25" s="33">
        <f>P25*(1+$A$28)-Q3-Q4+IF(Q5&gt;149,18,0)-P8</f>
        <v>883.32359425285665</v>
      </c>
      <c r="R25" s="33">
        <f>Q25*(1+$A$28)-R3-R4+IF(R5&gt;149,18,0)-Q8</f>
        <v>947.36455483618874</v>
      </c>
      <c r="S25" s="33">
        <f>R25*(1+$A$28)-S3-S4+IF(S5&gt;149,18,0)-R8</f>
        <v>941.04848506181247</v>
      </c>
      <c r="T25" s="33">
        <f>S25*(1+$A$28)-T3-T4+IF(T5&gt;149,18,0)-S8</f>
        <v>934.27450022879384</v>
      </c>
      <c r="U25" s="33">
        <f>T25*(1+$A$28)-U3-U4+IF(U5&gt;149,18,0)-T8</f>
        <v>927.00940149538144</v>
      </c>
      <c r="V25" s="33">
        <f>U25*(1+$A$28)-V3-V4+IF(V5&gt;149,18,0)-U8</f>
        <v>994.21758310379664</v>
      </c>
      <c r="W25" s="33">
        <f>V25*(1+$A$28)-W3-W4+IF(W5&gt;149,18,0)-V8</f>
        <v>1066.2983578788219</v>
      </c>
      <c r="X25" s="33">
        <f>W25*(1+$A$28)-X3-X4+IF(X5&gt;149,18,0)-W8</f>
        <v>1143.6049888250366</v>
      </c>
      <c r="Y25" s="33">
        <f>X25*(1+$A$28)-Y3-Y4+IF(Y5&gt;149,18,0)-X8</f>
        <v>1226.5163505148516</v>
      </c>
      <c r="Z25" s="33">
        <f>Y25*(1+$A$28)-Z3-Z4+IF(Z5&gt;149,18,0)-Y8</f>
        <v>1315.4387859271783</v>
      </c>
      <c r="AA25" s="33">
        <f>Z25*(1+$A$28)-AA3-AA4+IF(AA5&gt;149,18,0)-Z8</f>
        <v>1410.8080979068986</v>
      </c>
      <c r="AB25" s="33">
        <f>AA25*(1+$A$28)-AB3-AB4+IF(AB5&gt;149,18,0)-AA8</f>
        <v>1513.0916850051487</v>
      </c>
      <c r="AC25" s="33">
        <f>AB25*(1+$A$28)-AC3-AC4+IF(AC5&gt;149,18,0)-AB8</f>
        <v>1622.790832168022</v>
      </c>
      <c r="AD25" s="33">
        <f>AC25*(1+$A$28)-AD3-AD4+IF(AD5&gt;149,18,0)-AC8</f>
        <v>1740.4431675002036</v>
      </c>
      <c r="AE25" s="33">
        <f>AD25*(1+$A$28)-AE3-AE4+IF(AE5&gt;149,18,0)-AD8</f>
        <v>1795.8755748878625</v>
      </c>
      <c r="AF25" s="33">
        <f>AE25*(1+$A$28)-AF3-AF4+IF(AF5&gt;149,18,0)-AE8</f>
        <v>1850.3012133546645</v>
      </c>
    </row>
    <row r="26" spans="1:32" x14ac:dyDescent="0.55000000000000004">
      <c r="A26">
        <f>AF26</f>
        <v>1051.8426746262242</v>
      </c>
      <c r="B26" t="s">
        <v>25</v>
      </c>
      <c r="C26" t="s">
        <v>76</v>
      </c>
      <c r="D26" s="33">
        <v>0</v>
      </c>
      <c r="E26" s="33">
        <f>D26*(1+$A$28)+E3+IF(E5&gt;0,17.2,0)-E11</f>
        <v>17.2</v>
      </c>
      <c r="F26" s="33">
        <f>E26*(1+$A$28)+F3+IF(F5&gt;0,17.2,0)-F11</f>
        <v>35.646999999999998</v>
      </c>
      <c r="G26" s="33">
        <f>F26*(1+$A$28)+G3+IF(G5&gt;0,17.2,0)-G11</f>
        <v>55.431407499999992</v>
      </c>
      <c r="H26" s="33">
        <f>G26*(1+$A$28)+H3+IF(H5&gt;0,17.2,0)-H11</f>
        <v>76.650184543749987</v>
      </c>
      <c r="I26" s="33">
        <f>H26*(1+$A$28)+I3+IF(I5&gt;0,17.2,0)-I11</f>
        <v>99.407322923171861</v>
      </c>
      <c r="J26" s="33">
        <f>I26*(1+$A$28)+J3+IF(J5&gt;0,17.2,0)-J11</f>
        <v>123.81435383510183</v>
      </c>
      <c r="K26" s="33">
        <f>J26*(1+$A$28)+K3+IF(K5&gt;0,17.2,0)-K11</f>
        <v>149.99089448814669</v>
      </c>
      <c r="L26" s="33">
        <f>K26*(1+$A$28)+L3+IF(L5&gt;0,17.2,0)-L11</f>
        <v>178.06523433853732</v>
      </c>
      <c r="M26" s="33">
        <f>L26*(1+$A$28)+M3+IF(M5&gt;0,17.2,0)-M11</f>
        <v>208.17496382808127</v>
      </c>
      <c r="N26" s="33">
        <f>M26*(1+$A$28)+N3+IF(N5&gt;0,17.2,0)-N11</f>
        <v>240.46764870561717</v>
      </c>
      <c r="O26" s="33">
        <f>N26*(1+$A$28)+O3+IF(O5&gt;0,17.2,0)-O11</f>
        <v>275.10155323677441</v>
      </c>
      <c r="P26" s="33">
        <f>O26*(1+$A$28)+P3+IF(P5&gt;0,17.2,0)-P11</f>
        <v>312.24641584644053</v>
      </c>
      <c r="Q26" s="33">
        <f>P26*(1+$A$28)+Q3+IF(Q5&gt;0,17.2,0)-Q11</f>
        <v>352.08428099530744</v>
      </c>
      <c r="R26" s="33">
        <f>Q26*(1+$A$28)+R3+IF(R5&gt;0,17.2,0)-R11</f>
        <v>394.81039136746722</v>
      </c>
      <c r="S26" s="33">
        <f>R26*(1+$A$28)+S3+IF(S5&gt;0,17.2,0)-S11</f>
        <v>423.43414474160858</v>
      </c>
      <c r="T26" s="33">
        <f>S26*(1+$A$28)+T3+IF(T5&gt;0,17.2,0)-T11</f>
        <v>454.1331202353752</v>
      </c>
      <c r="U26" s="33">
        <f>T26*(1+$A$28)+U3+IF(U5&gt;0,17.2,0)-U11</f>
        <v>487.05777145243991</v>
      </c>
      <c r="V26" s="33">
        <f>U26*(1+$A$28)+V3+IF(V5&gt;0,17.2,0)-V11</f>
        <v>522.36945988274181</v>
      </c>
      <c r="W26" s="33">
        <f>V26*(1+$A$28)+W3+IF(W5&gt;0,17.2,0)-W11</f>
        <v>560.24124572424057</v>
      </c>
      <c r="X26" s="33">
        <f>W26*(1+$A$28)+X3+IF(X5&gt;0,17.2,0)-X11</f>
        <v>600.85873603924802</v>
      </c>
      <c r="Y26" s="33">
        <f>X26*(1+$A$28)+Y3+IF(Y5&gt;0,17.2,0)-Y11</f>
        <v>644.42099440209347</v>
      </c>
      <c r="Z26" s="33">
        <f>Y26*(1+$A$28)+Z3+IF(Z5&gt;0,17.2,0)-Z11</f>
        <v>691.14151649624523</v>
      </c>
      <c r="AA26" s="33">
        <f>Z26*(1+$A$28)+AA3+IF(AA5&gt;0,17.2,0)-AA11</f>
        <v>741.24927644222305</v>
      </c>
      <c r="AB26" s="33">
        <f>AA26*(1+$A$28)+AB3+IF(AB5&gt;0,17.2,0)-AB11</f>
        <v>794.98984898428421</v>
      </c>
      <c r="AC26" s="33">
        <f>AB26*(1+$A$28)+AC3+IF(AC5&gt;0,17.2,0)-AC11</f>
        <v>852.62661303564482</v>
      </c>
      <c r="AD26" s="33">
        <f>AC26*(1+$A$28)+AD3+IF(AD5&gt;0,17.2,0)-AD11</f>
        <v>914.44204248072913</v>
      </c>
      <c r="AE26" s="33">
        <f>AD26*(1+$A$28)+AE3+IF(AE5&gt;0,17.2,0)-AE11</f>
        <v>980.73909056058199</v>
      </c>
      <c r="AF26" s="33">
        <f>AE26*(1+$A$28)+AF3+IF(AF5&gt;0,17.2,0)-AF11</f>
        <v>1051.8426746262242</v>
      </c>
    </row>
    <row r="27" spans="1:32" x14ac:dyDescent="0.55000000000000004">
      <c r="A27">
        <f>AF27</f>
        <v>4688.6279289498343</v>
      </c>
      <c r="B27" t="s">
        <v>39</v>
      </c>
      <c r="C27" t="s">
        <v>76</v>
      </c>
      <c r="D27" s="33">
        <f>D24+D25+D26</f>
        <v>550</v>
      </c>
      <c r="E27" s="33">
        <f>E24+E25+E26</f>
        <v>619.07500000000005</v>
      </c>
      <c r="F27" s="33">
        <f>F24+F25+F26</f>
        <v>687.15793750000012</v>
      </c>
      <c r="G27" s="33">
        <f>G24+G25+G26</f>
        <v>760.17688796874995</v>
      </c>
      <c r="H27" s="33">
        <f>H24+H25+H26</f>
        <v>838.48971234648445</v>
      </c>
      <c r="I27" s="33">
        <f>I24+I25+I26</f>
        <v>922.48021649160444</v>
      </c>
      <c r="J27" s="33">
        <f>J24+J25+J26</f>
        <v>1012.560032187246</v>
      </c>
      <c r="K27" s="33">
        <f>K24+K25+K26</f>
        <v>1109.1706345208213</v>
      </c>
      <c r="L27" s="33">
        <f>L24+L25+L26</f>
        <v>1212.7855055235807</v>
      </c>
      <c r="M27" s="33">
        <f>M24+M25+M26</f>
        <v>1323.9124546740402</v>
      </c>
      <c r="N27" s="33">
        <f>N24+N25+N26</f>
        <v>1443.0961076379083</v>
      </c>
      <c r="O27" s="33">
        <f>O24+O25+O26</f>
        <v>1570.9205754416566</v>
      </c>
      <c r="P27" s="33">
        <f>P24+P25+P26</f>
        <v>1708.0123171611767</v>
      </c>
      <c r="Q27" s="33">
        <f>Q24+Q25+Q26</f>
        <v>1855.043210155362</v>
      </c>
      <c r="R27" s="33">
        <f>R24+R25+R26</f>
        <v>2012.7338428916257</v>
      </c>
      <c r="S27" s="33">
        <f>S24+S25+S26</f>
        <v>2083.6570465012687</v>
      </c>
      <c r="T27" s="33">
        <f>T24+T25+T26</f>
        <v>2159.7221823726109</v>
      </c>
      <c r="U27" s="33">
        <f>U24+U25+U26</f>
        <v>2241.3020405946249</v>
      </c>
      <c r="V27" s="33">
        <f>V24+V25+V26</f>
        <v>2403.7964385377354</v>
      </c>
      <c r="W27" s="33">
        <f>W24+W25+W26</f>
        <v>2578.0716803317209</v>
      </c>
      <c r="X27" s="33">
        <f>X24+X25+X26</f>
        <v>2764.9818771557707</v>
      </c>
      <c r="Y27" s="33">
        <f>Y24+Y25+Y26</f>
        <v>2965.4430632495646</v>
      </c>
      <c r="Z27" s="33">
        <f>Z24+Z25+Z26</f>
        <v>3180.4376853351578</v>
      </c>
      <c r="AA27" s="33">
        <f>AA24+AA25+AA26</f>
        <v>3411.0194175219567</v>
      </c>
      <c r="AB27" s="33">
        <f>AB24+AB25+AB26</f>
        <v>3658.3183252922981</v>
      </c>
      <c r="AC27" s="33">
        <f>AC24+AC25+AC26</f>
        <v>3923.5464038759897</v>
      </c>
      <c r="AD27" s="33">
        <f>AD24+AD25+AD26</f>
        <v>4208.0035181569992</v>
      </c>
      <c r="AE27" s="33">
        <f>AE24+AE25+AE26</f>
        <v>4442.3340509672753</v>
      </c>
      <c r="AF27" s="33">
        <f>AF24+AF25+AF26</f>
        <v>4688.6279289498343</v>
      </c>
    </row>
    <row r="28" spans="1:32" x14ac:dyDescent="0.55000000000000004">
      <c r="A28" s="22">
        <f>Assumptions!B5</f>
        <v>7.2499999999999995E-2</v>
      </c>
      <c r="B28" t="s">
        <v>77</v>
      </c>
      <c r="C28" s="22">
        <f>Assumptions!B6</f>
        <v>0.04</v>
      </c>
      <c r="D28" s="33">
        <f>D27*$C$28</f>
        <v>22</v>
      </c>
      <c r="E28" s="33">
        <f>E27*$C$28</f>
        <v>24.763000000000002</v>
      </c>
      <c r="F28" s="33">
        <f>F27*$C$28</f>
        <v>27.486317500000006</v>
      </c>
      <c r="G28" s="33">
        <f>G27*$C$28</f>
        <v>30.407075518749998</v>
      </c>
      <c r="H28" s="33">
        <f>H27*$C$28</f>
        <v>33.539588493859377</v>
      </c>
      <c r="I28" s="33">
        <f>I27*$C$28</f>
        <v>36.899208659664176</v>
      </c>
      <c r="J28" s="33">
        <f>J27*$C$28</f>
        <v>40.502401287489839</v>
      </c>
      <c r="K28" s="33">
        <f>K27*$C$28</f>
        <v>44.36682538083285</v>
      </c>
      <c r="L28" s="33">
        <f>L27*$C$28</f>
        <v>48.511420220943229</v>
      </c>
      <c r="M28" s="33">
        <f>M27*$C$28</f>
        <v>52.95649818696161</v>
      </c>
      <c r="N28" s="33">
        <f>N27*$C$28</f>
        <v>57.72384430551633</v>
      </c>
      <c r="O28" s="33">
        <f>O27*$C$28</f>
        <v>62.836823017666269</v>
      </c>
      <c r="P28" s="33">
        <f>P27*$C$28</f>
        <v>68.320492686447068</v>
      </c>
      <c r="Q28" s="33">
        <f>Q27*$C$28</f>
        <v>74.201728406214485</v>
      </c>
      <c r="R28" s="33">
        <f>R27*$C$28</f>
        <v>80.509353715665029</v>
      </c>
      <c r="S28" s="33">
        <f>S27*$C$28</f>
        <v>83.346281860050752</v>
      </c>
      <c r="T28" s="33">
        <f>T27*$C$28</f>
        <v>86.388887294904436</v>
      </c>
      <c r="U28" s="33">
        <f>U27*$C$28</f>
        <v>89.652081623784994</v>
      </c>
      <c r="V28" s="33">
        <f>V27*$C$28</f>
        <v>96.151857541509415</v>
      </c>
      <c r="W28" s="33">
        <f>W27*$C$28</f>
        <v>103.12286721326883</v>
      </c>
      <c r="X28" s="33">
        <f>X27*$C$28</f>
        <v>110.59927508623083</v>
      </c>
      <c r="Y28" s="33">
        <f>Y27*$C$28</f>
        <v>118.61772252998259</v>
      </c>
      <c r="Z28" s="33">
        <f>Z27*$C$28</f>
        <v>127.21750741340631</v>
      </c>
      <c r="AA28" s="33">
        <f>AA27*$C$28</f>
        <v>136.44077670087827</v>
      </c>
      <c r="AB28" s="33">
        <f>AB27*$C$28</f>
        <v>146.33273301169194</v>
      </c>
      <c r="AC28" s="33">
        <f>AC27*$C$28</f>
        <v>156.9418561550396</v>
      </c>
      <c r="AD28" s="33">
        <f>AD27*$C$28</f>
        <v>168.32014072627996</v>
      </c>
      <c r="AE28" s="33">
        <f>AE27*$C$28</f>
        <v>177.69336203869102</v>
      </c>
      <c r="AF28" s="33">
        <f>AF27*$C$28</f>
        <v>187.54511715799339</v>
      </c>
    </row>
    <row r="29" spans="1:32" x14ac:dyDescent="0.55000000000000004">
      <c r="B29" t="s">
        <v>38</v>
      </c>
      <c r="C29" t="s">
        <v>76</v>
      </c>
      <c r="D29" s="22">
        <f>IF(D16+D17=0,0,D18/(D16+D17))</f>
        <v>7.640000000000001E-2</v>
      </c>
      <c r="E29" s="22">
        <f>IF(E16+E17=0,0,E18/(E16+E17))</f>
        <v>7.640000000000001E-2</v>
      </c>
      <c r="F29" s="22">
        <f>IF(F16+F17=0,0,F18/(F16+F17))</f>
        <v>7.640000000000001E-2</v>
      </c>
      <c r="G29" s="22">
        <f>IF(G16+G17=0,0,G18/(G16+G17))</f>
        <v>7.640000000000001E-2</v>
      </c>
      <c r="H29" s="22">
        <f>IF(H16+H17=0,0,H18/(H16+H17))</f>
        <v>7.640000000000001E-2</v>
      </c>
      <c r="I29" s="22">
        <f>IF(I16+I17=0,0,I18/(I16+I17))</f>
        <v>7.640000000000001E-2</v>
      </c>
      <c r="J29" s="22">
        <f>IF(J16+J17=0,0,J18/(J16+J17))</f>
        <v>7.640000000000001E-2</v>
      </c>
      <c r="K29" s="22">
        <f>IF(K16+K17=0,0,K18/(K16+K17))</f>
        <v>7.640000000000001E-2</v>
      </c>
      <c r="L29" s="22">
        <f>IF(L16+L17=0,0,L18/(L16+L17))</f>
        <v>7.640000000000001E-2</v>
      </c>
      <c r="M29" s="22">
        <f>IF(M16+M17=0,0,M18/(M16+M17))</f>
        <v>7.640000000000001E-2</v>
      </c>
      <c r="N29" s="22">
        <f>IF(N16+N17=0,0,N18/(N16+N17))</f>
        <v>7.640000000000001E-2</v>
      </c>
      <c r="O29" s="22">
        <f>IF(O16+O17=0,0,O18/(O16+O17))</f>
        <v>7.640000000000001E-2</v>
      </c>
      <c r="P29" s="22">
        <f>IF(P16+P17=0,0,P18/(P16+P17))</f>
        <v>7.640000000000001E-2</v>
      </c>
      <c r="Q29" s="22">
        <f>IF(Q16+Q17=0,0,Q18/(Q16+Q17))</f>
        <v>7.640000000000001E-2</v>
      </c>
      <c r="R29" s="22">
        <f>IF(R16+R17=0,0,R18/(R16+R17))</f>
        <v>7.640000000000001E-2</v>
      </c>
      <c r="S29" s="22">
        <f>IF(S16+S17=0,0,S18/(S16+S17))</f>
        <v>6.1866666666666674E-2</v>
      </c>
      <c r="T29" s="22">
        <f>IF(T16+T17=0,0,T18/(T16+T17))</f>
        <v>6.1866666666666674E-2</v>
      </c>
      <c r="U29" s="22">
        <f>IF(U16+U17=0,0,U18/(U16+U17))</f>
        <v>6.1866666666666674E-2</v>
      </c>
      <c r="V29" s="22">
        <f>IF(V16+V17=0,0,V18/(V16+V17))</f>
        <v>1.8711525568354886E-3</v>
      </c>
      <c r="W29" s="22">
        <f>IF(W16+W17=0,0,W18/(W16+W17))</f>
        <v>1.8711525568354886E-3</v>
      </c>
      <c r="X29" s="22">
        <f>IF(X16+X17=0,0,X18/(X16+X17))</f>
        <v>1.8711525568354886E-3</v>
      </c>
      <c r="Y29" s="22">
        <f>IF(Y16+Y17=0,0,Y18/(Y16+Y17))</f>
        <v>1.8711525568354886E-3</v>
      </c>
      <c r="Z29" s="22">
        <f>IF(Z16+Z17=0,0,Z18/(Z16+Z17))</f>
        <v>1.8711525568354886E-3</v>
      </c>
      <c r="AA29" s="22">
        <f>IF(AA16+AA17=0,0,AA18/(AA16+AA17))</f>
        <v>1.8711525568354886E-3</v>
      </c>
      <c r="AB29" s="22">
        <f>IF(AB16+AB17=0,0,AB18/(AB16+AB17))</f>
        <v>1.8711525568354886E-3</v>
      </c>
      <c r="AC29" s="22">
        <f>IF(AC16+AC17=0,0,AC18/(AC16+AC17))</f>
        <v>1.8711525568354886E-3</v>
      </c>
      <c r="AD29" s="22">
        <f>IF(AD16+AD17=0,0,AD18/(AD16+AD17))</f>
        <v>8.5542727948604069E-2</v>
      </c>
      <c r="AE29" s="22">
        <f>IF(AE16+AE17=0,0,AE18/(AE16+AE17))</f>
        <v>8.6859011267595765E-2</v>
      </c>
      <c r="AF29" s="22">
        <f>IF(AF16+AF17=0,0,AF18/(AF16+AF17))</f>
        <v>9.0701312500184442E-2</v>
      </c>
    </row>
    <row r="30" spans="1:32" x14ac:dyDescent="0.55000000000000004">
      <c r="B30" t="s">
        <v>24</v>
      </c>
      <c r="C30" t="s">
        <v>75</v>
      </c>
      <c r="D30" s="33">
        <f>IF(D22&gt;$G$39,0,($G$39-D22))</f>
        <v>0</v>
      </c>
      <c r="E30" s="33">
        <f>IF(E22&gt;$G$39,0,($G$39-E22))</f>
        <v>0</v>
      </c>
      <c r="F30" s="33">
        <f>IF(F22&gt;$G$39,0,($G$39-F22))</f>
        <v>0</v>
      </c>
      <c r="G30" s="33">
        <f>IF(G22&gt;$G$39,0,($G$39-G22))</f>
        <v>0</v>
      </c>
      <c r="H30" s="33">
        <v>0</v>
      </c>
      <c r="I30" s="33">
        <f>IF(I22&gt;$G$39,0,($G$39-I22))</f>
        <v>0</v>
      </c>
      <c r="J30" s="33">
        <f>IF(J22&gt;$G$39,0,($G$39-J22))</f>
        <v>0</v>
      </c>
      <c r="K30" s="33">
        <f>IF(K22&gt;$G$39,0,($G$39-K22))</f>
        <v>0</v>
      </c>
      <c r="L30" s="33">
        <f>IF(L22&gt;$G$39,0,($G$39-L22))</f>
        <v>0</v>
      </c>
      <c r="M30" s="33">
        <f>IF(M22&gt;$G$39,0,($G$39-M22))</f>
        <v>0</v>
      </c>
      <c r="N30" s="33">
        <f>IF(N22&gt;$G$39,0,($G$39-N22))</f>
        <v>0</v>
      </c>
      <c r="O30" s="33">
        <f>IF(O22&gt;$G$39,0,($G$39-O22))</f>
        <v>0</v>
      </c>
      <c r="P30" s="33">
        <f>IF(P22&gt;$G$39,0,($G$39-P22))</f>
        <v>0</v>
      </c>
      <c r="Q30" s="33">
        <f>IF(Q22&gt;$G$39,0,($G$39-Q22))</f>
        <v>0</v>
      </c>
      <c r="R30" s="33">
        <f>IF(R22&gt;$G$39,0,($G$39-R22))</f>
        <v>0</v>
      </c>
      <c r="S30" s="33">
        <f>IF(S22&gt;$G$39,0,($G$39-S22))</f>
        <v>0</v>
      </c>
      <c r="T30" s="33">
        <f>IF(T22&gt;$G$39,0,($G$39-T22))</f>
        <v>0</v>
      </c>
      <c r="U30" s="33">
        <f>IF(U22&gt;$G$39,0,($G$39-U22))</f>
        <v>0</v>
      </c>
      <c r="V30" s="33">
        <f>IF(V22&gt;$G$39,0,($G$39-V22))</f>
        <v>0</v>
      </c>
      <c r="W30" s="33">
        <f>IF(W22&gt;$G$39,0,($G$39-W22))</f>
        <v>0</v>
      </c>
      <c r="X30" s="33">
        <f>IF(X22&gt;$G$39,0,($G$39-X22))</f>
        <v>0</v>
      </c>
      <c r="Y30" s="33">
        <f>IF(Y22&gt;$G$39,0,($G$39-Y22))</f>
        <v>0</v>
      </c>
      <c r="Z30" s="33">
        <f>IF(Z22&gt;$G$39,0,($G$39-Z22))</f>
        <v>0</v>
      </c>
      <c r="AA30" s="33">
        <f>IF(AA22&gt;$G$39,0,($G$39-AA22))</f>
        <v>0</v>
      </c>
      <c r="AB30" s="33">
        <f>IF(AB22&gt;$G$39,0,($G$39-AB22))</f>
        <v>0</v>
      </c>
      <c r="AC30" s="33">
        <f>IF(AC22&gt;$G$39,0,($G$39-AC22))</f>
        <v>0</v>
      </c>
      <c r="AD30" s="33">
        <f>IF(AD22&gt;$G$39,0,($G$39-AD22))</f>
        <v>0</v>
      </c>
      <c r="AE30" s="33">
        <f>IF(AE22&gt;$G$39,0,($G$39-AE22))</f>
        <v>0</v>
      </c>
      <c r="AF30" s="33">
        <f>IF(AF22&gt;$G$39,0,($G$39-AF22))</f>
        <v>0</v>
      </c>
    </row>
    <row r="31" spans="1:32" x14ac:dyDescent="0.55000000000000004">
      <c r="B31" t="s">
        <v>36</v>
      </c>
      <c r="C31" t="s">
        <v>75</v>
      </c>
      <c r="D31" s="33">
        <v>0</v>
      </c>
      <c r="E31" s="33">
        <v>6</v>
      </c>
      <c r="F31" s="33">
        <v>6</v>
      </c>
      <c r="G31" s="33">
        <v>6</v>
      </c>
      <c r="H31" s="33">
        <v>6</v>
      </c>
      <c r="I31" s="33">
        <v>6</v>
      </c>
      <c r="J31" s="33">
        <v>6</v>
      </c>
      <c r="K31" s="33">
        <v>6</v>
      </c>
      <c r="L31" s="33">
        <v>6</v>
      </c>
      <c r="M31" s="33">
        <v>6</v>
      </c>
      <c r="N31" s="33">
        <v>6</v>
      </c>
      <c r="O31" s="33">
        <v>6</v>
      </c>
      <c r="P31" s="33">
        <v>6</v>
      </c>
      <c r="Q31" s="33">
        <v>6</v>
      </c>
      <c r="R31" s="33">
        <v>6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33">
        <v>0</v>
      </c>
      <c r="AF31" s="33">
        <v>0</v>
      </c>
    </row>
    <row r="32" spans="1:32" x14ac:dyDescent="0.55000000000000004">
      <c r="B32" t="s">
        <v>37</v>
      </c>
      <c r="C32" t="s">
        <v>75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0</v>
      </c>
      <c r="AD32" s="33">
        <v>0</v>
      </c>
      <c r="AE32" s="33">
        <v>0</v>
      </c>
      <c r="AF32" s="33">
        <v>0</v>
      </c>
    </row>
    <row r="33" spans="2:32" x14ac:dyDescent="0.55000000000000004">
      <c r="B33" t="s">
        <v>55</v>
      </c>
      <c r="C33" t="s">
        <v>75</v>
      </c>
      <c r="D33" s="33">
        <v>0</v>
      </c>
      <c r="E33" s="33">
        <v>6</v>
      </c>
      <c r="F33" s="33">
        <v>6</v>
      </c>
      <c r="G33" s="33">
        <v>6</v>
      </c>
      <c r="H33" s="33">
        <v>6</v>
      </c>
      <c r="I33" s="33">
        <v>6</v>
      </c>
      <c r="J33" s="33">
        <v>6</v>
      </c>
      <c r="K33" s="33">
        <v>6</v>
      </c>
      <c r="L33" s="33">
        <v>6</v>
      </c>
      <c r="M33" s="33">
        <v>6</v>
      </c>
      <c r="N33" s="33">
        <v>6</v>
      </c>
      <c r="O33" s="33">
        <v>6</v>
      </c>
      <c r="P33" s="33">
        <v>6</v>
      </c>
      <c r="Q33" s="33">
        <v>6</v>
      </c>
      <c r="R33" s="33">
        <v>6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33">
        <v>0</v>
      </c>
      <c r="AF33" s="3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9A15-9B44-4D17-A081-4F56505796C2}">
  <dimension ref="A1:H22"/>
  <sheetViews>
    <sheetView topLeftCell="A5" workbookViewId="0">
      <selection activeCell="E10" sqref="E10"/>
    </sheetView>
  </sheetViews>
  <sheetFormatPr defaultRowHeight="14.4" x14ac:dyDescent="0.55000000000000004"/>
  <cols>
    <col min="1" max="4" width="22.7890625" customWidth="1"/>
    <col min="5" max="7" width="14.3671875" customWidth="1"/>
    <col min="8" max="8" width="16.578125" bestFit="1" customWidth="1"/>
  </cols>
  <sheetData>
    <row r="1" spans="1:8" ht="30" customHeight="1" x14ac:dyDescent="0.55000000000000004">
      <c r="A1" s="4" t="s">
        <v>78</v>
      </c>
      <c r="B1" s="4"/>
      <c r="C1" s="4"/>
      <c r="D1" s="4"/>
      <c r="E1" s="4"/>
      <c r="F1" s="4"/>
      <c r="G1" s="4"/>
      <c r="H1" s="4"/>
    </row>
    <row r="2" spans="1:8" x14ac:dyDescent="0.55000000000000004">
      <c r="A2" s="5" t="s">
        <v>79</v>
      </c>
      <c r="B2" s="5"/>
      <c r="C2" s="5"/>
      <c r="D2" s="5"/>
      <c r="E2" s="5"/>
      <c r="F2" s="5"/>
      <c r="G2" s="5"/>
      <c r="H2" s="5"/>
    </row>
    <row r="4" spans="1:8" x14ac:dyDescent="0.55000000000000004">
      <c r="A4" s="12" t="s">
        <v>80</v>
      </c>
      <c r="B4" s="12" t="s">
        <v>81</v>
      </c>
      <c r="C4" s="12" t="s">
        <v>82</v>
      </c>
      <c r="D4" s="12" t="s">
        <v>83</v>
      </c>
    </row>
    <row r="5" spans="1:8" ht="48" customHeight="1" x14ac:dyDescent="1.1000000000000001">
      <c r="A5" s="14">
        <f>'Projection Data'!AF27*1000</f>
        <v>4688627.9289498348</v>
      </c>
      <c r="B5" s="15">
        <f>INDEX('Projection Data'!$D$23:$AF$23,1,MATCH(67,'Projection Data'!$D$2:$AF$2,0))*1000</f>
        <v>5463.8833333333323</v>
      </c>
      <c r="C5" s="15">
        <f>INDEX('Projection Data'!$D$8:$AF$8,1,MATCH(75,'Projection Data'!$D$2:$AF$2,0))*1000</f>
        <v>70749.72225610583</v>
      </c>
      <c r="D5" s="8" t="str">
        <f>INDEX('Projection Data'!$D$20:$AF$20,1,MATCH(75,'Projection Data'!$D$2:$AF$2,0))</f>
        <v>✅ SAFE - $0 IRMAA</v>
      </c>
    </row>
    <row r="8" spans="1:8" x14ac:dyDescent="0.55000000000000004">
      <c r="A8" s="6" t="s">
        <v>84</v>
      </c>
      <c r="B8" s="6"/>
      <c r="C8" s="6"/>
      <c r="D8" s="6"/>
      <c r="E8" s="6"/>
      <c r="F8" s="6"/>
      <c r="G8" s="6"/>
      <c r="H8" s="6"/>
    </row>
    <row r="9" spans="1:8" x14ac:dyDescent="0.55000000000000004">
      <c r="A9" s="7" t="s">
        <v>0</v>
      </c>
      <c r="B9" s="7" t="s">
        <v>85</v>
      </c>
      <c r="C9" s="7" t="s">
        <v>86</v>
      </c>
      <c r="D9" s="7" t="s">
        <v>87</v>
      </c>
      <c r="E9" s="7" t="s">
        <v>88</v>
      </c>
      <c r="F9" s="7" t="s">
        <v>89</v>
      </c>
      <c r="G9" s="7" t="s">
        <v>90</v>
      </c>
      <c r="H9" s="7" t="s">
        <v>91</v>
      </c>
    </row>
    <row r="10" spans="1:8" x14ac:dyDescent="0.55000000000000004">
      <c r="A10" s="18">
        <v>49</v>
      </c>
      <c r="B10" s="19">
        <f>INDEX('Projection Data'!$D$1:$AF$1,1,MATCH(A10,'Projection Data'!$D$2:$AF$2,0))</f>
        <v>46387</v>
      </c>
      <c r="C10" s="17">
        <f>INDEX('Projection Data'!$D$21:$AF$21,1,MATCH(A10,'Projection Data'!$D$2:$AF$2,0))*1000</f>
        <v>100000</v>
      </c>
      <c r="D10" s="17">
        <f>INDEX('Projection Data'!$D$18:$AF$18,1,MATCH(A10,'Projection Data'!$D$2:$AF$2,0))*1000</f>
        <v>7640.0000000000009</v>
      </c>
      <c r="E10" s="17">
        <f>INDEX('Projection Data'!$D$23:$AF$23,1,MATCH(A10,'Projection Data'!$D$2:$AF$2,0))*1000</f>
        <v>7696.6666666666661</v>
      </c>
      <c r="F10" s="17">
        <f>INDEX('Projection Data'!$D$27:$AF$27,1,MATCH(A10,'Projection Data'!$D$2:$AF$2,0))*1000</f>
        <v>550000</v>
      </c>
      <c r="G10" s="17">
        <f>INDEX('Projection Data'!$D$28:$AF$28,1,MATCH(A10,'Projection Data'!$D$2:$AF$2,0))*1000</f>
        <v>22000</v>
      </c>
      <c r="H10" s="21" t="str">
        <f>INDEX('Projection Data'!$D$20:$AF$20,1,MATCH(A10,'Projection Data'!$D$2:$AF$2,0))</f>
        <v>✅ SAFE - $0 IRMAA</v>
      </c>
    </row>
    <row r="11" spans="1:8" x14ac:dyDescent="0.55000000000000004">
      <c r="A11" s="18">
        <v>55</v>
      </c>
      <c r="B11" s="19">
        <f>INDEX('Projection Data'!$D$1:$AF$1,1,MATCH(A11,'Projection Data'!$D$2:$AF$2,0))</f>
        <v>48579</v>
      </c>
      <c r="C11" s="17">
        <f>INDEX('Projection Data'!$D$21:$AF$21,1,MATCH(A11,'Projection Data'!$D$2:$AF$2,0))*1000</f>
        <v>100000</v>
      </c>
      <c r="D11" s="17">
        <f>INDEX('Projection Data'!$D$18:$AF$18,1,MATCH(A11,'Projection Data'!$D$2:$AF$2,0))*1000</f>
        <v>7640.0000000000009</v>
      </c>
      <c r="E11" s="17">
        <f>INDEX('Projection Data'!$D$23:$AF$23,1,MATCH(A11,'Projection Data'!$D$2:$AF$2,0))*1000</f>
        <v>7196.6666666666661</v>
      </c>
      <c r="F11" s="17">
        <f>INDEX('Projection Data'!$D$27:$AF$27,1,MATCH(A11,'Projection Data'!$D$2:$AF$2,0))*1000</f>
        <v>1012560.0321872459</v>
      </c>
      <c r="G11" s="17">
        <f>INDEX('Projection Data'!$D$28:$AF$28,1,MATCH(A11,'Projection Data'!$D$2:$AF$2,0))*1000</f>
        <v>40502.40128748984</v>
      </c>
      <c r="H11" s="21" t="str">
        <f>INDEX('Projection Data'!$D$20:$AF$20,1,MATCH(A11,'Projection Data'!$D$2:$AF$2,0))</f>
        <v>✅ SAFE - $0 IRMAA</v>
      </c>
    </row>
    <row r="12" spans="1:8" x14ac:dyDescent="0.55000000000000004">
      <c r="A12" s="18">
        <v>60</v>
      </c>
      <c r="B12" s="19">
        <f>INDEX('Projection Data'!$D$1:$AF$1,1,MATCH(A12,'Projection Data'!$D$2:$AF$2,0))</f>
        <v>50405</v>
      </c>
      <c r="C12" s="17">
        <f>INDEX('Projection Data'!$D$21:$AF$21,1,MATCH(A12,'Projection Data'!$D$2:$AF$2,0))*1000</f>
        <v>100000</v>
      </c>
      <c r="D12" s="17">
        <f>INDEX('Projection Data'!$D$18:$AF$18,1,MATCH(A12,'Projection Data'!$D$2:$AF$2,0))*1000</f>
        <v>7640.0000000000009</v>
      </c>
      <c r="E12" s="17">
        <f>INDEX('Projection Data'!$D$23:$AF$23,1,MATCH(A12,'Projection Data'!$D$2:$AF$2,0))*1000</f>
        <v>7196.6666666666661</v>
      </c>
      <c r="F12" s="17">
        <f>INDEX('Projection Data'!$D$27:$AF$27,1,MATCH(A12,'Projection Data'!$D$2:$AF$2,0))*1000</f>
        <v>1570920.5754416566</v>
      </c>
      <c r="G12" s="17">
        <f>INDEX('Projection Data'!$D$28:$AF$28,1,MATCH(A12,'Projection Data'!$D$2:$AF$2,0))*1000</f>
        <v>62836.823017666269</v>
      </c>
      <c r="H12" s="21" t="str">
        <f>INDEX('Projection Data'!$D$20:$AF$20,1,MATCH(A12,'Projection Data'!$D$2:$AF$2,0))</f>
        <v>✅ SAFE - $0 IRMAA</v>
      </c>
    </row>
    <row r="13" spans="1:8" x14ac:dyDescent="0.55000000000000004">
      <c r="A13" s="18">
        <v>65</v>
      </c>
      <c r="B13" s="19">
        <f>INDEX('Projection Data'!$D$1:$AF$1,1,MATCH(A13,'Projection Data'!$D$2:$AF$2,0))</f>
        <v>52231</v>
      </c>
      <c r="C13" s="17">
        <f>INDEX('Projection Data'!$D$21:$AF$21,1,MATCH(A13,'Projection Data'!$D$2:$AF$2,0))*1000</f>
        <v>75000</v>
      </c>
      <c r="D13" s="17">
        <f>INDEX('Projection Data'!$D$18:$AF$18,1,MATCH(A13,'Projection Data'!$D$2:$AF$2,0))*1000</f>
        <v>4640.0000000000009</v>
      </c>
      <c r="E13" s="17">
        <f>INDEX('Projection Data'!$D$23:$AF$23,1,MATCH(A13,'Projection Data'!$D$2:$AF$2,0))*1000</f>
        <v>5863.333333333333</v>
      </c>
      <c r="F13" s="17">
        <f>INDEX('Projection Data'!$D$27:$AF$27,1,MATCH(A13,'Projection Data'!$D$2:$AF$2,0))*1000</f>
        <v>2159722.182372611</v>
      </c>
      <c r="G13" s="17">
        <f>INDEX('Projection Data'!$D$28:$AF$28,1,MATCH(A13,'Projection Data'!$D$2:$AF$2,0))*1000</f>
        <v>86388.887294904431</v>
      </c>
      <c r="H13" s="21" t="str">
        <f>INDEX('Projection Data'!$D$20:$AF$20,1,MATCH(A13,'Projection Data'!$D$2:$AF$2,0))</f>
        <v>✅ SAFE - $0 IRMAA</v>
      </c>
    </row>
    <row r="14" spans="1:8" x14ac:dyDescent="0.55000000000000004">
      <c r="A14" s="18">
        <v>67</v>
      </c>
      <c r="B14" s="19">
        <f>INDEX('Projection Data'!$D$1:$AF$1,1,MATCH(A14,'Projection Data'!$D$2:$AF$2,0))</f>
        <v>52962</v>
      </c>
      <c r="C14" s="17">
        <f>INDEX('Projection Data'!$D$21:$AF$21,1,MATCH(A14,'Projection Data'!$D$2:$AF$2,0))*1000</f>
        <v>65628</v>
      </c>
      <c r="D14" s="17">
        <f>INDEX('Projection Data'!$D$18:$AF$18,1,MATCH(A14,'Projection Data'!$D$2:$AF$2,0))*1000</f>
        <v>61.399999999999729</v>
      </c>
      <c r="E14" s="17">
        <f>INDEX('Projection Data'!$D$23:$AF$23,1,MATCH(A14,'Projection Data'!$D$2:$AF$2,0))*1000</f>
        <v>5463.8833333333323</v>
      </c>
      <c r="F14" s="17">
        <f>INDEX('Projection Data'!$D$27:$AF$27,1,MATCH(A14,'Projection Data'!$D$2:$AF$2,0))*1000</f>
        <v>2403796.4385377355</v>
      </c>
      <c r="G14" s="17">
        <f>INDEX('Projection Data'!$D$28:$AF$28,1,MATCH(A14,'Projection Data'!$D$2:$AF$2,0))*1000</f>
        <v>96151.857541509409</v>
      </c>
      <c r="H14" s="21" t="str">
        <f>INDEX('Projection Data'!$D$20:$AF$20,1,MATCH(A14,'Projection Data'!$D$2:$AF$2,0))</f>
        <v>✅ SAFE - $0 IRMAA</v>
      </c>
    </row>
    <row r="15" spans="1:8" x14ac:dyDescent="0.55000000000000004">
      <c r="A15" s="18">
        <v>70</v>
      </c>
      <c r="B15" s="19">
        <f>INDEX('Projection Data'!$D$1:$AF$1,1,MATCH(A15,'Projection Data'!$D$2:$AF$2,0))</f>
        <v>54057</v>
      </c>
      <c r="C15" s="17">
        <f>INDEX('Projection Data'!$D$21:$AF$21,1,MATCH(A15,'Projection Data'!$D$2:$AF$2,0))*1000</f>
        <v>65628</v>
      </c>
      <c r="D15" s="17">
        <f>INDEX('Projection Data'!$D$18:$AF$18,1,MATCH(A15,'Projection Data'!$D$2:$AF$2,0))*1000</f>
        <v>61.399999999999729</v>
      </c>
      <c r="E15" s="17">
        <f>INDEX('Projection Data'!$D$23:$AF$23,1,MATCH(A15,'Projection Data'!$D$2:$AF$2,0))*1000</f>
        <v>5463.8833333333323</v>
      </c>
      <c r="F15" s="17">
        <f>INDEX('Projection Data'!$D$27:$AF$27,1,MATCH(A15,'Projection Data'!$D$2:$AF$2,0))*1000</f>
        <v>2965443.0632495647</v>
      </c>
      <c r="G15" s="17">
        <f>INDEX('Projection Data'!$D$28:$AF$28,1,MATCH(A15,'Projection Data'!$D$2:$AF$2,0))*1000</f>
        <v>118617.72252998258</v>
      </c>
      <c r="H15" s="21" t="str">
        <f>INDEX('Projection Data'!$D$20:$AF$20,1,MATCH(A15,'Projection Data'!$D$2:$AF$2,0))</f>
        <v>✅ SAFE - $0 IRMAA</v>
      </c>
    </row>
    <row r="16" spans="1:8" x14ac:dyDescent="0.55000000000000004">
      <c r="A16" s="18">
        <v>75</v>
      </c>
      <c r="B16" s="19">
        <f>INDEX('Projection Data'!$D$1:$AF$1,1,MATCH(A16,'Projection Data'!$D$2:$AF$2,0))</f>
        <v>55884</v>
      </c>
      <c r="C16" s="17">
        <f>INDEX('Projection Data'!$D$21:$AF$21,1,MATCH(A16,'Projection Data'!$D$2:$AF$2,0))*1000</f>
        <v>136377.7222561058</v>
      </c>
      <c r="D16" s="17">
        <f>INDEX('Projection Data'!$D$18:$AF$18,1,MATCH(A16,'Projection Data'!$D$2:$AF$2,0))*1000</f>
        <v>10824.022670732698</v>
      </c>
      <c r="E16" s="17">
        <f>INDEX('Projection Data'!$D$23:$AF$23,1,MATCH(A16,'Projection Data'!$D$2:$AF$2,0))*1000</f>
        <v>10462.808298781094</v>
      </c>
      <c r="F16" s="17">
        <f>INDEX('Projection Data'!$D$27:$AF$27,1,MATCH(A16,'Projection Data'!$D$2:$AF$2,0))*1000</f>
        <v>4208003.5181569988</v>
      </c>
      <c r="G16" s="17">
        <f>INDEX('Projection Data'!$D$28:$AF$28,1,MATCH(A16,'Projection Data'!$D$2:$AF$2,0))*1000</f>
        <v>168320.14072627996</v>
      </c>
      <c r="H16" s="21" t="str">
        <f>INDEX('Projection Data'!$D$20:$AF$20,1,MATCH(A16,'Projection Data'!$D$2:$AF$2,0))</f>
        <v>✅ SAFE - $0 IRMAA</v>
      </c>
    </row>
    <row r="17" spans="1:8" x14ac:dyDescent="0.55000000000000004">
      <c r="A17" s="18">
        <v>77</v>
      </c>
      <c r="B17" s="19">
        <f>INDEX('Projection Data'!$D$1:$AF$1,1,MATCH(A17,'Projection Data'!$D$2:$AF$2,0))</f>
        <v>56614</v>
      </c>
      <c r="C17" s="17">
        <f>INDEX('Projection Data'!$D$21:$AF$21,1,MATCH(A17,'Projection Data'!$D$2:$AF$2,0))*1000</f>
        <v>146427.17962247445</v>
      </c>
      <c r="D17" s="17">
        <f>INDEX('Projection Data'!$D$18:$AF$18,1,MATCH(A17,'Projection Data'!$D$2:$AF$2,0))*1000</f>
        <v>12388.25551694438</v>
      </c>
      <c r="E17" s="17">
        <f>INDEX('Projection Data'!$D$23:$AF$23,1,MATCH(A17,'Projection Data'!$D$2:$AF$2,0))*1000</f>
        <v>11169.910342127507</v>
      </c>
      <c r="F17" s="17">
        <f>INDEX('Projection Data'!$D$27:$AF$27,1,MATCH(A17,'Projection Data'!$D$2:$AF$2,0))*1000</f>
        <v>4688627.9289498348</v>
      </c>
      <c r="G17" s="17">
        <f>INDEX('Projection Data'!$D$28:$AF$28,1,MATCH(A17,'Projection Data'!$D$2:$AF$2,0))*1000</f>
        <v>187545.1171579934</v>
      </c>
      <c r="H17" s="21" t="str">
        <f>INDEX('Projection Data'!$D$20:$AF$20,1,MATCH(A17,'Projection Data'!$D$2:$AF$2,0))</f>
        <v>✅ SAFE - $0 IRMAA</v>
      </c>
    </row>
    <row r="19" spans="1:8" x14ac:dyDescent="0.55000000000000004">
      <c r="A19" s="6" t="s">
        <v>92</v>
      </c>
      <c r="B19" s="6"/>
      <c r="C19" s="6"/>
      <c r="D19" s="6"/>
      <c r="E19" s="6"/>
      <c r="F19" s="6"/>
      <c r="G19" s="6"/>
      <c r="H19" s="6"/>
    </row>
    <row r="20" spans="1:8" ht="30" customHeight="1" x14ac:dyDescent="0.55000000000000004">
      <c r="A20" s="13" t="str">
        <f>"1. Total savings rise from "&amp;TEXT(INDEX('Projection Data'!$D$27:$AF$27,1,MATCH(49,'Projection Data'!$D$2:$AF$2,0))*1000,"$#,##0")&amp;" at age 49 to "&amp;TEXT('Projection Data'!AF27*1000,"$#,##0")&amp;" at age 77 under the current assumptions."</f>
        <v>1. Total savings rise from $550,000 at age 49 to $4,688,628 at age 77 under the current assumptions.</v>
      </c>
      <c r="B20" s="13"/>
      <c r="C20" s="13"/>
      <c r="D20" s="13"/>
      <c r="E20" s="13"/>
      <c r="F20" s="13"/>
      <c r="G20" s="13"/>
      <c r="H20" s="13"/>
    </row>
    <row r="21" spans="1:8" ht="30" customHeight="1" x14ac:dyDescent="0.55000000000000004">
      <c r="A21" s="13" t="str">
        <f>"2. Social Security begins at age "&amp;Assumptions!B7&amp;", with approximately "&amp;TEXT(INDEX('Projection Data'!$D$23:$AF$23,1,MATCH(Assumptions!B7,'Projection Data'!$D$2:$AF$2,0))*1000,"$#,##0")&amp;" of after-tax cash per month in that year."</f>
        <v>2. Social Security begins at age 67, with approximately $5,464 of after-tax cash per month in that year.</v>
      </c>
      <c r="B21" s="13"/>
      <c r="C21" s="13"/>
      <c r="D21" s="13"/>
      <c r="E21" s="13"/>
      <c r="F21" s="13"/>
      <c r="G21" s="13"/>
      <c r="H21" s="13"/>
    </row>
    <row r="22" spans="1:8" ht="30" customHeight="1" x14ac:dyDescent="0.55000000000000004">
      <c r="A22" s="13" t="str">
        <f>"3. The first modeled required minimum distribution is "&amp;TEXT(INDEX('Projection Data'!$D$8:$AF$8,1,MATCH(75,'Projection Data'!$D$2:$AF$2,0))*1000,"$#,##0")&amp;" at age 75."</f>
        <v>3. The first modeled required minimum distribution is $70,750 at age 75.</v>
      </c>
      <c r="B22" s="13"/>
      <c r="C22" s="13"/>
      <c r="D22" s="13"/>
      <c r="E22" s="13"/>
      <c r="F22" s="13"/>
      <c r="G22" s="13"/>
      <c r="H22" s="13"/>
    </row>
  </sheetData>
  <mergeCells count="7">
    <mergeCell ref="A22:H22"/>
    <mergeCell ref="A1:H1"/>
    <mergeCell ref="A2:H2"/>
    <mergeCell ref="A8:H8"/>
    <mergeCell ref="A19:H19"/>
    <mergeCell ref="A20:H20"/>
    <mergeCell ref="A21:H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B7A0-8469-4721-9525-C38F343694D6}">
  <dimension ref="A1:F34"/>
  <sheetViews>
    <sheetView workbookViewId="0">
      <selection activeCell="E10" sqref="E10"/>
    </sheetView>
  </sheetViews>
  <sheetFormatPr defaultRowHeight="14.4" x14ac:dyDescent="0.55000000000000004"/>
  <cols>
    <col min="1" max="1" width="33.3125" customWidth="1"/>
    <col min="2" max="3" width="16.68359375" customWidth="1"/>
    <col min="4" max="4" width="3.5234375" customWidth="1"/>
    <col min="5" max="5" width="33.3125" customWidth="1"/>
    <col min="6" max="6" width="17.5234375" customWidth="1"/>
  </cols>
  <sheetData>
    <row r="1" spans="1:6" ht="30" customHeight="1" x14ac:dyDescent="0.55000000000000004">
      <c r="A1" s="4" t="s">
        <v>56</v>
      </c>
      <c r="B1" s="4"/>
      <c r="C1" s="4"/>
      <c r="D1" s="4"/>
      <c r="E1" s="4"/>
      <c r="F1" s="4"/>
    </row>
    <row r="2" spans="1:6" x14ac:dyDescent="0.55000000000000004">
      <c r="A2" s="5" t="s">
        <v>57</v>
      </c>
      <c r="B2" s="5"/>
      <c r="C2" s="5"/>
      <c r="D2" s="5"/>
      <c r="E2" s="5"/>
      <c r="F2" s="5"/>
    </row>
    <row r="4" spans="1:6" x14ac:dyDescent="0.55000000000000004">
      <c r="A4" s="7" t="s">
        <v>58</v>
      </c>
      <c r="B4" s="7" t="s">
        <v>59</v>
      </c>
      <c r="E4" s="7" t="s">
        <v>68</v>
      </c>
      <c r="F4" s="7" t="s">
        <v>69</v>
      </c>
    </row>
    <row r="5" spans="1:6" x14ac:dyDescent="0.55000000000000004">
      <c r="A5" t="s">
        <v>60</v>
      </c>
      <c r="B5" s="23">
        <v>7.2499999999999995E-2</v>
      </c>
      <c r="E5" t="s">
        <v>28</v>
      </c>
      <c r="F5" s="27">
        <v>20</v>
      </c>
    </row>
    <row r="6" spans="1:6" x14ac:dyDescent="0.55000000000000004">
      <c r="A6" t="s">
        <v>61</v>
      </c>
      <c r="B6" s="23">
        <v>0.04</v>
      </c>
      <c r="E6" t="s">
        <v>29</v>
      </c>
      <c r="F6" s="27">
        <v>6</v>
      </c>
    </row>
    <row r="7" spans="1:6" x14ac:dyDescent="0.55000000000000004">
      <c r="A7" t="s">
        <v>62</v>
      </c>
      <c r="B7" s="24">
        <v>67</v>
      </c>
      <c r="E7" t="s">
        <v>30</v>
      </c>
      <c r="F7" s="27">
        <v>1</v>
      </c>
    </row>
    <row r="8" spans="1:6" x14ac:dyDescent="0.55000000000000004">
      <c r="A8" t="s">
        <v>63</v>
      </c>
      <c r="B8" s="25">
        <v>218</v>
      </c>
      <c r="E8" t="s">
        <v>31</v>
      </c>
      <c r="F8" s="27">
        <v>0</v>
      </c>
    </row>
    <row r="9" spans="1:6" x14ac:dyDescent="0.55000000000000004">
      <c r="A9" t="s">
        <v>64</v>
      </c>
      <c r="B9" t="s">
        <v>65</v>
      </c>
      <c r="E9" t="s">
        <v>106</v>
      </c>
      <c r="F9" s="27">
        <v>35</v>
      </c>
    </row>
    <row r="10" spans="1:6" x14ac:dyDescent="0.55000000000000004">
      <c r="A10" s="7" t="s">
        <v>66</v>
      </c>
      <c r="B10" s="7" t="s">
        <v>6</v>
      </c>
      <c r="C10" s="7" t="s">
        <v>67</v>
      </c>
      <c r="E10" s="8" t="s">
        <v>70</v>
      </c>
      <c r="F10" s="28">
        <f>SUM(F5:F9)</f>
        <v>62</v>
      </c>
    </row>
    <row r="11" spans="1:6" x14ac:dyDescent="0.55000000000000004">
      <c r="A11">
        <v>72</v>
      </c>
      <c r="B11">
        <v>27.4</v>
      </c>
      <c r="C11" s="26">
        <f>1/B11</f>
        <v>3.6496350364963508E-2</v>
      </c>
    </row>
    <row r="12" spans="1:6" x14ac:dyDescent="0.55000000000000004">
      <c r="A12">
        <v>73</v>
      </c>
      <c r="B12">
        <v>26.5</v>
      </c>
      <c r="C12" s="26">
        <f t="shared" ref="C12:C34" si="0">1/B12</f>
        <v>3.7735849056603772E-2</v>
      </c>
    </row>
    <row r="13" spans="1:6" x14ac:dyDescent="0.55000000000000004">
      <c r="A13">
        <v>74</v>
      </c>
      <c r="B13">
        <v>25.5</v>
      </c>
      <c r="C13" s="26">
        <f t="shared" si="0"/>
        <v>3.9215686274509803E-2</v>
      </c>
    </row>
    <row r="14" spans="1:6" x14ac:dyDescent="0.55000000000000004">
      <c r="A14">
        <v>75</v>
      </c>
      <c r="B14">
        <v>24.6</v>
      </c>
      <c r="C14" s="26">
        <f t="shared" si="0"/>
        <v>4.065040650406504E-2</v>
      </c>
    </row>
    <row r="15" spans="1:6" x14ac:dyDescent="0.55000000000000004">
      <c r="A15">
        <v>76</v>
      </c>
      <c r="B15">
        <v>23.7</v>
      </c>
      <c r="C15" s="26">
        <f t="shared" si="0"/>
        <v>4.2194092827004218E-2</v>
      </c>
    </row>
    <row r="16" spans="1:6" x14ac:dyDescent="0.55000000000000004">
      <c r="A16">
        <v>77</v>
      </c>
      <c r="B16">
        <v>22.9</v>
      </c>
      <c r="C16" s="26">
        <f t="shared" si="0"/>
        <v>4.3668122270742363E-2</v>
      </c>
    </row>
    <row r="17" spans="1:3" x14ac:dyDescent="0.55000000000000004">
      <c r="A17">
        <v>78</v>
      </c>
      <c r="B17">
        <v>22</v>
      </c>
      <c r="C17" s="26">
        <f t="shared" si="0"/>
        <v>4.5454545454545456E-2</v>
      </c>
    </row>
    <row r="18" spans="1:3" x14ac:dyDescent="0.55000000000000004">
      <c r="A18">
        <v>79</v>
      </c>
      <c r="B18">
        <v>21.1</v>
      </c>
      <c r="C18" s="26">
        <f t="shared" si="0"/>
        <v>4.7393364928909949E-2</v>
      </c>
    </row>
    <row r="19" spans="1:3" x14ac:dyDescent="0.55000000000000004">
      <c r="A19">
        <v>80</v>
      </c>
      <c r="B19">
        <v>20.2</v>
      </c>
      <c r="C19" s="26">
        <f t="shared" si="0"/>
        <v>4.9504950495049507E-2</v>
      </c>
    </row>
    <row r="20" spans="1:3" x14ac:dyDescent="0.55000000000000004">
      <c r="A20">
        <v>81</v>
      </c>
      <c r="B20">
        <v>19.399999999999999</v>
      </c>
      <c r="C20" s="26">
        <f t="shared" si="0"/>
        <v>5.1546391752577324E-2</v>
      </c>
    </row>
    <row r="21" spans="1:3" x14ac:dyDescent="0.55000000000000004">
      <c r="A21">
        <v>82</v>
      </c>
      <c r="B21">
        <v>18.5</v>
      </c>
      <c r="C21" s="26">
        <f t="shared" si="0"/>
        <v>5.4054054054054057E-2</v>
      </c>
    </row>
    <row r="22" spans="1:3" x14ac:dyDescent="0.55000000000000004">
      <c r="A22">
        <v>83</v>
      </c>
      <c r="B22">
        <v>17.7</v>
      </c>
      <c r="C22" s="26">
        <f t="shared" si="0"/>
        <v>5.6497175141242938E-2</v>
      </c>
    </row>
    <row r="23" spans="1:3" x14ac:dyDescent="0.55000000000000004">
      <c r="A23">
        <v>84</v>
      </c>
      <c r="B23">
        <v>16.8</v>
      </c>
      <c r="C23" s="26">
        <f t="shared" si="0"/>
        <v>5.9523809523809521E-2</v>
      </c>
    </row>
    <row r="24" spans="1:3" x14ac:dyDescent="0.55000000000000004">
      <c r="A24">
        <v>85</v>
      </c>
      <c r="B24">
        <v>16</v>
      </c>
      <c r="C24" s="26">
        <f t="shared" si="0"/>
        <v>6.25E-2</v>
      </c>
    </row>
    <row r="25" spans="1:3" x14ac:dyDescent="0.55000000000000004">
      <c r="A25">
        <v>86</v>
      </c>
      <c r="B25">
        <v>15.2</v>
      </c>
      <c r="C25" s="26">
        <f t="shared" si="0"/>
        <v>6.5789473684210523E-2</v>
      </c>
    </row>
    <row r="26" spans="1:3" x14ac:dyDescent="0.55000000000000004">
      <c r="A26">
        <v>87</v>
      </c>
      <c r="B26">
        <v>14.4</v>
      </c>
      <c r="C26" s="26">
        <f t="shared" si="0"/>
        <v>6.9444444444444448E-2</v>
      </c>
    </row>
    <row r="27" spans="1:3" x14ac:dyDescent="0.55000000000000004">
      <c r="A27">
        <v>88</v>
      </c>
      <c r="B27">
        <v>13.7</v>
      </c>
      <c r="C27" s="26">
        <f t="shared" si="0"/>
        <v>7.2992700729927015E-2</v>
      </c>
    </row>
    <row r="28" spans="1:3" x14ac:dyDescent="0.55000000000000004">
      <c r="A28">
        <v>89</v>
      </c>
      <c r="B28">
        <v>12.9</v>
      </c>
      <c r="C28" s="26">
        <f t="shared" si="0"/>
        <v>7.7519379844961239E-2</v>
      </c>
    </row>
    <row r="29" spans="1:3" x14ac:dyDescent="0.55000000000000004">
      <c r="A29">
        <v>90</v>
      </c>
      <c r="B29">
        <v>12.2</v>
      </c>
      <c r="C29" s="26">
        <f t="shared" si="0"/>
        <v>8.1967213114754106E-2</v>
      </c>
    </row>
    <row r="30" spans="1:3" x14ac:dyDescent="0.55000000000000004">
      <c r="A30">
        <v>91</v>
      </c>
      <c r="B30">
        <v>11.5</v>
      </c>
      <c r="C30" s="26">
        <f t="shared" si="0"/>
        <v>8.6956521739130432E-2</v>
      </c>
    </row>
    <row r="31" spans="1:3" x14ac:dyDescent="0.55000000000000004">
      <c r="A31">
        <v>92</v>
      </c>
      <c r="B31">
        <v>10.8</v>
      </c>
      <c r="C31" s="26">
        <f t="shared" si="0"/>
        <v>9.2592592592592587E-2</v>
      </c>
    </row>
    <row r="32" spans="1:3" x14ac:dyDescent="0.55000000000000004">
      <c r="A32">
        <v>93</v>
      </c>
      <c r="B32">
        <v>10.1</v>
      </c>
      <c r="C32" s="26">
        <f t="shared" si="0"/>
        <v>9.9009900990099015E-2</v>
      </c>
    </row>
    <row r="33" spans="1:3" x14ac:dyDescent="0.55000000000000004">
      <c r="A33">
        <v>94</v>
      </c>
      <c r="B33">
        <v>9.5</v>
      </c>
      <c r="C33" s="26">
        <f t="shared" si="0"/>
        <v>0.10526315789473684</v>
      </c>
    </row>
    <row r="34" spans="1:3" x14ac:dyDescent="0.55000000000000004">
      <c r="A34">
        <v>95</v>
      </c>
      <c r="B34">
        <v>8.9</v>
      </c>
      <c r="C34" s="26">
        <f t="shared" si="0"/>
        <v>0.11235955056179775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C54C-082A-46D4-B011-6AD457B349F4}">
  <dimension ref="A1:L13"/>
  <sheetViews>
    <sheetView tabSelected="1" workbookViewId="0">
      <selection sqref="A1:L1"/>
    </sheetView>
  </sheetViews>
  <sheetFormatPr defaultRowHeight="14.4" x14ac:dyDescent="0.55000000000000004"/>
  <cols>
    <col min="1" max="1" width="28.05078125" customWidth="1"/>
    <col min="2" max="10" width="9.62890625" customWidth="1"/>
    <col min="11" max="11" width="19.3125" customWidth="1"/>
    <col min="12" max="12" width="15.7890625" customWidth="1"/>
  </cols>
  <sheetData>
    <row r="1" spans="1:12" ht="30" customHeight="1" x14ac:dyDescent="0.55000000000000004">
      <c r="A1" s="4" t="s">
        <v>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55000000000000004">
      <c r="A2" s="5" t="s">
        <v>72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2" x14ac:dyDescent="0.55000000000000004">
      <c r="A4" s="7" t="s">
        <v>52</v>
      </c>
      <c r="B4" s="7">
        <v>62</v>
      </c>
      <c r="C4" s="7">
        <v>63</v>
      </c>
      <c r="D4" s="7">
        <v>64</v>
      </c>
      <c r="E4" s="7">
        <v>65</v>
      </c>
      <c r="F4" s="7">
        <v>66</v>
      </c>
      <c r="G4" s="7">
        <v>67</v>
      </c>
      <c r="H4" s="7">
        <v>68</v>
      </c>
      <c r="I4" s="7">
        <v>69</v>
      </c>
      <c r="J4" s="7">
        <v>70</v>
      </c>
    </row>
    <row r="5" spans="1:12" x14ac:dyDescent="0.55000000000000004">
      <c r="A5" t="s">
        <v>45</v>
      </c>
      <c r="B5" s="16">
        <f>ROUND($L$8*IF(B$4&lt;67,1-MIN((67-B$4)*12,36)*5/900-MAX((67-B$4)*12-36,0)*5/1200,1+(B$4-67)*8%),0)</f>
        <v>2729</v>
      </c>
      <c r="C5" s="16">
        <f>ROUND($L$8*IF(C$4&lt;67,1-MIN((67-C$4)*12,36)*5/900-MAX((67-C$4)*12-36,0)*5/1200,1+(C$4-67)*8%),0)</f>
        <v>2924</v>
      </c>
      <c r="D5" s="16">
        <f>ROUND($L$8*IF(D$4&lt;67,1-MIN((67-D$4)*12,36)*5/900-MAX((67-D$4)*12-36,0)*5/1200,1+(D$4-67)*8%),0)</f>
        <v>3119</v>
      </c>
      <c r="E5" s="16">
        <f>ROUND($L$8*IF(E$4&lt;67,1-MIN((67-E$4)*12,36)*5/900-MAX((67-E$4)*12-36,0)*5/1200,1+(E$4-67)*8%),0)</f>
        <v>3379</v>
      </c>
      <c r="F5" s="16">
        <f>ROUND($L$8*IF(F$4&lt;67,1-MIN((67-F$4)*12,36)*5/900-MAX((67-F$4)*12-36,0)*5/1200,1+(F$4-67)*8%),0)</f>
        <v>3639</v>
      </c>
      <c r="G5" s="16">
        <f>ROUND($L$8*IF(G$4&lt;67,1-MIN((67-G$4)*12,36)*5/900-MAX((67-G$4)*12-36,0)*5/1200,1+(G$4-67)*8%),0)</f>
        <v>3899</v>
      </c>
      <c r="H5" s="16">
        <f>ROUND($L$8*IF(H$4&lt;67,1-MIN((67-H$4)*12,36)*5/900-MAX((67-H$4)*12-36,0)*5/1200,1+(H$4-67)*8%),0)</f>
        <v>4211</v>
      </c>
      <c r="I5" s="16">
        <f>ROUND($L$8*IF(I$4&lt;67,1-MIN((67-I$4)*12,36)*5/900-MAX((67-I$4)*12-36,0)*5/1200,1+(I$4-67)*8%),0)</f>
        <v>4523</v>
      </c>
      <c r="J5" s="16">
        <f>ROUND($L$8*IF(J$4&lt;67,1-MIN((67-J$4)*12,36)*5/900-MAX((67-J$4)*12-36,0)*5/1200,1+(J$4-67)*8%),0)</f>
        <v>4835</v>
      </c>
      <c r="K5" s="11" t="s">
        <v>41</v>
      </c>
      <c r="L5" s="29">
        <v>28158</v>
      </c>
    </row>
    <row r="6" spans="1:12" x14ac:dyDescent="0.55000000000000004">
      <c r="A6" t="s">
        <v>46</v>
      </c>
      <c r="B6" s="16">
        <f>_xlfn.LET(_xlpm.claim,MAX(EDATE($L$5,B$4*12),EDATE($L$6,62*12)),_xlpm.fra,EDATE($L$6,67*12),_xlpm.m,MAX(0,(YEAR(_xlpm.fra)-YEAR(_xlpm.claim))*12+MONTH(_xlpm.fra)-MONTH(_xlpm.claim)),ROUND($L$8*50%*(1-MIN(_xlpm.m,36)*25/3600-MAX(_xlpm.m-36,0)*5/1200),0))</f>
        <v>1267</v>
      </c>
      <c r="C6" s="16">
        <f>_xlfn.LET(_xlpm.claim,MAX(EDATE($L$5,C$4*12),EDATE($L$6,62*12)),_xlpm.fra,EDATE($L$6,67*12),_xlpm.m,MAX(0,(YEAR(_xlpm.fra)-YEAR(_xlpm.claim))*12+MONTH(_xlpm.fra)-MONTH(_xlpm.claim)),ROUND($L$8*50%*(1-MIN(_xlpm.m,36)*25/3600-MAX(_xlpm.m-36,0)*5/1200),0))</f>
        <v>1267</v>
      </c>
      <c r="D6" s="16">
        <f>_xlfn.LET(_xlpm.claim,MAX(EDATE($L$5,D$4*12),EDATE($L$6,62*12)),_xlpm.fra,EDATE($L$6,67*12),_xlpm.m,MAX(0,(YEAR(_xlpm.fra)-YEAR(_xlpm.claim))*12+MONTH(_xlpm.fra)-MONTH(_xlpm.claim)),ROUND($L$8*50%*(1-MIN(_xlpm.m,36)*25/3600-MAX(_xlpm.m-36,0)*5/1200),0))</f>
        <v>1267</v>
      </c>
      <c r="E6" s="16">
        <f>_xlfn.LET(_xlpm.claim,MAX(EDATE($L$5,E$4*12),EDATE($L$6,62*12)),_xlpm.fra,EDATE($L$6,67*12),_xlpm.m,MAX(0,(YEAR(_xlpm.fra)-YEAR(_xlpm.claim))*12+MONTH(_xlpm.fra)-MONTH(_xlpm.claim)),ROUND($L$8*50%*(1-MIN(_xlpm.m,36)*25/3600-MAX(_xlpm.m-36,0)*5/1200),0))</f>
        <v>1332</v>
      </c>
      <c r="F6" s="16">
        <f>_xlfn.LET(_xlpm.claim,MAX(EDATE($L$5,F$4*12),EDATE($L$6,62*12)),_xlpm.fra,EDATE($L$6,67*12),_xlpm.m,MAX(0,(YEAR(_xlpm.fra)-YEAR(_xlpm.claim))*12+MONTH(_xlpm.fra)-MONTH(_xlpm.claim)),ROUND($L$8*50%*(1-MIN(_xlpm.m,36)*25/3600-MAX(_xlpm.m-36,0)*5/1200),0))</f>
        <v>1430</v>
      </c>
      <c r="G6" s="16">
        <f>_xlfn.LET(_xlpm.claim,MAX(EDATE($L$5,G$4*12),EDATE($L$6,62*12)),_xlpm.fra,EDATE($L$6,67*12),_xlpm.m,MAX(0,(YEAR(_xlpm.fra)-YEAR(_xlpm.claim))*12+MONTH(_xlpm.fra)-MONTH(_xlpm.claim)),ROUND($L$8*50%*(1-MIN(_xlpm.m,36)*25/3600-MAX(_xlpm.m-36,0)*5/1200),0))</f>
        <v>1570</v>
      </c>
      <c r="H6" s="16">
        <f>_xlfn.LET(_xlpm.claim,MAX(EDATE($L$5,H$4*12),EDATE($L$6,62*12)),_xlpm.fra,EDATE($L$6,67*12),_xlpm.m,MAX(0,(YEAR(_xlpm.fra)-YEAR(_xlpm.claim))*12+MONTH(_xlpm.fra)-MONTH(_xlpm.claim)),ROUND($L$8*50%*(1-MIN(_xlpm.m,36)*25/3600-MAX(_xlpm.m-36,0)*5/1200),0))</f>
        <v>1733</v>
      </c>
      <c r="I6" s="16">
        <f>_xlfn.LET(_xlpm.claim,MAX(EDATE($L$5,I$4*12),EDATE($L$6,62*12)),_xlpm.fra,EDATE($L$6,67*12),_xlpm.m,MAX(0,(YEAR(_xlpm.fra)-YEAR(_xlpm.claim))*12+MONTH(_xlpm.fra)-MONTH(_xlpm.claim)),ROUND($L$8*50%*(1-MIN(_xlpm.m,36)*25/3600-MAX(_xlpm.m-36,0)*5/1200),0))</f>
        <v>1895</v>
      </c>
      <c r="J6" s="16">
        <f>_xlfn.LET(_xlpm.claim,MAX(EDATE($L$5,J$4*12),EDATE($L$6,62*12)),_xlpm.fra,EDATE($L$6,67*12),_xlpm.m,MAX(0,(YEAR(_xlpm.fra)-YEAR(_xlpm.claim))*12+MONTH(_xlpm.fra)-MONTH(_xlpm.claim)),ROUND($L$8*50%*(1-MIN(_xlpm.m,36)*25/3600-MAX(_xlpm.m-36,0)*5/1200),0))</f>
        <v>1950</v>
      </c>
      <c r="K6" s="11" t="s">
        <v>42</v>
      </c>
      <c r="L6" s="29">
        <v>29012</v>
      </c>
    </row>
    <row r="7" spans="1:12" x14ac:dyDescent="0.55000000000000004">
      <c r="A7" s="30" t="s">
        <v>47</v>
      </c>
      <c r="B7" s="31">
        <f>B5+B6</f>
        <v>3996</v>
      </c>
      <c r="C7" s="31">
        <f>C5+C6</f>
        <v>4191</v>
      </c>
      <c r="D7" s="31">
        <f>D5+D6</f>
        <v>4386</v>
      </c>
      <c r="E7" s="31">
        <f>E5+E6</f>
        <v>4711</v>
      </c>
      <c r="F7" s="31">
        <f>F5+F6</f>
        <v>5069</v>
      </c>
      <c r="G7" s="31">
        <f>G5+G6</f>
        <v>5469</v>
      </c>
      <c r="H7" s="31">
        <f>H5+H6</f>
        <v>5944</v>
      </c>
      <c r="I7" s="31">
        <f>I5+I6</f>
        <v>6418</v>
      </c>
      <c r="J7" s="31">
        <f>J5+J6</f>
        <v>6785</v>
      </c>
      <c r="K7" s="11" t="s">
        <v>43</v>
      </c>
      <c r="L7" s="22">
        <v>0.04</v>
      </c>
    </row>
    <row r="8" spans="1:12" x14ac:dyDescent="0.55000000000000004">
      <c r="A8" s="30" t="s">
        <v>54</v>
      </c>
      <c r="B8" s="31">
        <f>B7*12</f>
        <v>47952</v>
      </c>
      <c r="C8" s="31">
        <f>C7*12</f>
        <v>50292</v>
      </c>
      <c r="D8" s="31">
        <f>D7*12</f>
        <v>52632</v>
      </c>
      <c r="E8" s="31">
        <f>E7*12</f>
        <v>56532</v>
      </c>
      <c r="F8" s="31">
        <f>F7*12</f>
        <v>60828</v>
      </c>
      <c r="G8" s="31">
        <f>G7*12</f>
        <v>65628</v>
      </c>
      <c r="H8" s="31">
        <f>H7*12</f>
        <v>71328</v>
      </c>
      <c r="I8" s="31">
        <f>I7*12</f>
        <v>77016</v>
      </c>
      <c r="J8" s="31">
        <f>J7*12</f>
        <v>81420</v>
      </c>
      <c r="K8" s="11" t="s">
        <v>44</v>
      </c>
      <c r="L8" s="16">
        <v>3899</v>
      </c>
    </row>
    <row r="9" spans="1:12" x14ac:dyDescent="0.55000000000000004">
      <c r="A9" t="s">
        <v>48</v>
      </c>
      <c r="B9" s="16">
        <f>IF(EDATE($L$5,70*12)&gt;EDATE($L$5,B$4*12),DATEDIF(EDATE($L$5,B$4*12),EDATE($L$5,70*12),"m")*B5,0)+IF(EDATE($L$5,70*12)&gt;MAX(EDATE($L$5,B$4*12),EDATE($L$6,62*12)),DATEDIF(MAX(EDATE($L$5,B$4*12),EDATE($L$6,62*12)),EDATE($L$5,70*12),"m")*B6,0)</f>
        <v>346873</v>
      </c>
      <c r="C9" s="16">
        <f>IF(EDATE($L$5,70*12)&gt;EDATE($L$5,C$4*12),DATEDIF(EDATE($L$5,C$4*12),EDATE($L$5,70*12),"m")*C5,0)+IF(EDATE($L$5,70*12)&gt;MAX(EDATE($L$5,C$4*12),EDATE($L$6,62*12)),DATEDIF(MAX(EDATE($L$5,C$4*12),EDATE($L$6,62*12)),EDATE($L$5,70*12),"m")*C6,0)</f>
        <v>330505</v>
      </c>
      <c r="D9" s="16">
        <f>IF(EDATE($L$5,70*12)&gt;EDATE($L$5,D$4*12),DATEDIF(EDATE($L$5,D$4*12),EDATE($L$5,70*12),"m")*D5,0)+IF(EDATE($L$5,70*12)&gt;MAX(EDATE($L$5,D$4*12),EDATE($L$6,62*12)),DATEDIF(MAX(EDATE($L$5,D$4*12),EDATE($L$6,62*12)),EDATE($L$5,70*12),"m")*D6,0)</f>
        <v>309457</v>
      </c>
      <c r="E9" s="16">
        <f>IF(EDATE($L$5,70*12)&gt;EDATE($L$5,E$4*12),DATEDIF(EDATE($L$5,E$4*12),EDATE($L$5,70*12),"m")*E5,0)+IF(EDATE($L$5,70*12)&gt;MAX(EDATE($L$5,E$4*12),EDATE($L$6,62*12)),DATEDIF(MAX(EDATE($L$5,E$4*12),EDATE($L$6,62*12)),EDATE($L$5,70*12),"m")*E6,0)</f>
        <v>282660</v>
      </c>
      <c r="F9" s="16">
        <f>IF(EDATE($L$5,70*12)&gt;EDATE($L$5,F$4*12),DATEDIF(EDATE($L$5,F$4*12),EDATE($L$5,70*12),"m")*F5,0)+IF(EDATE($L$5,70*12)&gt;MAX(EDATE($L$5,F$4*12),EDATE($L$6,62*12)),DATEDIF(MAX(EDATE($L$5,F$4*12),EDATE($L$6,62*12)),EDATE($L$5,70*12),"m")*F6,0)</f>
        <v>243312</v>
      </c>
      <c r="G9" s="16">
        <f>IF(EDATE($L$5,70*12)&gt;EDATE($L$5,G$4*12),DATEDIF(EDATE($L$5,G$4*12),EDATE($L$5,70*12),"m")*G5,0)+IF(EDATE($L$5,70*12)&gt;MAX(EDATE($L$5,G$4*12),EDATE($L$6,62*12)),DATEDIF(MAX(EDATE($L$5,G$4*12),EDATE($L$6,62*12)),EDATE($L$5,70*12),"m")*G6,0)</f>
        <v>196884</v>
      </c>
      <c r="H9" s="16">
        <f>IF(EDATE($L$5,70*12)&gt;EDATE($L$5,H$4*12),DATEDIF(EDATE($L$5,H$4*12),EDATE($L$5,70*12),"m")*H5,0)+IF(EDATE($L$5,70*12)&gt;MAX(EDATE($L$5,H$4*12),EDATE($L$6,62*12)),DATEDIF(MAX(EDATE($L$5,H$4*12),EDATE($L$6,62*12)),EDATE($L$5,70*12),"m")*H6,0)</f>
        <v>142656</v>
      </c>
      <c r="I9" s="16">
        <f>IF(EDATE($L$5,70*12)&gt;EDATE($L$5,I$4*12),DATEDIF(EDATE($L$5,I$4*12),EDATE($L$5,70*12),"m")*I5,0)+IF(EDATE($L$5,70*12)&gt;MAX(EDATE($L$5,I$4*12),EDATE($L$6,62*12)),DATEDIF(MAX(EDATE($L$5,I$4*12),EDATE($L$6,62*12)),EDATE($L$5,70*12),"m")*I6,0)</f>
        <v>77016</v>
      </c>
      <c r="J9" s="16">
        <f>IF(EDATE($L$5,70*12)&gt;EDATE($L$5,J$4*12),DATEDIF(EDATE($L$5,J$4*12),EDATE($L$5,70*12),"m")*J5,0)+IF(EDATE($L$5,70*12)&gt;MAX(EDATE($L$5,J$4*12),EDATE($L$6,62*12)),DATEDIF(MAX(EDATE($L$5,J$4*12),EDATE($L$6,62*12)),EDATE($L$5,70*12),"m")*J6,0)</f>
        <v>0</v>
      </c>
    </row>
    <row r="10" spans="1:12" x14ac:dyDescent="0.55000000000000004">
      <c r="A10" t="s">
        <v>49</v>
      </c>
      <c r="B10" s="16">
        <f>IF(EDATE($L$5,75*12)&gt;EDATE($L$5,B$4*12),DATEDIF(EDATE($L$5,B$4*12),EDATE($L$5,75*12),"m")*B5,0)+IF(EDATE($L$5,75*12)&gt;MAX(EDATE($L$5,B$4*12),EDATE($L$6,62*12)),DATEDIF(MAX(EDATE($L$5,B$4*12),EDATE($L$6,62*12)),EDATE($L$5,75*12),"m")*B6,0)</f>
        <v>586633</v>
      </c>
      <c r="C10" s="16">
        <f>IF(EDATE($L$5,75*12)&gt;EDATE($L$5,C$4*12),DATEDIF(EDATE($L$5,C$4*12),EDATE($L$5,75*12),"m")*C5,0)+IF(EDATE($L$5,75*12)&gt;MAX(EDATE($L$5,C$4*12),EDATE($L$6,62*12)),DATEDIF(MAX(EDATE($L$5,C$4*12),EDATE($L$6,62*12)),EDATE($L$5,75*12),"m")*C6,0)</f>
        <v>581965</v>
      </c>
      <c r="D10" s="16">
        <f>IF(EDATE($L$5,75*12)&gt;EDATE($L$5,D$4*12),DATEDIF(EDATE($L$5,D$4*12),EDATE($L$5,75*12),"m")*D5,0)+IF(EDATE($L$5,75*12)&gt;MAX(EDATE($L$5,D$4*12),EDATE($L$6,62*12)),DATEDIF(MAX(EDATE($L$5,D$4*12),EDATE($L$6,62*12)),EDATE($L$5,75*12),"m")*D6,0)</f>
        <v>572617</v>
      </c>
      <c r="E10" s="16">
        <f>IF(EDATE($L$5,75*12)&gt;EDATE($L$5,E$4*12),DATEDIF(EDATE($L$5,E$4*12),EDATE($L$5,75*12),"m")*E5,0)+IF(EDATE($L$5,75*12)&gt;MAX(EDATE($L$5,E$4*12),EDATE($L$6,62*12)),DATEDIF(MAX(EDATE($L$5,E$4*12),EDATE($L$6,62*12)),EDATE($L$5,75*12),"m")*E6,0)</f>
        <v>565320</v>
      </c>
      <c r="F10" s="16">
        <f>IF(EDATE($L$5,75*12)&gt;EDATE($L$5,F$4*12),DATEDIF(EDATE($L$5,F$4*12),EDATE($L$5,75*12),"m")*F5,0)+IF(EDATE($L$5,75*12)&gt;MAX(EDATE($L$5,F$4*12),EDATE($L$6,62*12)),DATEDIF(MAX(EDATE($L$5,F$4*12),EDATE($L$6,62*12)),EDATE($L$5,75*12),"m")*F6,0)</f>
        <v>547452</v>
      </c>
      <c r="G10" s="16">
        <f>IF(EDATE($L$5,75*12)&gt;EDATE($L$5,G$4*12),DATEDIF(EDATE($L$5,G$4*12),EDATE($L$5,75*12),"m")*G5,0)+IF(EDATE($L$5,75*12)&gt;MAX(EDATE($L$5,G$4*12),EDATE($L$6,62*12)),DATEDIF(MAX(EDATE($L$5,G$4*12),EDATE($L$6,62*12)),EDATE($L$5,75*12),"m")*G6,0)</f>
        <v>525024</v>
      </c>
      <c r="H10" s="16">
        <f>IF(EDATE($L$5,75*12)&gt;EDATE($L$5,H$4*12),DATEDIF(EDATE($L$5,H$4*12),EDATE($L$5,75*12),"m")*H5,0)+IF(EDATE($L$5,75*12)&gt;MAX(EDATE($L$5,H$4*12),EDATE($L$6,62*12)),DATEDIF(MAX(EDATE($L$5,H$4*12),EDATE($L$6,62*12)),EDATE($L$5,75*12),"m")*H6,0)</f>
        <v>499296</v>
      </c>
      <c r="I10" s="16">
        <f>IF(EDATE($L$5,75*12)&gt;EDATE($L$5,I$4*12),DATEDIF(EDATE($L$5,I$4*12),EDATE($L$5,75*12),"m")*I5,0)+IF(EDATE($L$5,75*12)&gt;MAX(EDATE($L$5,I$4*12),EDATE($L$6,62*12)),DATEDIF(MAX(EDATE($L$5,I$4*12),EDATE($L$6,62*12)),EDATE($L$5,75*12),"m")*I6,0)</f>
        <v>462096</v>
      </c>
      <c r="J10" s="16">
        <f>IF(EDATE($L$5,75*12)&gt;EDATE($L$5,J$4*12),DATEDIF(EDATE($L$5,J$4*12),EDATE($L$5,75*12),"m")*J5,0)+IF(EDATE($L$5,75*12)&gt;MAX(EDATE($L$5,J$4*12),EDATE($L$6,62*12)),DATEDIF(MAX(EDATE($L$5,J$4*12),EDATE($L$6,62*12)),EDATE($L$5,75*12),"m")*J6,0)</f>
        <v>407100</v>
      </c>
    </row>
    <row r="11" spans="1:12" x14ac:dyDescent="0.55000000000000004">
      <c r="A11" t="s">
        <v>50</v>
      </c>
      <c r="B11" s="16">
        <f>IF(EDATE($L$5,80*12)&gt;EDATE($L$5,B$4*12),DATEDIF(EDATE($L$5,B$4*12),EDATE($L$5,80*12),"m")*B5,0)+IF(EDATE($L$5,80*12)&gt;MAX(EDATE($L$5,B$4*12),EDATE($L$6,62*12)),DATEDIF(MAX(EDATE($L$5,B$4*12),EDATE($L$6,62*12)),EDATE($L$5,80*12),"m")*B6,0)</f>
        <v>826393</v>
      </c>
      <c r="C11" s="16">
        <f>IF(EDATE($L$5,80*12)&gt;EDATE($L$5,C$4*12),DATEDIF(EDATE($L$5,C$4*12),EDATE($L$5,80*12),"m")*C5,0)+IF(EDATE($L$5,80*12)&gt;MAX(EDATE($L$5,C$4*12),EDATE($L$6,62*12)),DATEDIF(MAX(EDATE($L$5,C$4*12),EDATE($L$6,62*12)),EDATE($L$5,80*12),"m")*C6,0)</f>
        <v>833425</v>
      </c>
      <c r="D11" s="16">
        <f>IF(EDATE($L$5,80*12)&gt;EDATE($L$5,D$4*12),DATEDIF(EDATE($L$5,D$4*12),EDATE($L$5,80*12),"m")*D5,0)+IF(EDATE($L$5,80*12)&gt;MAX(EDATE($L$5,D$4*12),EDATE($L$6,62*12)),DATEDIF(MAX(EDATE($L$5,D$4*12),EDATE($L$6,62*12)),EDATE($L$5,80*12),"m")*D6,0)</f>
        <v>835777</v>
      </c>
      <c r="E11" s="16">
        <f>IF(EDATE($L$5,80*12)&gt;EDATE($L$5,E$4*12),DATEDIF(EDATE($L$5,E$4*12),EDATE($L$5,80*12),"m")*E5,0)+IF(EDATE($L$5,80*12)&gt;MAX(EDATE($L$5,E$4*12),EDATE($L$6,62*12)),DATEDIF(MAX(EDATE($L$5,E$4*12),EDATE($L$6,62*12)),EDATE($L$5,80*12),"m")*E6,0)</f>
        <v>847980</v>
      </c>
      <c r="F11" s="16">
        <f>IF(EDATE($L$5,80*12)&gt;EDATE($L$5,F$4*12),DATEDIF(EDATE($L$5,F$4*12),EDATE($L$5,80*12),"m")*F5,0)+IF(EDATE($L$5,80*12)&gt;MAX(EDATE($L$5,F$4*12),EDATE($L$6,62*12)),DATEDIF(MAX(EDATE($L$5,F$4*12),EDATE($L$6,62*12)),EDATE($L$5,80*12),"m")*F6,0)</f>
        <v>851592</v>
      </c>
      <c r="G11" s="16">
        <f>IF(EDATE($L$5,80*12)&gt;EDATE($L$5,G$4*12),DATEDIF(EDATE($L$5,G$4*12),EDATE($L$5,80*12),"m")*G5,0)+IF(EDATE($L$5,80*12)&gt;MAX(EDATE($L$5,G$4*12),EDATE($L$6,62*12)),DATEDIF(MAX(EDATE($L$5,G$4*12),EDATE($L$6,62*12)),EDATE($L$5,80*12),"m")*G6,0)</f>
        <v>853164</v>
      </c>
      <c r="H11" s="16">
        <f>IF(EDATE($L$5,80*12)&gt;EDATE($L$5,H$4*12),DATEDIF(EDATE($L$5,H$4*12),EDATE($L$5,80*12),"m")*H5,0)+IF(EDATE($L$5,80*12)&gt;MAX(EDATE($L$5,H$4*12),EDATE($L$6,62*12)),DATEDIF(MAX(EDATE($L$5,H$4*12),EDATE($L$6,62*12)),EDATE($L$5,80*12),"m")*H6,0)</f>
        <v>855936</v>
      </c>
      <c r="I11" s="16">
        <f>IF(EDATE($L$5,80*12)&gt;EDATE($L$5,I$4*12),DATEDIF(EDATE($L$5,I$4*12),EDATE($L$5,80*12),"m")*I5,0)+IF(EDATE($L$5,80*12)&gt;MAX(EDATE($L$5,I$4*12),EDATE($L$6,62*12)),DATEDIF(MAX(EDATE($L$5,I$4*12),EDATE($L$6,62*12)),EDATE($L$5,80*12),"m")*I6,0)</f>
        <v>847176</v>
      </c>
      <c r="J11" s="16">
        <f>IF(EDATE($L$5,80*12)&gt;EDATE($L$5,J$4*12),DATEDIF(EDATE($L$5,J$4*12),EDATE($L$5,80*12),"m")*J5,0)+IF(EDATE($L$5,80*12)&gt;MAX(EDATE($L$5,J$4*12),EDATE($L$6,62*12)),DATEDIF(MAX(EDATE($L$5,J$4*12),EDATE($L$6,62*12)),EDATE($L$5,80*12),"m")*J6,0)</f>
        <v>814200</v>
      </c>
    </row>
    <row r="12" spans="1:12" x14ac:dyDescent="0.55000000000000004">
      <c r="A12" t="s">
        <v>51</v>
      </c>
      <c r="B12" s="16">
        <f>IF(EDATE($L$5,85*12)&gt;EDATE($L$5,B$4*12),DATEDIF(EDATE($L$5,B$4*12),EDATE($L$5,85*12),"m")*B5,0)+IF(EDATE($L$5,85*12)&gt;MAX(EDATE($L$5,B$4*12),EDATE($L$6,62*12)),DATEDIF(MAX(EDATE($L$5,B$4*12),EDATE($L$6,62*12)),EDATE($L$5,85*12),"m")*B6,0)</f>
        <v>1066153</v>
      </c>
      <c r="C12" s="16">
        <f>IF(EDATE($L$5,85*12)&gt;EDATE($L$5,C$4*12),DATEDIF(EDATE($L$5,C$4*12),EDATE($L$5,85*12),"m")*C5,0)+IF(EDATE($L$5,85*12)&gt;MAX(EDATE($L$5,C$4*12),EDATE($L$6,62*12)),DATEDIF(MAX(EDATE($L$5,C$4*12),EDATE($L$6,62*12)),EDATE($L$5,85*12),"m")*C6,0)</f>
        <v>1084885</v>
      </c>
      <c r="D12" s="16">
        <f>IF(EDATE($L$5,85*12)&gt;EDATE($L$5,D$4*12),DATEDIF(EDATE($L$5,D$4*12),EDATE($L$5,85*12),"m")*D5,0)+IF(EDATE($L$5,85*12)&gt;MAX(EDATE($L$5,D$4*12),EDATE($L$6,62*12)),DATEDIF(MAX(EDATE($L$5,D$4*12),EDATE($L$6,62*12)),EDATE($L$5,85*12),"m")*D6,0)</f>
        <v>1098937</v>
      </c>
      <c r="E12" s="16">
        <f>IF(EDATE($L$5,85*12)&gt;EDATE($L$5,E$4*12),DATEDIF(EDATE($L$5,E$4*12),EDATE($L$5,85*12),"m")*E5,0)+IF(EDATE($L$5,85*12)&gt;MAX(EDATE($L$5,E$4*12),EDATE($L$6,62*12)),DATEDIF(MAX(EDATE($L$5,E$4*12),EDATE($L$6,62*12)),EDATE($L$5,85*12),"m")*E6,0)</f>
        <v>1130640</v>
      </c>
      <c r="F12" s="16">
        <f>IF(EDATE($L$5,85*12)&gt;EDATE($L$5,F$4*12),DATEDIF(EDATE($L$5,F$4*12),EDATE($L$5,85*12),"m")*F5,0)+IF(EDATE($L$5,85*12)&gt;MAX(EDATE($L$5,F$4*12),EDATE($L$6,62*12)),DATEDIF(MAX(EDATE($L$5,F$4*12),EDATE($L$6,62*12)),EDATE($L$5,85*12),"m")*F6,0)</f>
        <v>1155732</v>
      </c>
      <c r="G12" s="16">
        <f>IF(EDATE($L$5,85*12)&gt;EDATE($L$5,G$4*12),DATEDIF(EDATE($L$5,G$4*12),EDATE($L$5,85*12),"m")*G5,0)+IF(EDATE($L$5,85*12)&gt;MAX(EDATE($L$5,G$4*12),EDATE($L$6,62*12)),DATEDIF(MAX(EDATE($L$5,G$4*12),EDATE($L$6,62*12)),EDATE($L$5,85*12),"m")*G6,0)</f>
        <v>1181304</v>
      </c>
      <c r="H12" s="16">
        <f>IF(EDATE($L$5,85*12)&gt;EDATE($L$5,H$4*12),DATEDIF(EDATE($L$5,H$4*12),EDATE($L$5,85*12),"m")*H5,0)+IF(EDATE($L$5,85*12)&gt;MAX(EDATE($L$5,H$4*12),EDATE($L$6,62*12)),DATEDIF(MAX(EDATE($L$5,H$4*12),EDATE($L$6,62*12)),EDATE($L$5,85*12),"m")*H6,0)</f>
        <v>1212576</v>
      </c>
      <c r="I12" s="16">
        <f>IF(EDATE($L$5,85*12)&gt;EDATE($L$5,I$4*12),DATEDIF(EDATE($L$5,I$4*12),EDATE($L$5,85*12),"m")*I5,0)+IF(EDATE($L$5,85*12)&gt;MAX(EDATE($L$5,I$4*12),EDATE($L$6,62*12)),DATEDIF(MAX(EDATE($L$5,I$4*12),EDATE($L$6,62*12)),EDATE($L$5,85*12),"m")*I6,0)</f>
        <v>1232256</v>
      </c>
      <c r="J12" s="16">
        <f>IF(EDATE($L$5,85*12)&gt;EDATE($L$5,J$4*12),DATEDIF(EDATE($L$5,J$4*12),EDATE($L$5,85*12),"m")*J5,0)+IF(EDATE($L$5,85*12)&gt;MAX(EDATE($L$5,J$4*12),EDATE($L$6,62*12)),DATEDIF(MAX(EDATE($L$5,J$4*12),EDATE($L$6,62*12)),EDATE($L$5,85*12),"m")*J6,0)</f>
        <v>1221300</v>
      </c>
    </row>
    <row r="13" spans="1:12" ht="42" customHeight="1" x14ac:dyDescent="0.55000000000000004">
      <c r="A13" s="36" t="s">
        <v>53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</row>
  </sheetData>
  <mergeCells count="3">
    <mergeCell ref="A1:L1"/>
    <mergeCell ref="A2:L2"/>
    <mergeCell ref="A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Projection Data</vt:lpstr>
      <vt:lpstr>Retirement Forecast</vt:lpstr>
      <vt:lpstr>Assumptions</vt:lpstr>
      <vt:lpstr>Social 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Bijos</dc:creator>
  <cp:lastModifiedBy>Rene De Posada</cp:lastModifiedBy>
  <cp:lastPrinted>2024-08-13T22:34:20Z</cp:lastPrinted>
  <dcterms:created xsi:type="dcterms:W3CDTF">2024-08-13T21:51:44Z</dcterms:created>
  <dcterms:modified xsi:type="dcterms:W3CDTF">2026-08-22T21:38:54Z</dcterms:modified>
</cp:coreProperties>
</file>