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GitHub\wealth-map\planning\"/>
    </mc:Choice>
  </mc:AlternateContent>
  <xr:revisionPtr revIDLastSave="0" documentId="13_ncr:1_{6DF8FF25-3A10-4694-AF2B-1B542FA28ED2}" xr6:coauthVersionLast="47" xr6:coauthVersionMax="47" xr10:uidLastSave="{00000000-0000-0000-0000-000000000000}"/>
  <bookViews>
    <workbookView xWindow="-96" yWindow="-96" windowWidth="20928" windowHeight="12432" firstSheet="3" activeTab="5" xr2:uid="{4982FC70-95E0-40B0-9BD7-1D5F6F2B7D53}"/>
  </bookViews>
  <sheets>
    <sheet name="Inputs" sheetId="2" r:id="rId1"/>
    <sheet name="Accounts" sheetId="3" r:id="rId2"/>
    <sheet name="Monthly Balances" sheetId="4" r:id="rId3"/>
    <sheet name="Net Worth" sheetId="5" r:id="rId4"/>
    <sheet name="Retirement Gap" sheetId="6" r:id="rId5"/>
    <sheet name="SS Benefits" sheetId="7" r:id="rId6"/>
    <sheet name="IRMAA" sheetId="8" r:id="rId7"/>
    <sheet name="RMD" sheetId="9" r:id="rId8"/>
    <sheet name="Roth Conversion" sheetId="10" r:id="rId9"/>
    <sheet name="Tax" sheetId="11" r:id="rId10"/>
    <sheet name="What-If" sheetId="12" r:id="rId11"/>
    <sheet name="Notes" sheetId="13" r:id="rId12"/>
    <sheet name="Timeline" sheetId="14" r:id="rId13"/>
    <sheet name="Insights" sheetId="15" r:id="rId14"/>
    <sheet name="Comparison" sheetId="16"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Z14" i="4" l="1"/>
  <c r="AA14" i="4"/>
  <c r="AB14" i="4"/>
  <c r="AC14" i="4"/>
  <c r="K14" i="4"/>
  <c r="L14" i="4"/>
  <c r="M14" i="4"/>
  <c r="N14" i="4"/>
  <c r="O14" i="4"/>
  <c r="P14" i="4"/>
  <c r="R14" i="4"/>
  <c r="S14" i="4"/>
  <c r="Z13" i="4"/>
  <c r="AA13" i="4" s="1"/>
  <c r="AB13" i="4"/>
  <c r="AC13" i="4"/>
  <c r="K13" i="4"/>
  <c r="L13" i="4"/>
  <c r="M13" i="4"/>
  <c r="N13" i="4"/>
  <c r="O13" i="4"/>
  <c r="P13" i="4"/>
  <c r="R13" i="4"/>
  <c r="S13" i="4"/>
  <c r="Z12" i="4"/>
  <c r="AA12" i="4"/>
  <c r="AB12" i="4"/>
  <c r="AC12" i="4"/>
  <c r="K12" i="4"/>
  <c r="L12" i="4"/>
  <c r="M12" i="4"/>
  <c r="N12" i="4"/>
  <c r="O12" i="4"/>
  <c r="P12" i="4"/>
  <c r="R12" i="4" s="1"/>
  <c r="S12" i="4"/>
  <c r="Z11" i="4"/>
  <c r="AA11" i="4"/>
  <c r="AB11" i="4"/>
  <c r="AC11" i="4"/>
  <c r="K11" i="4"/>
  <c r="L11" i="4"/>
  <c r="M11" i="4"/>
  <c r="N11" i="4"/>
  <c r="O11" i="4"/>
  <c r="P11" i="4"/>
  <c r="R11" i="4"/>
  <c r="S11" i="4"/>
  <c r="Z10" i="4"/>
  <c r="AA10" i="4"/>
  <c r="AB10" i="4"/>
  <c r="AC10" i="4"/>
  <c r="K10" i="4"/>
  <c r="L10" i="4"/>
  <c r="M10" i="4"/>
  <c r="N10" i="4"/>
  <c r="O10" i="4"/>
  <c r="P10" i="4"/>
  <c r="R10" i="4" s="1"/>
  <c r="S10" i="4"/>
  <c r="Z9" i="4"/>
  <c r="AA9" i="4"/>
  <c r="AB9" i="4"/>
  <c r="AC9" i="4"/>
  <c r="K9" i="4"/>
  <c r="P9" i="4" s="1"/>
  <c r="R9" i="4" s="1"/>
  <c r="L9" i="4"/>
  <c r="M9" i="4"/>
  <c r="N9" i="4"/>
  <c r="O9" i="4"/>
  <c r="S9" i="4"/>
  <c r="Z8" i="4"/>
  <c r="AA8" i="4" s="1"/>
  <c r="AB8" i="4"/>
  <c r="AC8" i="4"/>
  <c r="K8" i="4"/>
  <c r="L8" i="4"/>
  <c r="M8" i="4"/>
  <c r="N8" i="4"/>
  <c r="O8" i="4"/>
  <c r="P8" i="4"/>
  <c r="R8" i="4"/>
  <c r="S8" i="4"/>
  <c r="Z7" i="4"/>
  <c r="AA7" i="4"/>
  <c r="AB7" i="4"/>
  <c r="AC7" i="4"/>
  <c r="K7" i="4"/>
  <c r="L7" i="4"/>
  <c r="M7" i="4"/>
  <c r="N7" i="4"/>
  <c r="O7" i="4"/>
  <c r="P7" i="4"/>
  <c r="R7" i="4" s="1"/>
  <c r="S7" i="4"/>
  <c r="Z6" i="4"/>
  <c r="AA6" i="4"/>
  <c r="AB6" i="4"/>
  <c r="AC6" i="4"/>
  <c r="K6" i="4"/>
  <c r="P6" i="4" s="1"/>
  <c r="R6" i="4" s="1"/>
  <c r="L6" i="4"/>
  <c r="M6" i="4"/>
  <c r="N6" i="4"/>
  <c r="O6" i="4"/>
  <c r="S6" i="4"/>
  <c r="Z5" i="4"/>
  <c r="AA5" i="4" s="1"/>
  <c r="AB5" i="4"/>
  <c r="AC5" i="4"/>
  <c r="K5" i="4"/>
  <c r="P5" i="4" s="1"/>
  <c r="R5" i="4" s="1"/>
  <c r="L5" i="4"/>
  <c r="M5" i="4"/>
  <c r="N5" i="4"/>
  <c r="O5" i="4"/>
  <c r="S5" i="4"/>
  <c r="B14" i="16"/>
  <c r="B6" i="16"/>
  <c r="B5" i="16"/>
  <c r="D5" i="15"/>
  <c r="B5" i="15"/>
  <c r="Y63" i="14"/>
  <c r="V63" i="14"/>
  <c r="R63" i="14"/>
  <c r="P63" i="14"/>
  <c r="O63" i="14"/>
  <c r="M63" i="14"/>
  <c r="L63" i="14"/>
  <c r="I63" i="14"/>
  <c r="F63" i="14"/>
  <c r="D98" i="14"/>
  <c r="E98" i="14"/>
  <c r="F98" i="14"/>
  <c r="G98" i="14"/>
  <c r="H98" i="14"/>
  <c r="I98" i="14"/>
  <c r="J98" i="14"/>
  <c r="K98" i="14"/>
  <c r="L98" i="14"/>
  <c r="M98" i="14"/>
  <c r="N98" i="14"/>
  <c r="O98" i="14"/>
  <c r="P98" i="14"/>
  <c r="Q98" i="14"/>
  <c r="R98" i="14"/>
  <c r="S98" i="14"/>
  <c r="T98" i="14"/>
  <c r="U98" i="14"/>
  <c r="V98" i="14"/>
  <c r="W98" i="14"/>
  <c r="X98" i="14"/>
  <c r="Y98" i="14"/>
  <c r="Z98" i="14"/>
  <c r="AA98" i="14"/>
  <c r="AB98" i="14"/>
  <c r="AC98" i="14"/>
  <c r="AD98" i="14"/>
  <c r="Y49" i="14"/>
  <c r="W49" i="14"/>
  <c r="V49" i="14"/>
  <c r="U49" i="14"/>
  <c r="I49" i="14"/>
  <c r="G49" i="14"/>
  <c r="F49" i="14"/>
  <c r="E49" i="14"/>
  <c r="V92" i="14"/>
  <c r="V29" i="14" s="1"/>
  <c r="U92" i="14"/>
  <c r="U93" i="14" s="1"/>
  <c r="S92" i="14"/>
  <c r="S94" i="14" s="1"/>
  <c r="R92" i="14"/>
  <c r="R29" i="14" s="1"/>
  <c r="P92" i="14"/>
  <c r="P94" i="14" s="1"/>
  <c r="O92" i="14"/>
  <c r="O93" i="14" s="1"/>
  <c r="L92" i="14"/>
  <c r="L94" i="14" s="1"/>
  <c r="F92" i="14"/>
  <c r="F29" i="14" s="1"/>
  <c r="E92" i="14"/>
  <c r="E93" i="14" s="1"/>
  <c r="AB110" i="14"/>
  <c r="AA110" i="14"/>
  <c r="Z110" i="14"/>
  <c r="Y110" i="14"/>
  <c r="X110" i="14"/>
  <c r="W110" i="14"/>
  <c r="V110" i="14"/>
  <c r="U110" i="14"/>
  <c r="T110" i="14"/>
  <c r="S110" i="14"/>
  <c r="R110" i="14"/>
  <c r="Q110" i="14"/>
  <c r="P110" i="14"/>
  <c r="O110" i="14"/>
  <c r="N110" i="14"/>
  <c r="M110" i="14"/>
  <c r="L110" i="14"/>
  <c r="K110" i="14"/>
  <c r="J110" i="14"/>
  <c r="I110" i="14"/>
  <c r="H110" i="14"/>
  <c r="G110" i="14"/>
  <c r="F110" i="14"/>
  <c r="E110" i="14"/>
  <c r="D110" i="14"/>
  <c r="AB109" i="14"/>
  <c r="AA109" i="14"/>
  <c r="Z109" i="14"/>
  <c r="Y109" i="14"/>
  <c r="X109" i="14"/>
  <c r="W109" i="14"/>
  <c r="V109" i="14"/>
  <c r="U109" i="14"/>
  <c r="T109" i="14"/>
  <c r="S109" i="14"/>
  <c r="R109" i="14"/>
  <c r="Q109" i="14"/>
  <c r="P109" i="14"/>
  <c r="O109" i="14"/>
  <c r="N109" i="14"/>
  <c r="M109" i="14"/>
  <c r="L109" i="14"/>
  <c r="K109" i="14"/>
  <c r="J109" i="14"/>
  <c r="I109" i="14"/>
  <c r="H109" i="14"/>
  <c r="G109" i="14"/>
  <c r="F109" i="14"/>
  <c r="E109" i="14"/>
  <c r="D109" i="14"/>
  <c r="AB108" i="14"/>
  <c r="AA108" i="14"/>
  <c r="Z108" i="14"/>
  <c r="Y108" i="14"/>
  <c r="X108" i="14"/>
  <c r="W108" i="14"/>
  <c r="V108" i="14"/>
  <c r="U108" i="14"/>
  <c r="T108" i="14"/>
  <c r="S108" i="14"/>
  <c r="R108" i="14"/>
  <c r="Q108" i="14"/>
  <c r="P108" i="14"/>
  <c r="O108" i="14"/>
  <c r="N108" i="14"/>
  <c r="M108" i="14"/>
  <c r="L108" i="14"/>
  <c r="K108" i="14"/>
  <c r="J108" i="14"/>
  <c r="I108" i="14"/>
  <c r="H108" i="14"/>
  <c r="G108" i="14"/>
  <c r="F108" i="14"/>
  <c r="E108" i="14"/>
  <c r="D108" i="14"/>
  <c r="V87" i="14"/>
  <c r="U87" i="14"/>
  <c r="S87" i="14"/>
  <c r="R87" i="14"/>
  <c r="P87" i="14"/>
  <c r="O87" i="14"/>
  <c r="F87" i="14"/>
  <c r="E87" i="14"/>
  <c r="Z86" i="14"/>
  <c r="Y86" i="14"/>
  <c r="W86" i="14"/>
  <c r="V86" i="14"/>
  <c r="S86" i="14"/>
  <c r="R86" i="14"/>
  <c r="P86" i="14"/>
  <c r="O86" i="14"/>
  <c r="J86" i="14"/>
  <c r="I86" i="14"/>
  <c r="G86" i="14"/>
  <c r="F86" i="14"/>
  <c r="AY80" i="14"/>
  <c r="AX80" i="14"/>
  <c r="AW80" i="14"/>
  <c r="AV80" i="14"/>
  <c r="AU80" i="14"/>
  <c r="AT80" i="14"/>
  <c r="AS80" i="14"/>
  <c r="AR80" i="14"/>
  <c r="AQ80" i="14"/>
  <c r="AP80" i="14"/>
  <c r="AO80" i="14"/>
  <c r="AN80" i="14"/>
  <c r="AM80" i="14"/>
  <c r="AL80" i="14"/>
  <c r="AK80" i="14"/>
  <c r="AJ80" i="14"/>
  <c r="AI80" i="14"/>
  <c r="AH80" i="14"/>
  <c r="AG80" i="14"/>
  <c r="AF80" i="14"/>
  <c r="AE80" i="14"/>
  <c r="AD80" i="14"/>
  <c r="AC80" i="14"/>
  <c r="AB80" i="14"/>
  <c r="AA80" i="14"/>
  <c r="Z80" i="14"/>
  <c r="Z85" i="14" s="1" a="1"/>
  <c r="Z85" i="14" s="1"/>
  <c r="Y80" i="14"/>
  <c r="Y85" i="14" s="1" a="1"/>
  <c r="Y85" i="14" s="1"/>
  <c r="X80" i="14"/>
  <c r="X86" i="14" s="1"/>
  <c r="W80" i="14"/>
  <c r="W85" i="14" s="1" a="1"/>
  <c r="W85" i="14" s="1"/>
  <c r="V80" i="14"/>
  <c r="V85" i="14" s="1" a="1"/>
  <c r="V85" i="14" s="1"/>
  <c r="U80" i="14"/>
  <c r="U86" i="14" s="1"/>
  <c r="T80" i="14"/>
  <c r="T49" i="14" s="1"/>
  <c r="S80" i="14"/>
  <c r="S49" i="14" s="1"/>
  <c r="R80" i="14"/>
  <c r="R49" i="14" s="1"/>
  <c r="Q80" i="14"/>
  <c r="Q87" i="14" s="1"/>
  <c r="P80" i="14"/>
  <c r="P49" i="14" s="1"/>
  <c r="O80" i="14"/>
  <c r="O49" i="14" s="1"/>
  <c r="N80" i="14"/>
  <c r="N92" i="14" s="1"/>
  <c r="N29" i="14" s="1"/>
  <c r="M80" i="14"/>
  <c r="M92" i="14" s="1"/>
  <c r="M29" i="14" s="1"/>
  <c r="L80" i="14"/>
  <c r="L87" i="14" s="1"/>
  <c r="K80" i="14"/>
  <c r="K63" i="14" s="1"/>
  <c r="J80" i="14"/>
  <c r="J85" i="14" s="1" a="1"/>
  <c r="J85" i="14" s="1"/>
  <c r="I80" i="14"/>
  <c r="I85" i="14" s="1" a="1"/>
  <c r="I85" i="14" s="1"/>
  <c r="H80" i="14"/>
  <c r="H86" i="14" s="1"/>
  <c r="G80" i="14"/>
  <c r="G85" i="14" s="1" a="1"/>
  <c r="G85" i="14" s="1"/>
  <c r="F80" i="14"/>
  <c r="F85" i="14" s="1" a="1"/>
  <c r="F85" i="14" s="1"/>
  <c r="E80" i="14"/>
  <c r="E86" i="14" s="1"/>
  <c r="D80" i="14"/>
  <c r="D49" i="14" s="1"/>
  <c r="AN97" i="14"/>
  <c r="AM97" i="14"/>
  <c r="AL97" i="14"/>
  <c r="AK97" i="14"/>
  <c r="AJ97" i="14"/>
  <c r="AI97" i="14"/>
  <c r="AH97" i="14"/>
  <c r="AG97" i="14"/>
  <c r="AF97" i="14"/>
  <c r="AE97" i="14"/>
  <c r="AD97" i="14"/>
  <c r="AC97" i="14"/>
  <c r="AB97" i="14"/>
  <c r="AA97" i="14"/>
  <c r="Z97" i="14"/>
  <c r="Y97" i="14"/>
  <c r="X97" i="14"/>
  <c r="W97" i="14"/>
  <c r="V97" i="14"/>
  <c r="U97" i="14"/>
  <c r="T97" i="14"/>
  <c r="S97" i="14"/>
  <c r="R97" i="14"/>
  <c r="Q97" i="14"/>
  <c r="P97" i="14"/>
  <c r="O97" i="14"/>
  <c r="N97" i="14"/>
  <c r="M97" i="14"/>
  <c r="L97" i="14"/>
  <c r="K97" i="14"/>
  <c r="J97" i="14"/>
  <c r="I97" i="14"/>
  <c r="H97" i="14"/>
  <c r="G97" i="14"/>
  <c r="F97" i="14"/>
  <c r="E97" i="14"/>
  <c r="D97" i="14"/>
  <c r="AN96" i="14"/>
  <c r="AN61" i="14" s="1"/>
  <c r="AM96" i="14"/>
  <c r="AM61" i="14" s="1"/>
  <c r="AL96" i="14"/>
  <c r="AL61" i="14" s="1"/>
  <c r="AK96" i="14"/>
  <c r="AK61" i="14" s="1"/>
  <c r="AJ96" i="14"/>
  <c r="AJ61" i="14" s="1"/>
  <c r="AI96" i="14"/>
  <c r="AI61" i="14" s="1"/>
  <c r="AH96" i="14"/>
  <c r="AH61" i="14" s="1"/>
  <c r="AG96" i="14"/>
  <c r="AG61" i="14" s="1"/>
  <c r="AF96" i="14"/>
  <c r="AF61" i="14" s="1"/>
  <c r="AE96" i="14"/>
  <c r="AE61" i="14" s="1"/>
  <c r="AD96" i="14"/>
  <c r="AD61" i="14" s="1"/>
  <c r="AC96" i="14"/>
  <c r="AC61" i="14" s="1"/>
  <c r="AB96" i="14"/>
  <c r="AB61" i="14" s="1"/>
  <c r="AA96" i="14"/>
  <c r="AA61" i="14" s="1"/>
  <c r="Z96" i="14"/>
  <c r="Z61" i="14" s="1"/>
  <c r="Y96" i="14"/>
  <c r="Y61" i="14" s="1"/>
  <c r="X96" i="14"/>
  <c r="X61" i="14" s="1"/>
  <c r="W96" i="14"/>
  <c r="W61" i="14" s="1"/>
  <c r="V96" i="14"/>
  <c r="V61" i="14" s="1"/>
  <c r="U96" i="14"/>
  <c r="U61" i="14" s="1"/>
  <c r="T96" i="14"/>
  <c r="T61" i="14" s="1"/>
  <c r="S96" i="14"/>
  <c r="S61" i="14" s="1"/>
  <c r="R96" i="14"/>
  <c r="R61" i="14" s="1"/>
  <c r="Q96" i="14"/>
  <c r="Q61" i="14" s="1"/>
  <c r="P96" i="14"/>
  <c r="P61" i="14" s="1"/>
  <c r="O96" i="14"/>
  <c r="O61" i="14" s="1"/>
  <c r="N96" i="14"/>
  <c r="N61" i="14" s="1"/>
  <c r="M96" i="14"/>
  <c r="M61" i="14" s="1"/>
  <c r="L96" i="14"/>
  <c r="L61" i="14" s="1"/>
  <c r="K96" i="14"/>
  <c r="K61" i="14" s="1"/>
  <c r="J96" i="14"/>
  <c r="J61" i="14" s="1"/>
  <c r="I96" i="14"/>
  <c r="I61" i="14" s="1"/>
  <c r="H96" i="14"/>
  <c r="H61" i="14" s="1"/>
  <c r="G96" i="14"/>
  <c r="G61" i="14" s="1"/>
  <c r="F96" i="14"/>
  <c r="F61" i="14" s="1"/>
  <c r="E96" i="14"/>
  <c r="E61" i="14" s="1"/>
  <c r="D96" i="14"/>
  <c r="D61" i="14" s="1"/>
  <c r="BB12" i="14"/>
  <c r="BB13" i="14"/>
  <c r="O68" i="14" l="1"/>
  <c r="R68" i="14"/>
  <c r="Y68" i="14"/>
  <c r="P68" i="14"/>
  <c r="K68" i="14"/>
  <c r="I68" i="14"/>
  <c r="L68" i="14"/>
  <c r="M68" i="14"/>
  <c r="L85" i="14" a="1"/>
  <c r="L85" i="14" s="1"/>
  <c r="K86" i="14"/>
  <c r="D87" i="14"/>
  <c r="T87" i="14"/>
  <c r="Q92" i="14"/>
  <c r="Q94" i="14" s="1"/>
  <c r="J49" i="14"/>
  <c r="Z49" i="14"/>
  <c r="N63" i="14"/>
  <c r="N68" i="14" s="1"/>
  <c r="M85" i="14" a="1"/>
  <c r="M85" i="14" s="1"/>
  <c r="L86" i="14"/>
  <c r="K49" i="14"/>
  <c r="N85" i="14" a="1"/>
  <c r="N85" i="14" s="1"/>
  <c r="M86" i="14"/>
  <c r="L49" i="14"/>
  <c r="O85" i="14" a="1"/>
  <c r="O85" i="14" s="1"/>
  <c r="N86" i="14"/>
  <c r="G87" i="14"/>
  <c r="W87" i="14"/>
  <c r="D92" i="14"/>
  <c r="D29" i="14" s="1"/>
  <c r="T92" i="14"/>
  <c r="T94" i="14" s="1"/>
  <c r="M49" i="14"/>
  <c r="Q63" i="14"/>
  <c r="Q68" i="14" s="1"/>
  <c r="P85" i="14" a="1"/>
  <c r="P85" i="14" s="1"/>
  <c r="Q85" i="14" a="1"/>
  <c r="Q85" i="14" s="1"/>
  <c r="I87" i="14"/>
  <c r="Y87" i="14"/>
  <c r="S63" i="14"/>
  <c r="S68" i="14" s="1"/>
  <c r="R85" i="14" a="1"/>
  <c r="R85" i="14" s="1"/>
  <c r="Q86" i="14"/>
  <c r="J87" i="14"/>
  <c r="Z87" i="14"/>
  <c r="G92" i="14"/>
  <c r="G93" i="14" s="1"/>
  <c r="W92" i="14"/>
  <c r="W93" i="14" s="1"/>
  <c r="D63" i="14"/>
  <c r="T63" i="14"/>
  <c r="T68" i="14" s="1"/>
  <c r="S85" i="14" a="1"/>
  <c r="S85" i="14" s="1"/>
  <c r="K87" i="14"/>
  <c r="H92" i="14"/>
  <c r="H93" i="14" s="1"/>
  <c r="X92" i="14"/>
  <c r="X93" i="14" s="1"/>
  <c r="Q49" i="14"/>
  <c r="E63" i="14"/>
  <c r="E68" i="14" s="1"/>
  <c r="U63" i="14"/>
  <c r="U68" i="14" s="1"/>
  <c r="D85" i="14" a="1"/>
  <c r="D85" i="14" s="1"/>
  <c r="T85" i="14" a="1"/>
  <c r="T85" i="14" s="1"/>
  <c r="I92" i="14"/>
  <c r="I29" i="14" s="1"/>
  <c r="Y92" i="14"/>
  <c r="Y29" i="14" s="1"/>
  <c r="F68" i="14"/>
  <c r="V68" i="14"/>
  <c r="E85" i="14" a="1"/>
  <c r="E85" i="14" s="1"/>
  <c r="U85" i="14" a="1"/>
  <c r="U85" i="14" s="1"/>
  <c r="H49" i="14"/>
  <c r="K85" i="14" a="1"/>
  <c r="K85" i="14" s="1"/>
  <c r="H87" i="14"/>
  <c r="X87" i="14"/>
  <c r="N49" i="14"/>
  <c r="D86" i="14"/>
  <c r="T86" i="14"/>
  <c r="M87" i="14"/>
  <c r="J92" i="14"/>
  <c r="J93" i="14" s="1"/>
  <c r="Z92" i="14"/>
  <c r="Z93" i="14" s="1"/>
  <c r="G63" i="14"/>
  <c r="G68" i="14" s="1"/>
  <c r="W63" i="14"/>
  <c r="W68" i="14" s="1"/>
  <c r="X49" i="14"/>
  <c r="N87" i="14"/>
  <c r="K92" i="14"/>
  <c r="K93" i="14" s="1"/>
  <c r="H63" i="14"/>
  <c r="H68" i="14" s="1"/>
  <c r="X63" i="14"/>
  <c r="X68" i="14" s="1"/>
  <c r="H85" i="14" a="1"/>
  <c r="H85" i="14" s="1"/>
  <c r="J63" i="14"/>
  <c r="J68" i="14" s="1"/>
  <c r="Z63" i="14"/>
  <c r="Z68" i="14" s="1"/>
  <c r="X85" i="14" a="1"/>
  <c r="X85" i="14" s="1"/>
  <c r="T29" i="14"/>
  <c r="O29" i="14"/>
  <c r="P29" i="14"/>
  <c r="M94" i="14"/>
  <c r="E29" i="14"/>
  <c r="U29" i="14"/>
  <c r="M93" i="14"/>
  <c r="P93" i="14"/>
  <c r="L29" i="14"/>
  <c r="L93" i="14"/>
  <c r="S93" i="14"/>
  <c r="S29" i="14"/>
  <c r="N93" i="14"/>
  <c r="N94" i="14"/>
  <c r="E94" i="14"/>
  <c r="R93" i="14"/>
  <c r="R94" i="14"/>
  <c r="F93" i="14"/>
  <c r="F94" i="14"/>
  <c r="V93" i="14"/>
  <c r="V94" i="14"/>
  <c r="U94" i="14"/>
  <c r="O94" i="14"/>
  <c r="D50" i="14"/>
  <c r="D52" i="14"/>
  <c r="D55" i="14"/>
  <c r="AH4" i="14"/>
  <c r="AI4" i="14" s="1"/>
  <c r="AH3" i="14"/>
  <c r="AI3" i="14" s="1"/>
  <c r="AJ3" i="14" s="1"/>
  <c r="AK3" i="14" s="1"/>
  <c r="AL3" i="14" s="1"/>
  <c r="AM3" i="14" s="1"/>
  <c r="AN3" i="14" s="1"/>
  <c r="AO3" i="14" s="1"/>
  <c r="AP3" i="14" s="1"/>
  <c r="AQ3" i="14" s="1"/>
  <c r="AR3" i="14" s="1"/>
  <c r="AS3" i="14" s="1"/>
  <c r="AT3" i="14" s="1"/>
  <c r="AU3" i="14" s="1"/>
  <c r="AV3" i="14" s="1"/>
  <c r="AW3" i="14" s="1"/>
  <c r="AX3" i="14" s="1"/>
  <c r="AY3" i="14" s="1"/>
  <c r="AG4" i="14"/>
  <c r="AG8" i="14" s="1"/>
  <c r="AG3" i="14"/>
  <c r="AY21" i="14"/>
  <c r="AX21" i="14"/>
  <c r="AW21" i="14"/>
  <c r="AV21" i="14"/>
  <c r="AU21" i="14"/>
  <c r="AT21" i="14"/>
  <c r="AS21" i="14"/>
  <c r="AR21" i="14"/>
  <c r="AQ21" i="14"/>
  <c r="AP21" i="14"/>
  <c r="AO21" i="14"/>
  <c r="AN21" i="14"/>
  <c r="AM21" i="14"/>
  <c r="AL21" i="14"/>
  <c r="AK21" i="14"/>
  <c r="AJ21" i="14"/>
  <c r="AI21" i="14"/>
  <c r="AH21" i="14"/>
  <c r="AG21" i="14"/>
  <c r="AG15" i="14"/>
  <c r="AH8" i="14"/>
  <c r="E51" i="12"/>
  <c r="E42" i="12"/>
  <c r="AN727" i="12"/>
  <c r="AG727" i="12"/>
  <c r="AN726" i="12"/>
  <c r="AG726" i="12"/>
  <c r="AJ726" i="12" s="1"/>
  <c r="AN725" i="12"/>
  <c r="AI725" i="12"/>
  <c r="AH725" i="12"/>
  <c r="AG725" i="12"/>
  <c r="AJ725" i="12" s="1"/>
  <c r="AN724" i="12"/>
  <c r="AJ724" i="12"/>
  <c r="AG724" i="12"/>
  <c r="AI724" i="12" s="1"/>
  <c r="AN723" i="12"/>
  <c r="AG723" i="12"/>
  <c r="AH723" i="12" s="1"/>
  <c r="AN722" i="12"/>
  <c r="AJ722" i="12"/>
  <c r="AI722" i="12"/>
  <c r="AH722" i="12"/>
  <c r="AG722" i="12"/>
  <c r="AN721" i="12"/>
  <c r="AJ721" i="12"/>
  <c r="AI721" i="12"/>
  <c r="AG721" i="12"/>
  <c r="AH721" i="12" s="1"/>
  <c r="AN720" i="12"/>
  <c r="AI720" i="12"/>
  <c r="AH720" i="12"/>
  <c r="AG720" i="12"/>
  <c r="AJ720" i="12" s="1"/>
  <c r="AN719" i="12"/>
  <c r="AG719" i="12"/>
  <c r="AN718" i="12"/>
  <c r="AG718" i="12"/>
  <c r="AN717" i="12"/>
  <c r="AJ717" i="12"/>
  <c r="AG717" i="12"/>
  <c r="AI717" i="12" s="1"/>
  <c r="AN716" i="12"/>
  <c r="AJ716" i="12"/>
  <c r="AI716" i="12"/>
  <c r="AG716" i="12"/>
  <c r="AH716" i="12" s="1"/>
  <c r="AN715" i="12"/>
  <c r="AJ715" i="12"/>
  <c r="AI715" i="12"/>
  <c r="AH715" i="12"/>
  <c r="AG715" i="12"/>
  <c r="AN714" i="12"/>
  <c r="AG714" i="12"/>
  <c r="AN713" i="12"/>
  <c r="AI713" i="12"/>
  <c r="AG713" i="12"/>
  <c r="AJ713" i="12" s="1"/>
  <c r="AN712" i="12"/>
  <c r="AJ712" i="12"/>
  <c r="AI712" i="12"/>
  <c r="AH712" i="12"/>
  <c r="AG712" i="12"/>
  <c r="AN711" i="12"/>
  <c r="AG711" i="12"/>
  <c r="AN710" i="12"/>
  <c r="AH710" i="12"/>
  <c r="AG710" i="12"/>
  <c r="AJ710" i="12" s="1"/>
  <c r="AN709" i="12"/>
  <c r="AI709" i="12"/>
  <c r="AG709" i="12"/>
  <c r="AJ709" i="12" s="1"/>
  <c r="AN708" i="12"/>
  <c r="AG708" i="12"/>
  <c r="AN707" i="12"/>
  <c r="AG707" i="12"/>
  <c r="AH707" i="12" s="1"/>
  <c r="AN706" i="12"/>
  <c r="AJ706" i="12"/>
  <c r="AI706" i="12"/>
  <c r="AH706" i="12"/>
  <c r="AG706" i="12"/>
  <c r="AN705" i="12"/>
  <c r="AJ705" i="12"/>
  <c r="AI705" i="12"/>
  <c r="AH705" i="12"/>
  <c r="AG705" i="12"/>
  <c r="AN704" i="12"/>
  <c r="AG704" i="12"/>
  <c r="AN703" i="12"/>
  <c r="AG703" i="12"/>
  <c r="AN702" i="12"/>
  <c r="AH702" i="12"/>
  <c r="AG702" i="12"/>
  <c r="AN701" i="12"/>
  <c r="AH701" i="12"/>
  <c r="AG701" i="12"/>
  <c r="AI701" i="12" s="1"/>
  <c r="AN700" i="12"/>
  <c r="AG700" i="12"/>
  <c r="AN699" i="12"/>
  <c r="AJ699" i="12"/>
  <c r="AI699" i="12"/>
  <c r="AH699" i="12"/>
  <c r="AG699" i="12"/>
  <c r="AN698" i="12"/>
  <c r="AJ698" i="12"/>
  <c r="AI698" i="12"/>
  <c r="AH698" i="12"/>
  <c r="AG698" i="12"/>
  <c r="AN697" i="12"/>
  <c r="AI697" i="12"/>
  <c r="AH697" i="12"/>
  <c r="AG697" i="12"/>
  <c r="AJ697" i="12" s="1"/>
  <c r="AN696" i="12"/>
  <c r="AG696" i="12"/>
  <c r="AN695" i="12"/>
  <c r="AI695" i="12"/>
  <c r="AG695" i="12"/>
  <c r="AJ695" i="12" s="1"/>
  <c r="AN694" i="12"/>
  <c r="AJ694" i="12"/>
  <c r="AI694" i="12"/>
  <c r="AH694" i="12"/>
  <c r="AG694" i="12"/>
  <c r="AN693" i="12"/>
  <c r="AG693" i="12"/>
  <c r="AN692" i="12"/>
  <c r="AJ692" i="12"/>
  <c r="AH692" i="12"/>
  <c r="AG692" i="12"/>
  <c r="AI692" i="12" s="1"/>
  <c r="AN691" i="12"/>
  <c r="AG691" i="12"/>
  <c r="AN690" i="12"/>
  <c r="AJ690" i="12"/>
  <c r="AI690" i="12"/>
  <c r="AH690" i="12"/>
  <c r="AG690" i="12"/>
  <c r="AN689" i="12"/>
  <c r="AJ689" i="12"/>
  <c r="AG689" i="12"/>
  <c r="AN688" i="12"/>
  <c r="AG688" i="12"/>
  <c r="AN687" i="12"/>
  <c r="AJ687" i="12"/>
  <c r="AI687" i="12"/>
  <c r="AH687" i="12"/>
  <c r="AG687" i="12"/>
  <c r="AN686" i="12"/>
  <c r="AI686" i="12"/>
  <c r="AH686" i="12"/>
  <c r="AG686" i="12"/>
  <c r="AJ686" i="12" s="1"/>
  <c r="AN685" i="12"/>
  <c r="AG685" i="12"/>
  <c r="AN684" i="12"/>
  <c r="AG684" i="12"/>
  <c r="AN683" i="12"/>
  <c r="AJ683" i="12"/>
  <c r="AI683" i="12"/>
  <c r="AH683" i="12"/>
  <c r="AG683" i="12"/>
  <c r="AN682" i="12"/>
  <c r="AI682" i="12"/>
  <c r="AG682" i="12"/>
  <c r="AN681" i="12"/>
  <c r="AJ681" i="12"/>
  <c r="AI681" i="12"/>
  <c r="AG681" i="12"/>
  <c r="AH681" i="12" s="1"/>
  <c r="AN680" i="12"/>
  <c r="AJ680" i="12"/>
  <c r="AI680" i="12"/>
  <c r="AH680" i="12"/>
  <c r="AG680" i="12"/>
  <c r="AN679" i="12"/>
  <c r="AI679" i="12"/>
  <c r="AH679" i="12"/>
  <c r="AG679" i="12"/>
  <c r="AJ679" i="12" s="1"/>
  <c r="AN678" i="12"/>
  <c r="AG678" i="12"/>
  <c r="AJ678" i="12" s="1"/>
  <c r="AN677" i="12"/>
  <c r="AI677" i="12"/>
  <c r="AG677" i="12"/>
  <c r="AJ677" i="12" s="1"/>
  <c r="AN676" i="12"/>
  <c r="AJ676" i="12"/>
  <c r="AH676" i="12"/>
  <c r="AG676" i="12"/>
  <c r="AI676" i="12" s="1"/>
  <c r="AN675" i="12"/>
  <c r="AJ675" i="12"/>
  <c r="AI675" i="12"/>
  <c r="AG675" i="12"/>
  <c r="AH675" i="12" s="1"/>
  <c r="AN674" i="12"/>
  <c r="AJ674" i="12"/>
  <c r="AI674" i="12"/>
  <c r="AH674" i="12"/>
  <c r="AG674" i="12"/>
  <c r="AN673" i="12"/>
  <c r="AG673" i="12"/>
  <c r="AN672" i="12"/>
  <c r="AJ672" i="12"/>
  <c r="AI672" i="12"/>
  <c r="AH672" i="12"/>
  <c r="AG672" i="12"/>
  <c r="AN671" i="12"/>
  <c r="AJ671" i="12"/>
  <c r="AH671" i="12"/>
  <c r="AG671" i="12"/>
  <c r="AI671" i="12" s="1"/>
  <c r="AN670" i="12"/>
  <c r="AG670" i="12"/>
  <c r="AN669" i="12"/>
  <c r="AJ669" i="12"/>
  <c r="AH669" i="12"/>
  <c r="AG669" i="12"/>
  <c r="AI669" i="12" s="1"/>
  <c r="AN668" i="12"/>
  <c r="AI668" i="12"/>
  <c r="AG668" i="12"/>
  <c r="AN667" i="12"/>
  <c r="AJ667" i="12"/>
  <c r="AI667" i="12"/>
  <c r="AH667" i="12"/>
  <c r="AG667" i="12"/>
  <c r="AN666" i="12"/>
  <c r="AJ666" i="12"/>
  <c r="AG666" i="12"/>
  <c r="AN665" i="12"/>
  <c r="AG665" i="12"/>
  <c r="AN664" i="12"/>
  <c r="AJ664" i="12"/>
  <c r="AH664" i="12"/>
  <c r="AG664" i="12"/>
  <c r="AI664" i="12" s="1"/>
  <c r="AN663" i="12"/>
  <c r="AJ663" i="12"/>
  <c r="AG663" i="12"/>
  <c r="AH663" i="12" s="1"/>
  <c r="AN662" i="12"/>
  <c r="AG662" i="12"/>
  <c r="AN661" i="12"/>
  <c r="AH661" i="12"/>
  <c r="AG661" i="12"/>
  <c r="AN660" i="12"/>
  <c r="AJ660" i="12"/>
  <c r="AG660" i="12"/>
  <c r="AI660" i="12" s="1"/>
  <c r="AN659" i="12"/>
  <c r="AG659" i="12"/>
  <c r="AN658" i="12"/>
  <c r="AJ658" i="12"/>
  <c r="AI658" i="12"/>
  <c r="AH658" i="12"/>
  <c r="AG658" i="12"/>
  <c r="AN657" i="12"/>
  <c r="AJ657" i="12"/>
  <c r="AI657" i="12"/>
  <c r="AH657" i="12"/>
  <c r="AG657" i="12"/>
  <c r="AN656" i="12"/>
  <c r="AJ656" i="12"/>
  <c r="AI656" i="12"/>
  <c r="AH656" i="12"/>
  <c r="AG656" i="12"/>
  <c r="AN655" i="12"/>
  <c r="AJ655" i="12"/>
  <c r="AH655" i="12"/>
  <c r="AG655" i="12"/>
  <c r="AI655" i="12" s="1"/>
  <c r="AN654" i="12"/>
  <c r="AI654" i="12"/>
  <c r="AG654" i="12"/>
  <c r="AJ654" i="12" s="1"/>
  <c r="AN653" i="12"/>
  <c r="AH653" i="12"/>
  <c r="AG653" i="12"/>
  <c r="AN652" i="12"/>
  <c r="AJ652" i="12"/>
  <c r="AG652" i="12"/>
  <c r="AN651" i="12"/>
  <c r="AJ651" i="12"/>
  <c r="AI651" i="12"/>
  <c r="AH651" i="12"/>
  <c r="AG651" i="12"/>
  <c r="AN650" i="12"/>
  <c r="AH650" i="12"/>
  <c r="AG650" i="12"/>
  <c r="AN649" i="12"/>
  <c r="AJ649" i="12"/>
  <c r="AG649" i="12"/>
  <c r="AN648" i="12"/>
  <c r="AJ648" i="12"/>
  <c r="AG648" i="12"/>
  <c r="AH648" i="12" s="1"/>
  <c r="AN647" i="12"/>
  <c r="AG647" i="12"/>
  <c r="AN646" i="12"/>
  <c r="AJ646" i="12"/>
  <c r="AH646" i="12"/>
  <c r="AG646" i="12"/>
  <c r="AI646" i="12" s="1"/>
  <c r="AN645" i="12"/>
  <c r="AI645" i="12"/>
  <c r="AG645" i="12"/>
  <c r="AN644" i="12"/>
  <c r="AJ644" i="12"/>
  <c r="AG644" i="12"/>
  <c r="AN643" i="12"/>
  <c r="AI643" i="12"/>
  <c r="AG643" i="12"/>
  <c r="AN642" i="12"/>
  <c r="AJ642" i="12"/>
  <c r="AI642" i="12"/>
  <c r="AH642" i="12"/>
  <c r="AG642" i="12"/>
  <c r="AN641" i="12"/>
  <c r="AG641" i="12"/>
  <c r="AN640" i="12"/>
  <c r="AG640" i="12"/>
  <c r="AI640" i="12" s="1"/>
  <c r="AN639" i="12"/>
  <c r="AJ639" i="12"/>
  <c r="AI639" i="12"/>
  <c r="AH639" i="12"/>
  <c r="AG639" i="12"/>
  <c r="AN638" i="12"/>
  <c r="AG638" i="12"/>
  <c r="AN637" i="12"/>
  <c r="AJ637" i="12"/>
  <c r="AH637" i="12"/>
  <c r="AG637" i="12"/>
  <c r="AI637" i="12" s="1"/>
  <c r="AN636" i="12"/>
  <c r="AI636" i="12"/>
  <c r="AG636" i="12"/>
  <c r="AN635" i="12"/>
  <c r="AJ635" i="12"/>
  <c r="AI635" i="12"/>
  <c r="AH635" i="12"/>
  <c r="AG635" i="12"/>
  <c r="AN634" i="12"/>
  <c r="AI634" i="12"/>
  <c r="AG634" i="12"/>
  <c r="AN633" i="12"/>
  <c r="AJ633" i="12"/>
  <c r="AG633" i="12"/>
  <c r="AN632" i="12"/>
  <c r="AH632" i="12"/>
  <c r="AG632" i="12"/>
  <c r="AN631" i="12"/>
  <c r="AJ631" i="12"/>
  <c r="AI631" i="12"/>
  <c r="AH631" i="12"/>
  <c r="AG631" i="12"/>
  <c r="AN630" i="12"/>
  <c r="AJ630" i="12"/>
  <c r="AI630" i="12"/>
  <c r="AH630" i="12"/>
  <c r="AG630" i="12"/>
  <c r="AN629" i="12"/>
  <c r="AG629" i="12"/>
  <c r="AJ629" i="12" s="1"/>
  <c r="AN628" i="12"/>
  <c r="AH628" i="12"/>
  <c r="AG628" i="12"/>
  <c r="AI628" i="12" s="1"/>
  <c r="AN627" i="12"/>
  <c r="AG627" i="12"/>
  <c r="AN626" i="12"/>
  <c r="AJ626" i="12"/>
  <c r="AI626" i="12"/>
  <c r="AH626" i="12"/>
  <c r="AG626" i="12"/>
  <c r="AN625" i="12"/>
  <c r="AJ625" i="12"/>
  <c r="AI625" i="12"/>
  <c r="AG625" i="12"/>
  <c r="AH625" i="12" s="1"/>
  <c r="AN624" i="12"/>
  <c r="AI624" i="12"/>
  <c r="AH624" i="12"/>
  <c r="AG624" i="12"/>
  <c r="AJ624" i="12" s="1"/>
  <c r="AN623" i="12"/>
  <c r="AJ623" i="12"/>
  <c r="AI623" i="12"/>
  <c r="AH623" i="12"/>
  <c r="AG623" i="12"/>
  <c r="AN622" i="12"/>
  <c r="AG622" i="12"/>
  <c r="AN621" i="12"/>
  <c r="AG621" i="12"/>
  <c r="AN620" i="12"/>
  <c r="AJ620" i="12"/>
  <c r="AH620" i="12"/>
  <c r="AG620" i="12"/>
  <c r="AI620" i="12" s="1"/>
  <c r="AN619" i="12"/>
  <c r="AI619" i="12"/>
  <c r="AG619" i="12"/>
  <c r="AN618" i="12"/>
  <c r="AJ618" i="12"/>
  <c r="AH618" i="12"/>
  <c r="AG618" i="12"/>
  <c r="AI618" i="12" s="1"/>
  <c r="AN617" i="12"/>
  <c r="AJ617" i="12"/>
  <c r="AI617" i="12"/>
  <c r="AG617" i="12"/>
  <c r="AH617" i="12" s="1"/>
  <c r="AN616" i="12"/>
  <c r="AJ616" i="12"/>
  <c r="AI616" i="12"/>
  <c r="AH616" i="12"/>
  <c r="AG616" i="12"/>
  <c r="AN615" i="12"/>
  <c r="AI615" i="12"/>
  <c r="AG615" i="12"/>
  <c r="AN614" i="12"/>
  <c r="AJ614" i="12"/>
  <c r="AI614" i="12"/>
  <c r="AH614" i="12"/>
  <c r="AG614" i="12"/>
  <c r="AN613" i="12"/>
  <c r="AJ613" i="12"/>
  <c r="AG613" i="12"/>
  <c r="AI613" i="12" s="1"/>
  <c r="AN612" i="12"/>
  <c r="AI612" i="12"/>
  <c r="AH612" i="12"/>
  <c r="AG612" i="12"/>
  <c r="AJ612" i="12" s="1"/>
  <c r="AN611" i="12"/>
  <c r="AJ611" i="12"/>
  <c r="AI611" i="12"/>
  <c r="AH611" i="12"/>
  <c r="AG611" i="12"/>
  <c r="AN610" i="12"/>
  <c r="AG610" i="12"/>
  <c r="AN609" i="12"/>
  <c r="AJ609" i="12"/>
  <c r="AI609" i="12"/>
  <c r="AH609" i="12"/>
  <c r="AG609" i="12"/>
  <c r="AN608" i="12"/>
  <c r="AJ608" i="12"/>
  <c r="AI608" i="12"/>
  <c r="AG608" i="12"/>
  <c r="AH608" i="12" s="1"/>
  <c r="AN607" i="12"/>
  <c r="AJ607" i="12"/>
  <c r="AI607" i="12"/>
  <c r="AH607" i="12"/>
  <c r="AG607" i="12"/>
  <c r="AN606" i="12"/>
  <c r="AI606" i="12"/>
  <c r="AH606" i="12"/>
  <c r="AG606" i="12"/>
  <c r="AJ606" i="12" s="1"/>
  <c r="AN605" i="12"/>
  <c r="AJ605" i="12"/>
  <c r="AI605" i="12"/>
  <c r="AH605" i="12"/>
  <c r="AG605" i="12"/>
  <c r="AN604" i="12"/>
  <c r="AH604" i="12"/>
  <c r="AG604" i="12"/>
  <c r="AN603" i="12"/>
  <c r="AI603" i="12"/>
  <c r="AH603" i="12"/>
  <c r="AG603" i="12"/>
  <c r="AJ603" i="12" s="1"/>
  <c r="AN602" i="12"/>
  <c r="AH602" i="12"/>
  <c r="AG602" i="12"/>
  <c r="AN601" i="12"/>
  <c r="AG601" i="12"/>
  <c r="AN600" i="12"/>
  <c r="AJ600" i="12"/>
  <c r="AI600" i="12"/>
  <c r="AH600" i="12"/>
  <c r="AG600" i="12"/>
  <c r="AN599" i="12"/>
  <c r="AJ599" i="12"/>
  <c r="AG599" i="12"/>
  <c r="AH599" i="12" s="1"/>
  <c r="AN598" i="12"/>
  <c r="AI598" i="12"/>
  <c r="AH598" i="12"/>
  <c r="AG598" i="12"/>
  <c r="AJ598" i="12" s="1"/>
  <c r="AN597" i="12"/>
  <c r="AJ597" i="12"/>
  <c r="AH597" i="12"/>
  <c r="AG597" i="12"/>
  <c r="AI597" i="12" s="1"/>
  <c r="AN596" i="12"/>
  <c r="AJ596" i="12"/>
  <c r="AI596" i="12"/>
  <c r="AG596" i="12"/>
  <c r="AH596" i="12" s="1"/>
  <c r="AN595" i="12"/>
  <c r="AJ595" i="12"/>
  <c r="AI595" i="12"/>
  <c r="AH595" i="12"/>
  <c r="AG595" i="12"/>
  <c r="AN594" i="12"/>
  <c r="AH594" i="12"/>
  <c r="AG594" i="12"/>
  <c r="AN593" i="12"/>
  <c r="AJ593" i="12"/>
  <c r="AI593" i="12"/>
  <c r="AG593" i="12"/>
  <c r="AH593" i="12" s="1"/>
  <c r="AN592" i="12"/>
  <c r="AJ592" i="12"/>
  <c r="AG592" i="12"/>
  <c r="AN591" i="12"/>
  <c r="AI591" i="12"/>
  <c r="AH591" i="12"/>
  <c r="AG591" i="12"/>
  <c r="AJ591" i="12" s="1"/>
  <c r="AN590" i="12"/>
  <c r="AI590" i="12"/>
  <c r="AH590" i="12"/>
  <c r="AG590" i="12"/>
  <c r="AJ590" i="12" s="1"/>
  <c r="AN589" i="12"/>
  <c r="AG589" i="12"/>
  <c r="AN588" i="12"/>
  <c r="AI588" i="12"/>
  <c r="AH588" i="12"/>
  <c r="AG588" i="12"/>
  <c r="AJ588" i="12" s="1"/>
  <c r="AN587" i="12"/>
  <c r="AI587" i="12"/>
  <c r="AH587" i="12"/>
  <c r="AG587" i="12"/>
  <c r="AJ587" i="12" s="1"/>
  <c r="AN586" i="12"/>
  <c r="AG586" i="12"/>
  <c r="AN585" i="12"/>
  <c r="AJ585" i="12"/>
  <c r="AI585" i="12"/>
  <c r="AG585" i="12"/>
  <c r="AH585" i="12" s="1"/>
  <c r="AN584" i="12"/>
  <c r="AJ584" i="12"/>
  <c r="AI584" i="12"/>
  <c r="AH584" i="12"/>
  <c r="AG584" i="12"/>
  <c r="AN583" i="12"/>
  <c r="AJ583" i="12"/>
  <c r="AI583" i="12"/>
  <c r="AH583" i="12"/>
  <c r="AG583" i="12"/>
  <c r="AN582" i="12"/>
  <c r="AI582" i="12"/>
  <c r="AH582" i="12"/>
  <c r="AG582" i="12"/>
  <c r="AJ582" i="12" s="1"/>
  <c r="AN581" i="12"/>
  <c r="AG581" i="12"/>
  <c r="AN580" i="12"/>
  <c r="AG580" i="12"/>
  <c r="AN579" i="12"/>
  <c r="AJ579" i="12"/>
  <c r="AI579" i="12"/>
  <c r="AH579" i="12"/>
  <c r="AG579" i="12"/>
  <c r="AN578" i="12"/>
  <c r="AJ578" i="12"/>
  <c r="AI578" i="12"/>
  <c r="AH578" i="12"/>
  <c r="AG578" i="12"/>
  <c r="AN577" i="12"/>
  <c r="AG577" i="12"/>
  <c r="AN576" i="12"/>
  <c r="AG576" i="12"/>
  <c r="AN575" i="12"/>
  <c r="AJ575" i="12"/>
  <c r="AG575" i="12"/>
  <c r="AI575" i="12" s="1"/>
  <c r="AN574" i="12"/>
  <c r="AJ574" i="12"/>
  <c r="AI574" i="12"/>
  <c r="AH574" i="12"/>
  <c r="AG574" i="12"/>
  <c r="AN573" i="12"/>
  <c r="AJ573" i="12"/>
  <c r="AI573" i="12"/>
  <c r="AH573" i="12"/>
  <c r="AG573" i="12"/>
  <c r="AN572" i="12"/>
  <c r="AI572" i="12"/>
  <c r="AH572" i="12"/>
  <c r="AG572" i="12"/>
  <c r="AJ572" i="12" s="1"/>
  <c r="AN571" i="12"/>
  <c r="AI571" i="12"/>
  <c r="AH571" i="12"/>
  <c r="AG571" i="12"/>
  <c r="AJ571" i="12" s="1"/>
  <c r="AN570" i="12"/>
  <c r="AH570" i="12"/>
  <c r="AG570" i="12"/>
  <c r="AN569" i="12"/>
  <c r="AJ569" i="12"/>
  <c r="AG569" i="12"/>
  <c r="AN568" i="12"/>
  <c r="AJ568" i="12"/>
  <c r="AI568" i="12"/>
  <c r="AH568" i="12"/>
  <c r="AG568" i="12"/>
  <c r="AN567" i="12"/>
  <c r="AJ567" i="12"/>
  <c r="AG567" i="12"/>
  <c r="AN566" i="12"/>
  <c r="AI566" i="12"/>
  <c r="AH566" i="12"/>
  <c r="AG566" i="12"/>
  <c r="AJ566" i="12" s="1"/>
  <c r="AN565" i="12"/>
  <c r="AG565" i="12"/>
  <c r="AN564" i="12"/>
  <c r="AJ564" i="12"/>
  <c r="AI564" i="12"/>
  <c r="AG564" i="12"/>
  <c r="AH564" i="12" s="1"/>
  <c r="AN563" i="12"/>
  <c r="AJ563" i="12"/>
  <c r="AI563" i="12"/>
  <c r="AH563" i="12"/>
  <c r="AG563" i="12"/>
  <c r="AN562" i="12"/>
  <c r="AJ562" i="12"/>
  <c r="AI562" i="12"/>
  <c r="AH562" i="12"/>
  <c r="AG562" i="12"/>
  <c r="AN561" i="12"/>
  <c r="AJ561" i="12"/>
  <c r="AI561" i="12"/>
  <c r="AG561" i="12"/>
  <c r="AH561" i="12" s="1"/>
  <c r="AN560" i="12"/>
  <c r="AH560" i="12"/>
  <c r="AG560" i="12"/>
  <c r="AN559" i="12"/>
  <c r="AJ559" i="12"/>
  <c r="AI559" i="12"/>
  <c r="AG559" i="12"/>
  <c r="AH559" i="12" s="1"/>
  <c r="AN558" i="12"/>
  <c r="AG558" i="12"/>
  <c r="AN557" i="12"/>
  <c r="AG557" i="12"/>
  <c r="AN556" i="12"/>
  <c r="AG556" i="12"/>
  <c r="AN555" i="12"/>
  <c r="AI555" i="12"/>
  <c r="AH555" i="12"/>
  <c r="AG555" i="12"/>
  <c r="AJ555" i="12" s="1"/>
  <c r="AN554" i="12"/>
  <c r="AJ554" i="12"/>
  <c r="AH554" i="12"/>
  <c r="AG554" i="12"/>
  <c r="AI554" i="12" s="1"/>
  <c r="AN553" i="12"/>
  <c r="AI553" i="12"/>
  <c r="AG553" i="12"/>
  <c r="AN552" i="12"/>
  <c r="AJ552" i="12"/>
  <c r="AI552" i="12"/>
  <c r="AH552" i="12"/>
  <c r="AG552" i="12"/>
  <c r="AN551" i="12"/>
  <c r="AG551" i="12"/>
  <c r="AN550" i="12"/>
  <c r="AI550" i="12"/>
  <c r="AH550" i="12"/>
  <c r="AG550" i="12"/>
  <c r="AJ550" i="12" s="1"/>
  <c r="AN549" i="12"/>
  <c r="AJ549" i="12"/>
  <c r="AH549" i="12"/>
  <c r="AG549" i="12"/>
  <c r="AI549" i="12" s="1"/>
  <c r="AN548" i="12"/>
  <c r="AG548" i="12"/>
  <c r="AN547" i="12"/>
  <c r="AJ547" i="12"/>
  <c r="AI547" i="12"/>
  <c r="AH547" i="12"/>
  <c r="AG547" i="12"/>
  <c r="AN546" i="12"/>
  <c r="AI546" i="12"/>
  <c r="AG546" i="12"/>
  <c r="AN545" i="12"/>
  <c r="AI545" i="12"/>
  <c r="AG545" i="12"/>
  <c r="AJ545" i="12" s="1"/>
  <c r="AN544" i="12"/>
  <c r="AJ544" i="12"/>
  <c r="AI544" i="12"/>
  <c r="AH544" i="12"/>
  <c r="AG544" i="12"/>
  <c r="AN543" i="12"/>
  <c r="AJ543" i="12"/>
  <c r="AI543" i="12"/>
  <c r="AH543" i="12"/>
  <c r="AG543" i="12"/>
  <c r="AN542" i="12"/>
  <c r="AJ542" i="12"/>
  <c r="AG542" i="12"/>
  <c r="AN541" i="12"/>
  <c r="AG541" i="12"/>
  <c r="AN540" i="12"/>
  <c r="AJ540" i="12"/>
  <c r="AI540" i="12"/>
  <c r="AH540" i="12"/>
  <c r="AG540" i="12"/>
  <c r="AN539" i="12"/>
  <c r="AI539" i="12"/>
  <c r="AG539" i="12"/>
  <c r="AN538" i="12"/>
  <c r="AJ538" i="12"/>
  <c r="AG538" i="12"/>
  <c r="AN537" i="12"/>
  <c r="AJ537" i="12"/>
  <c r="AI537" i="12"/>
  <c r="AG537" i="12"/>
  <c r="AH537" i="12" s="1"/>
  <c r="AN536" i="12"/>
  <c r="AJ536" i="12"/>
  <c r="AI536" i="12"/>
  <c r="AH536" i="12"/>
  <c r="AG536" i="12"/>
  <c r="AN535" i="12"/>
  <c r="AJ535" i="12"/>
  <c r="AH535" i="12"/>
  <c r="AG535" i="12"/>
  <c r="AI535" i="12" s="1"/>
  <c r="AN534" i="12"/>
  <c r="AG534" i="12"/>
  <c r="AN533" i="12"/>
  <c r="AJ533" i="12"/>
  <c r="AH533" i="12"/>
  <c r="AG533" i="12"/>
  <c r="AI533" i="12" s="1"/>
  <c r="AN532" i="12"/>
  <c r="AI532" i="12"/>
  <c r="AG532" i="12"/>
  <c r="AN531" i="12"/>
  <c r="AJ531" i="12"/>
  <c r="AI531" i="12"/>
  <c r="AH531" i="12"/>
  <c r="AG531" i="12"/>
  <c r="AN530" i="12"/>
  <c r="AH530" i="12"/>
  <c r="AG530" i="12"/>
  <c r="AN529" i="12"/>
  <c r="AG529" i="12"/>
  <c r="AN528" i="12"/>
  <c r="AG528" i="12"/>
  <c r="AN527" i="12"/>
  <c r="AJ527" i="12"/>
  <c r="AI527" i="12"/>
  <c r="AH527" i="12"/>
  <c r="AG527" i="12"/>
  <c r="AN526" i="12"/>
  <c r="AI526" i="12"/>
  <c r="AG526" i="12"/>
  <c r="AN525" i="12"/>
  <c r="AJ525" i="12"/>
  <c r="AI525" i="12"/>
  <c r="AH525" i="12"/>
  <c r="AG525" i="12"/>
  <c r="AN524" i="12"/>
  <c r="AJ524" i="12"/>
  <c r="AG524" i="12"/>
  <c r="AH524" i="12" s="1"/>
  <c r="AN523" i="12"/>
  <c r="AH523" i="12"/>
  <c r="AG523" i="12"/>
  <c r="AN522" i="12"/>
  <c r="AJ522" i="12"/>
  <c r="AG522" i="12"/>
  <c r="AN521" i="12"/>
  <c r="AG521" i="12"/>
  <c r="AN520" i="12"/>
  <c r="AJ520" i="12"/>
  <c r="AI520" i="12"/>
  <c r="AH520" i="12"/>
  <c r="AG520" i="12"/>
  <c r="AN519" i="12"/>
  <c r="AJ519" i="12"/>
  <c r="AI519" i="12"/>
  <c r="AH519" i="12"/>
  <c r="AG519" i="12"/>
  <c r="AN518" i="12"/>
  <c r="AG518" i="12"/>
  <c r="AN517" i="12"/>
  <c r="AH517" i="12"/>
  <c r="AG517" i="12"/>
  <c r="AN516" i="12"/>
  <c r="AJ516" i="12"/>
  <c r="AG516" i="12"/>
  <c r="AN515" i="12"/>
  <c r="AJ515" i="12"/>
  <c r="AI515" i="12"/>
  <c r="AH515" i="12"/>
  <c r="AG515" i="12"/>
  <c r="AN514" i="12"/>
  <c r="AH514" i="12"/>
  <c r="AG514" i="12"/>
  <c r="AN513" i="12"/>
  <c r="AG513" i="12"/>
  <c r="AN512" i="12"/>
  <c r="AH512" i="12"/>
  <c r="AG512" i="12"/>
  <c r="AN511" i="12"/>
  <c r="AJ511" i="12"/>
  <c r="AI511" i="12"/>
  <c r="AH511" i="12"/>
  <c r="AG511" i="12"/>
  <c r="AN510" i="12"/>
  <c r="AH510" i="12"/>
  <c r="AG510" i="12"/>
  <c r="AN509" i="12"/>
  <c r="AG509" i="12"/>
  <c r="AN508" i="12"/>
  <c r="AJ508" i="12"/>
  <c r="AI508" i="12"/>
  <c r="AG508" i="12"/>
  <c r="AH508" i="12" s="1"/>
  <c r="AN507" i="12"/>
  <c r="AI507" i="12"/>
  <c r="AG507" i="12"/>
  <c r="AN506" i="12"/>
  <c r="AH506" i="12"/>
  <c r="AG506" i="12"/>
  <c r="AN505" i="12"/>
  <c r="AG505" i="12"/>
  <c r="AN504" i="12"/>
  <c r="AJ504" i="12"/>
  <c r="AI504" i="12"/>
  <c r="AH504" i="12"/>
  <c r="AG504" i="12"/>
  <c r="AN503" i="12"/>
  <c r="AJ503" i="12"/>
  <c r="AI503" i="12"/>
  <c r="AH503" i="12"/>
  <c r="AG503" i="12"/>
  <c r="AN502" i="12"/>
  <c r="AI502" i="12"/>
  <c r="AH502" i="12"/>
  <c r="AG502" i="12"/>
  <c r="AJ502" i="12" s="1"/>
  <c r="AN501" i="12"/>
  <c r="AH501" i="12"/>
  <c r="AG501" i="12"/>
  <c r="AN500" i="12"/>
  <c r="AI500" i="12"/>
  <c r="AG500" i="12"/>
  <c r="AN499" i="12"/>
  <c r="AJ499" i="12"/>
  <c r="AI499" i="12"/>
  <c r="AH499" i="12"/>
  <c r="AG499" i="12"/>
  <c r="AN498" i="12"/>
  <c r="AG498" i="12"/>
  <c r="AN497" i="12"/>
  <c r="AJ497" i="12"/>
  <c r="AI497" i="12"/>
  <c r="AH497" i="12"/>
  <c r="AG497" i="12"/>
  <c r="AN496" i="12"/>
  <c r="AJ496" i="12"/>
  <c r="AI496" i="12"/>
  <c r="AH496" i="12"/>
  <c r="AG496" i="12"/>
  <c r="AN495" i="12"/>
  <c r="AG495" i="12"/>
  <c r="AN494" i="12"/>
  <c r="AH494" i="12"/>
  <c r="AG494" i="12"/>
  <c r="AN493" i="12"/>
  <c r="AJ493" i="12"/>
  <c r="AI493" i="12"/>
  <c r="AH493" i="12"/>
  <c r="AG493" i="12"/>
  <c r="AN492" i="12"/>
  <c r="AH492" i="12"/>
  <c r="AG492" i="12"/>
  <c r="AN491" i="12"/>
  <c r="AH491" i="12"/>
  <c r="AG491" i="12"/>
  <c r="AN490" i="12"/>
  <c r="AJ490" i="12"/>
  <c r="AG490" i="12"/>
  <c r="AI490" i="12" s="1"/>
  <c r="AN489" i="12"/>
  <c r="AG489" i="12"/>
  <c r="AN488" i="12"/>
  <c r="AJ488" i="12"/>
  <c r="AI488" i="12"/>
  <c r="AH488" i="12"/>
  <c r="AG488" i="12"/>
  <c r="AN487" i="12"/>
  <c r="AJ487" i="12"/>
  <c r="AG487" i="12"/>
  <c r="AH487" i="12" s="1"/>
  <c r="AN486" i="12"/>
  <c r="AI486" i="12"/>
  <c r="AH486" i="12"/>
  <c r="AG486" i="12"/>
  <c r="AJ486" i="12" s="1"/>
  <c r="AN485" i="12"/>
  <c r="AJ485" i="12"/>
  <c r="AH485" i="12"/>
  <c r="AG485" i="12"/>
  <c r="AI485" i="12" s="1"/>
  <c r="AN484" i="12"/>
  <c r="AJ484" i="12"/>
  <c r="AG484" i="12"/>
  <c r="AH484" i="12" s="1"/>
  <c r="AN483" i="12"/>
  <c r="AJ483" i="12"/>
  <c r="AI483" i="12"/>
  <c r="AH483" i="12"/>
  <c r="AG483" i="12"/>
  <c r="AN482" i="12"/>
  <c r="AJ482" i="12"/>
  <c r="AI482" i="12"/>
  <c r="AH482" i="12"/>
  <c r="AG482" i="12"/>
  <c r="AN481" i="12"/>
  <c r="AI481" i="12"/>
  <c r="AG481" i="12"/>
  <c r="AN480" i="12"/>
  <c r="AI480" i="12"/>
  <c r="AH480" i="12"/>
  <c r="AG480" i="12"/>
  <c r="AJ480" i="12" s="1"/>
  <c r="AN479" i="12"/>
  <c r="AG479" i="12"/>
  <c r="AN478" i="12"/>
  <c r="AJ478" i="12"/>
  <c r="AI478" i="12"/>
  <c r="AG478" i="12"/>
  <c r="AH478" i="12" s="1"/>
  <c r="AN477" i="12"/>
  <c r="AG477" i="12"/>
  <c r="AN476" i="12"/>
  <c r="AJ476" i="12"/>
  <c r="AI476" i="12"/>
  <c r="AH476" i="12"/>
  <c r="AG476" i="12"/>
  <c r="AN475" i="12"/>
  <c r="AI475" i="12"/>
  <c r="AH475" i="12"/>
  <c r="AG475" i="12"/>
  <c r="AJ475" i="12" s="1"/>
  <c r="AN474" i="12"/>
  <c r="AG474" i="12"/>
  <c r="AN473" i="12"/>
  <c r="AJ473" i="12"/>
  <c r="AG473" i="12"/>
  <c r="AH473" i="12" s="1"/>
  <c r="AN472" i="12"/>
  <c r="AJ472" i="12"/>
  <c r="AI472" i="12"/>
  <c r="AH472" i="12"/>
  <c r="AG472" i="12"/>
  <c r="AN471" i="12"/>
  <c r="AI471" i="12"/>
  <c r="AH471" i="12"/>
  <c r="AG471" i="12"/>
  <c r="AJ471" i="12" s="1"/>
  <c r="AN470" i="12"/>
  <c r="AI470" i="12"/>
  <c r="AG470" i="12"/>
  <c r="AJ470" i="12" s="1"/>
  <c r="AN469" i="12"/>
  <c r="AJ469" i="12"/>
  <c r="AG469" i="12"/>
  <c r="AN468" i="12"/>
  <c r="AG468" i="12"/>
  <c r="AN467" i="12"/>
  <c r="AJ467" i="12"/>
  <c r="AI467" i="12"/>
  <c r="AH467" i="12"/>
  <c r="AG467" i="12"/>
  <c r="AN466" i="12"/>
  <c r="AI466" i="12"/>
  <c r="AG466" i="12"/>
  <c r="AN465" i="12"/>
  <c r="AG465" i="12"/>
  <c r="AN464" i="12"/>
  <c r="AJ464" i="12"/>
  <c r="AI464" i="12"/>
  <c r="AG464" i="12"/>
  <c r="AH464" i="12" s="1"/>
  <c r="AN463" i="12"/>
  <c r="AJ463" i="12"/>
  <c r="AI463" i="12"/>
  <c r="AG463" i="12"/>
  <c r="AH463" i="12" s="1"/>
  <c r="AN462" i="12"/>
  <c r="AJ462" i="12"/>
  <c r="AI462" i="12"/>
  <c r="AH462" i="12"/>
  <c r="AG462" i="12"/>
  <c r="AN461" i="12"/>
  <c r="AJ461" i="12"/>
  <c r="AI461" i="12"/>
  <c r="AG461" i="12"/>
  <c r="AH461" i="12" s="1"/>
  <c r="AN460" i="12"/>
  <c r="AG460" i="12"/>
  <c r="AJ460" i="12" s="1"/>
  <c r="AN459" i="12"/>
  <c r="AH459" i="12"/>
  <c r="AG459" i="12"/>
  <c r="AN458" i="12"/>
  <c r="AJ458" i="12"/>
  <c r="AG458" i="12"/>
  <c r="AN457" i="12"/>
  <c r="AJ457" i="12"/>
  <c r="AI457" i="12"/>
  <c r="AG457" i="12"/>
  <c r="AH457" i="12" s="1"/>
  <c r="AN456" i="12"/>
  <c r="AJ456" i="12"/>
  <c r="AI456" i="12"/>
  <c r="AH456" i="12"/>
  <c r="AG456" i="12"/>
  <c r="AN455" i="12"/>
  <c r="AI455" i="12"/>
  <c r="AG455" i="12"/>
  <c r="AN454" i="12"/>
  <c r="AG454" i="12"/>
  <c r="AN453" i="12"/>
  <c r="AG453" i="12"/>
  <c r="AN452" i="12"/>
  <c r="AG452" i="12"/>
  <c r="AN451" i="12"/>
  <c r="AJ451" i="12"/>
  <c r="AI451" i="12"/>
  <c r="AH451" i="12"/>
  <c r="AG451" i="12"/>
  <c r="AN450" i="12"/>
  <c r="AH450" i="12"/>
  <c r="AG450" i="12"/>
  <c r="AN449" i="12"/>
  <c r="AG449" i="12"/>
  <c r="AN448" i="12"/>
  <c r="AG448" i="12"/>
  <c r="AN447" i="12"/>
  <c r="AG447" i="12"/>
  <c r="AN446" i="12"/>
  <c r="AJ446" i="12"/>
  <c r="AH446" i="12"/>
  <c r="AG446" i="12"/>
  <c r="AI446" i="12" s="1"/>
  <c r="AN445" i="12"/>
  <c r="AJ445" i="12"/>
  <c r="AG445" i="12"/>
  <c r="AN444" i="12"/>
  <c r="AJ444" i="12"/>
  <c r="AI444" i="12"/>
  <c r="AH444" i="12"/>
  <c r="AG444" i="12"/>
  <c r="AN443" i="12"/>
  <c r="AG443" i="12"/>
  <c r="AN442" i="12"/>
  <c r="AJ442" i="12"/>
  <c r="AG442" i="12"/>
  <c r="AI442" i="12" s="1"/>
  <c r="AN441" i="12"/>
  <c r="AI441" i="12"/>
  <c r="AG441" i="12"/>
  <c r="AN440" i="12"/>
  <c r="AJ440" i="12"/>
  <c r="AI440" i="12"/>
  <c r="AH440" i="12"/>
  <c r="AG440" i="12"/>
  <c r="AN439" i="12"/>
  <c r="AJ439" i="12"/>
  <c r="AI439" i="12"/>
  <c r="AH439" i="12"/>
  <c r="AG439" i="12"/>
  <c r="AN438" i="12"/>
  <c r="AI438" i="12"/>
  <c r="AH438" i="12"/>
  <c r="AG438" i="12"/>
  <c r="AJ438" i="12" s="1"/>
  <c r="AN437" i="12"/>
  <c r="AH437" i="12"/>
  <c r="AG437" i="12"/>
  <c r="AN436" i="12"/>
  <c r="AG436" i="12"/>
  <c r="AN435" i="12"/>
  <c r="AJ435" i="12"/>
  <c r="AI435" i="12"/>
  <c r="AH435" i="12"/>
  <c r="AG435" i="12"/>
  <c r="AN434" i="12"/>
  <c r="AI434" i="12"/>
  <c r="AH434" i="12"/>
  <c r="AG434" i="12"/>
  <c r="AJ434" i="12" s="1"/>
  <c r="AN433" i="12"/>
  <c r="AJ433" i="12"/>
  <c r="AI433" i="12"/>
  <c r="AH433" i="12"/>
  <c r="AG433" i="12"/>
  <c r="AN432" i="12"/>
  <c r="AJ432" i="12"/>
  <c r="AH432" i="12"/>
  <c r="AG432" i="12"/>
  <c r="AI432" i="12" s="1"/>
  <c r="AN431" i="12"/>
  <c r="AG431" i="12"/>
  <c r="AN430" i="12"/>
  <c r="AI430" i="12"/>
  <c r="AH430" i="12"/>
  <c r="AG430" i="12"/>
  <c r="AJ430" i="12" s="1"/>
  <c r="AN429" i="12"/>
  <c r="AI429" i="12"/>
  <c r="AG429" i="12"/>
  <c r="AN428" i="12"/>
  <c r="AG428" i="12"/>
  <c r="AN427" i="12"/>
  <c r="AG427" i="12"/>
  <c r="AN426" i="12"/>
  <c r="AG426" i="12"/>
  <c r="AN425" i="12"/>
  <c r="AJ425" i="12"/>
  <c r="AG425" i="12"/>
  <c r="AN424" i="12"/>
  <c r="AJ424" i="12"/>
  <c r="AI424" i="12"/>
  <c r="AH424" i="12"/>
  <c r="AG424" i="12"/>
  <c r="AN423" i="12"/>
  <c r="AJ423" i="12"/>
  <c r="AI423" i="12"/>
  <c r="AG423" i="12"/>
  <c r="AH423" i="12" s="1"/>
  <c r="AN422" i="12"/>
  <c r="AG422" i="12"/>
  <c r="AH422" i="12" s="1"/>
  <c r="AN421" i="12"/>
  <c r="AJ421" i="12"/>
  <c r="AH421" i="12"/>
  <c r="AG421" i="12"/>
  <c r="AI421" i="12" s="1"/>
  <c r="AN420" i="12"/>
  <c r="AI420" i="12"/>
  <c r="AG420" i="12"/>
  <c r="AN419" i="12"/>
  <c r="AJ419" i="12"/>
  <c r="AI419" i="12"/>
  <c r="AH419" i="12"/>
  <c r="AG419" i="12"/>
  <c r="AN418" i="12"/>
  <c r="AJ418" i="12"/>
  <c r="AI418" i="12"/>
  <c r="AH418" i="12"/>
  <c r="AG418" i="12"/>
  <c r="AN417" i="12"/>
  <c r="AJ417" i="12"/>
  <c r="AI417" i="12"/>
  <c r="AH417" i="12"/>
  <c r="AG417" i="12"/>
  <c r="AN416" i="12"/>
  <c r="AG416" i="12"/>
  <c r="AN415" i="12"/>
  <c r="AJ415" i="12"/>
  <c r="AG415" i="12"/>
  <c r="AN414" i="12"/>
  <c r="AJ414" i="12"/>
  <c r="AG414" i="12"/>
  <c r="AN413" i="12"/>
  <c r="AJ413" i="12"/>
  <c r="AI413" i="12"/>
  <c r="AG413" i="12"/>
  <c r="AH413" i="12" s="1"/>
  <c r="AN412" i="12"/>
  <c r="AG412" i="12"/>
  <c r="AJ412" i="12" s="1"/>
  <c r="AN411" i="12"/>
  <c r="AG411" i="12"/>
  <c r="AN410" i="12"/>
  <c r="AG410" i="12"/>
  <c r="AN409" i="12"/>
  <c r="AJ409" i="12"/>
  <c r="AI409" i="12"/>
  <c r="AG409" i="12"/>
  <c r="AH409" i="12" s="1"/>
  <c r="AN408" i="12"/>
  <c r="AJ408" i="12"/>
  <c r="AI408" i="12"/>
  <c r="AH408" i="12"/>
  <c r="AG408" i="12"/>
  <c r="AN407" i="12"/>
  <c r="AJ407" i="12"/>
  <c r="AI407" i="12"/>
  <c r="AH407" i="12"/>
  <c r="AG407" i="12"/>
  <c r="AN406" i="12"/>
  <c r="AI406" i="12"/>
  <c r="AH406" i="12"/>
  <c r="AG406" i="12"/>
  <c r="AJ406" i="12" s="1"/>
  <c r="AN405" i="12"/>
  <c r="AJ405" i="12"/>
  <c r="AH405" i="12"/>
  <c r="AG405" i="12"/>
  <c r="AI405" i="12" s="1"/>
  <c r="AN404" i="12"/>
  <c r="AI404" i="12"/>
  <c r="AG404" i="12"/>
  <c r="AN403" i="12"/>
  <c r="AJ403" i="12"/>
  <c r="AI403" i="12"/>
  <c r="AH403" i="12"/>
  <c r="AG403" i="12"/>
  <c r="AN402" i="12"/>
  <c r="AJ402" i="12"/>
  <c r="AI402" i="12"/>
  <c r="AG402" i="12"/>
  <c r="AH402" i="12" s="1"/>
  <c r="AN401" i="12"/>
  <c r="AJ401" i="12"/>
  <c r="AI401" i="12"/>
  <c r="AG401" i="12"/>
  <c r="AH401" i="12" s="1"/>
  <c r="AN400" i="12"/>
  <c r="AJ400" i="12"/>
  <c r="AI400" i="12"/>
  <c r="AH400" i="12"/>
  <c r="AG400" i="12"/>
  <c r="AN399" i="12"/>
  <c r="AJ399" i="12"/>
  <c r="AI399" i="12"/>
  <c r="AH399" i="12"/>
  <c r="AG399" i="12"/>
  <c r="AN398" i="12"/>
  <c r="AG398" i="12"/>
  <c r="AN397" i="12"/>
  <c r="AG397" i="12"/>
  <c r="AN396" i="12"/>
  <c r="AI396" i="12"/>
  <c r="AH396" i="12"/>
  <c r="AG396" i="12"/>
  <c r="AJ396" i="12" s="1"/>
  <c r="AN395" i="12"/>
  <c r="AI395" i="12"/>
  <c r="AH395" i="12"/>
  <c r="AG395" i="12"/>
  <c r="AJ395" i="12" s="1"/>
  <c r="AN394" i="12"/>
  <c r="AH394" i="12"/>
  <c r="AG394" i="12"/>
  <c r="AN393" i="12"/>
  <c r="AJ393" i="12"/>
  <c r="AI393" i="12"/>
  <c r="AG393" i="12"/>
  <c r="AH393" i="12" s="1"/>
  <c r="AN392" i="12"/>
  <c r="AJ392" i="12"/>
  <c r="AI392" i="12"/>
  <c r="AH392" i="12"/>
  <c r="AG392" i="12"/>
  <c r="AN391" i="12"/>
  <c r="AH391" i="12"/>
  <c r="AG391" i="12"/>
  <c r="AN390" i="12"/>
  <c r="AH390" i="12"/>
  <c r="AG390" i="12"/>
  <c r="AN389" i="12"/>
  <c r="AJ389" i="12"/>
  <c r="AH389" i="12"/>
  <c r="AG389" i="12"/>
  <c r="AI389" i="12" s="1"/>
  <c r="AN388" i="12"/>
  <c r="AJ388" i="12"/>
  <c r="AI388" i="12"/>
  <c r="AG388" i="12"/>
  <c r="AH388" i="12" s="1"/>
  <c r="AN387" i="12"/>
  <c r="AJ387" i="12"/>
  <c r="AI387" i="12"/>
  <c r="AH387" i="12"/>
  <c r="AG387" i="12"/>
  <c r="AN386" i="12"/>
  <c r="AJ386" i="12"/>
  <c r="AI386" i="12"/>
  <c r="AH386" i="12"/>
  <c r="AG386" i="12"/>
  <c r="AN385" i="12"/>
  <c r="AJ385" i="12"/>
  <c r="AI385" i="12"/>
  <c r="AG385" i="12"/>
  <c r="AH385" i="12" s="1"/>
  <c r="AN384" i="12"/>
  <c r="AI384" i="12"/>
  <c r="AG384" i="12"/>
  <c r="AJ384" i="12" s="1"/>
  <c r="AN383" i="12"/>
  <c r="AI383" i="12"/>
  <c r="AH383" i="12"/>
  <c r="AG383" i="12"/>
  <c r="AJ383" i="12" s="1"/>
  <c r="AN382" i="12"/>
  <c r="AI382" i="12"/>
  <c r="AH382" i="12"/>
  <c r="AG382" i="12"/>
  <c r="AJ382" i="12" s="1"/>
  <c r="AN381" i="12"/>
  <c r="AG381" i="12"/>
  <c r="AN380" i="12"/>
  <c r="AI380" i="12"/>
  <c r="AH380" i="12"/>
  <c r="AG380" i="12"/>
  <c r="AJ380" i="12" s="1"/>
  <c r="AN379" i="12"/>
  <c r="AI379" i="12"/>
  <c r="AH379" i="12"/>
  <c r="AG379" i="12"/>
  <c r="AJ379" i="12" s="1"/>
  <c r="AN378" i="12"/>
  <c r="AJ378" i="12"/>
  <c r="AH378" i="12"/>
  <c r="AG378" i="12"/>
  <c r="AI378" i="12" s="1"/>
  <c r="AN377" i="12"/>
  <c r="AJ377" i="12"/>
  <c r="AI377" i="12"/>
  <c r="AG377" i="12"/>
  <c r="AH377" i="12" s="1"/>
  <c r="AN376" i="12"/>
  <c r="AJ376" i="12"/>
  <c r="AI376" i="12"/>
  <c r="AH376" i="12"/>
  <c r="AG376" i="12"/>
  <c r="AN375" i="12"/>
  <c r="AJ375" i="12"/>
  <c r="AI375" i="12"/>
  <c r="AH375" i="12"/>
  <c r="AG375" i="12"/>
  <c r="AN374" i="12"/>
  <c r="AH374" i="12"/>
  <c r="AG374" i="12"/>
  <c r="AN373" i="12"/>
  <c r="AG373" i="12"/>
  <c r="AN372" i="12"/>
  <c r="AI372" i="12"/>
  <c r="AG372" i="12"/>
  <c r="AN371" i="12"/>
  <c r="AJ371" i="12"/>
  <c r="AI371" i="12"/>
  <c r="AH371" i="12"/>
  <c r="AG371" i="12"/>
  <c r="AN370" i="12"/>
  <c r="AJ370" i="12"/>
  <c r="AI370" i="12"/>
  <c r="AH370" i="12"/>
  <c r="AG370" i="12"/>
  <c r="AN369" i="12"/>
  <c r="AJ369" i="12"/>
  <c r="AH369" i="12"/>
  <c r="AG369" i="12"/>
  <c r="AI369" i="12" s="1"/>
  <c r="AN368" i="12"/>
  <c r="AI368" i="12"/>
  <c r="AG368" i="12"/>
  <c r="AN367" i="12"/>
  <c r="AJ367" i="12"/>
  <c r="AH367" i="12"/>
  <c r="AG367" i="12"/>
  <c r="AI367" i="12" s="1"/>
  <c r="AN366" i="12"/>
  <c r="AG366" i="12"/>
  <c r="AN365" i="12"/>
  <c r="AI365" i="12"/>
  <c r="AH365" i="12"/>
  <c r="AG365" i="12"/>
  <c r="AJ365" i="12" s="1"/>
  <c r="AN364" i="12"/>
  <c r="AI364" i="12"/>
  <c r="AH364" i="12"/>
  <c r="AG364" i="12"/>
  <c r="AJ364" i="12" s="1"/>
  <c r="AN363" i="12"/>
  <c r="AI363" i="12"/>
  <c r="AH363" i="12"/>
  <c r="AG363" i="12"/>
  <c r="AJ363" i="12" s="1"/>
  <c r="AN362" i="12"/>
  <c r="AG362" i="12"/>
  <c r="AN361" i="12"/>
  <c r="AJ361" i="12"/>
  <c r="AG361" i="12"/>
  <c r="AN360" i="12"/>
  <c r="AJ360" i="12"/>
  <c r="AI360" i="12"/>
  <c r="AH360" i="12"/>
  <c r="AG360" i="12"/>
  <c r="AN359" i="12"/>
  <c r="AG359" i="12"/>
  <c r="AN358" i="12"/>
  <c r="AI358" i="12"/>
  <c r="AH358" i="12"/>
  <c r="AG358" i="12"/>
  <c r="AJ358" i="12" s="1"/>
  <c r="AN357" i="12"/>
  <c r="AJ357" i="12"/>
  <c r="AG357" i="12"/>
  <c r="AN356" i="12"/>
  <c r="AJ356" i="12"/>
  <c r="AI356" i="12"/>
  <c r="AG356" i="12"/>
  <c r="AH356" i="12" s="1"/>
  <c r="AN355" i="12"/>
  <c r="AJ355" i="12"/>
  <c r="AI355" i="12"/>
  <c r="AH355" i="12"/>
  <c r="AG355" i="12"/>
  <c r="AN354" i="12"/>
  <c r="AJ354" i="12"/>
  <c r="AI354" i="12"/>
  <c r="AH354" i="12"/>
  <c r="AG354" i="12"/>
  <c r="AN353" i="12"/>
  <c r="AI353" i="12"/>
  <c r="AG353" i="12"/>
  <c r="AN352" i="12"/>
  <c r="AI352" i="12"/>
  <c r="AH352" i="12"/>
  <c r="AG352" i="12"/>
  <c r="AJ352" i="12" s="1"/>
  <c r="AN351" i="12"/>
  <c r="AJ351" i="12"/>
  <c r="AI351" i="12"/>
  <c r="AG351" i="12"/>
  <c r="AH351" i="12" s="1"/>
  <c r="AN350" i="12"/>
  <c r="AI350" i="12"/>
  <c r="AH350" i="12"/>
  <c r="AG350" i="12"/>
  <c r="AJ350" i="12" s="1"/>
  <c r="AN349" i="12"/>
  <c r="AG349" i="12"/>
  <c r="AN348" i="12"/>
  <c r="AJ348" i="12"/>
  <c r="AH348" i="12"/>
  <c r="AG348" i="12"/>
  <c r="AI348" i="12" s="1"/>
  <c r="AN347" i="12"/>
  <c r="AG347" i="12"/>
  <c r="AN346" i="12"/>
  <c r="AJ346" i="12"/>
  <c r="AH346" i="12"/>
  <c r="AG346" i="12"/>
  <c r="AI346" i="12" s="1"/>
  <c r="AN345" i="12"/>
  <c r="AG345" i="12"/>
  <c r="AI345" i="12" s="1"/>
  <c r="AN344" i="12"/>
  <c r="AJ344" i="12"/>
  <c r="AI344" i="12"/>
  <c r="AH344" i="12"/>
  <c r="AG344" i="12"/>
  <c r="AN343" i="12"/>
  <c r="AI343" i="12"/>
  <c r="AH343" i="12"/>
  <c r="AG343" i="12"/>
  <c r="AJ343" i="12" s="1"/>
  <c r="AN342" i="12"/>
  <c r="AI342" i="12"/>
  <c r="AH342" i="12"/>
  <c r="AG342" i="12"/>
  <c r="AJ342" i="12" s="1"/>
  <c r="AN341" i="12"/>
  <c r="AJ341" i="12"/>
  <c r="AH341" i="12"/>
  <c r="AG341" i="12"/>
  <c r="AI341" i="12" s="1"/>
  <c r="AN340" i="12"/>
  <c r="AI340" i="12"/>
  <c r="AG340" i="12"/>
  <c r="AN339" i="12"/>
  <c r="AJ339" i="12"/>
  <c r="AI339" i="12"/>
  <c r="AH339" i="12"/>
  <c r="AG339" i="12"/>
  <c r="AN338" i="12"/>
  <c r="AG338" i="12"/>
  <c r="AN337" i="12"/>
  <c r="AI337" i="12"/>
  <c r="AG337" i="12"/>
  <c r="AN336" i="12"/>
  <c r="AJ336" i="12"/>
  <c r="AI336" i="12"/>
  <c r="AH336" i="12"/>
  <c r="AG336" i="12"/>
  <c r="AN335" i="12"/>
  <c r="AJ335" i="12"/>
  <c r="AI335" i="12"/>
  <c r="AH335" i="12"/>
  <c r="AG335" i="12"/>
  <c r="AN334" i="12"/>
  <c r="AG334" i="12"/>
  <c r="AN333" i="12"/>
  <c r="AJ333" i="12"/>
  <c r="AG333" i="12"/>
  <c r="AI333" i="12" s="1"/>
  <c r="AN332" i="12"/>
  <c r="AJ332" i="12"/>
  <c r="AI332" i="12"/>
  <c r="AH332" i="12"/>
  <c r="AG332" i="12"/>
  <c r="AN331" i="12"/>
  <c r="AH331" i="12"/>
  <c r="AG331" i="12"/>
  <c r="AN330" i="12"/>
  <c r="AJ330" i="12"/>
  <c r="AH330" i="12"/>
  <c r="AG330" i="12"/>
  <c r="AI330" i="12" s="1"/>
  <c r="AN329" i="12"/>
  <c r="AJ329" i="12"/>
  <c r="AI329" i="12"/>
  <c r="AG329" i="12"/>
  <c r="AH329" i="12" s="1"/>
  <c r="AN328" i="12"/>
  <c r="AJ328" i="12"/>
  <c r="AI328" i="12"/>
  <c r="AH328" i="12"/>
  <c r="AG328" i="12"/>
  <c r="AN327" i="12"/>
  <c r="AG327" i="12"/>
  <c r="AJ327" i="12" s="1"/>
  <c r="AN326" i="12"/>
  <c r="AI326" i="12"/>
  <c r="AH326" i="12"/>
  <c r="AG326" i="12"/>
  <c r="AJ326" i="12" s="1"/>
  <c r="AN325" i="12"/>
  <c r="AJ325" i="12"/>
  <c r="AH325" i="12"/>
  <c r="AG325" i="12"/>
  <c r="AI325" i="12" s="1"/>
  <c r="AN324" i="12"/>
  <c r="AG324" i="12"/>
  <c r="AN323" i="12"/>
  <c r="AJ323" i="12"/>
  <c r="AI323" i="12"/>
  <c r="AH323" i="12"/>
  <c r="AG323" i="12"/>
  <c r="AN322" i="12"/>
  <c r="AG322" i="12"/>
  <c r="AN321" i="12"/>
  <c r="AG321" i="12"/>
  <c r="AN320" i="12"/>
  <c r="AJ320" i="12"/>
  <c r="AI320" i="12"/>
  <c r="AH320" i="12"/>
  <c r="AG320" i="12"/>
  <c r="AN319" i="12"/>
  <c r="AJ319" i="12"/>
  <c r="AI319" i="12"/>
  <c r="AH319" i="12"/>
  <c r="AG319" i="12"/>
  <c r="AN318" i="12"/>
  <c r="AG318" i="12"/>
  <c r="AN317" i="12"/>
  <c r="AG317" i="12"/>
  <c r="AN316" i="12"/>
  <c r="AH316" i="12"/>
  <c r="AG316" i="12"/>
  <c r="AN315" i="12"/>
  <c r="AH315" i="12"/>
  <c r="AG315" i="12"/>
  <c r="AN314" i="12"/>
  <c r="AJ314" i="12"/>
  <c r="AH314" i="12"/>
  <c r="AG314" i="12"/>
  <c r="AI314" i="12" s="1"/>
  <c r="AN313" i="12"/>
  <c r="AJ313" i="12"/>
  <c r="AI313" i="12"/>
  <c r="AG313" i="12"/>
  <c r="AH313" i="12" s="1"/>
  <c r="AN312" i="12"/>
  <c r="AJ312" i="12"/>
  <c r="AI312" i="12"/>
  <c r="AH312" i="12"/>
  <c r="AG312" i="12"/>
  <c r="AN311" i="12"/>
  <c r="AJ311" i="12"/>
  <c r="AH311" i="12"/>
  <c r="AG311" i="12"/>
  <c r="AI311" i="12" s="1"/>
  <c r="AN310" i="12"/>
  <c r="AG310" i="12"/>
  <c r="AN309" i="12"/>
  <c r="AG309" i="12"/>
  <c r="AN308" i="12"/>
  <c r="AJ308" i="12"/>
  <c r="AI308" i="12"/>
  <c r="AG308" i="12"/>
  <c r="AH308" i="12" s="1"/>
  <c r="AN307" i="12"/>
  <c r="AJ307" i="12"/>
  <c r="AI307" i="12"/>
  <c r="AH307" i="12"/>
  <c r="AG307" i="12"/>
  <c r="AN306" i="12"/>
  <c r="AG306" i="12"/>
  <c r="AJ306" i="12" s="1"/>
  <c r="AN305" i="12"/>
  <c r="AG305" i="12"/>
  <c r="AN304" i="12"/>
  <c r="AI304" i="12"/>
  <c r="AH304" i="12"/>
  <c r="AG304" i="12"/>
  <c r="AJ304" i="12" s="1"/>
  <c r="AN303" i="12"/>
  <c r="AJ303" i="12"/>
  <c r="AI303" i="12"/>
  <c r="AH303" i="12"/>
  <c r="AG303" i="12"/>
  <c r="AN302" i="12"/>
  <c r="AG302" i="12"/>
  <c r="AI302" i="12" s="1"/>
  <c r="AN301" i="12"/>
  <c r="AG301" i="12"/>
  <c r="AN300" i="12"/>
  <c r="AJ300" i="12"/>
  <c r="AG300" i="12"/>
  <c r="AN299" i="12"/>
  <c r="AG299" i="12"/>
  <c r="AN298" i="12"/>
  <c r="AH298" i="12"/>
  <c r="AG298" i="12"/>
  <c r="AN297" i="12"/>
  <c r="AG297" i="12"/>
  <c r="AN296" i="12"/>
  <c r="AJ296" i="12"/>
  <c r="AI296" i="12"/>
  <c r="AH296" i="12"/>
  <c r="AG296" i="12"/>
  <c r="AN295" i="12"/>
  <c r="AJ295" i="12"/>
  <c r="AI295" i="12"/>
  <c r="AH295" i="12"/>
  <c r="AG295" i="12"/>
  <c r="AN294" i="12"/>
  <c r="AG294" i="12"/>
  <c r="AN293" i="12"/>
  <c r="AH293" i="12"/>
  <c r="AG293" i="12"/>
  <c r="AN292" i="12"/>
  <c r="AG292" i="12"/>
  <c r="AN291" i="12"/>
  <c r="AJ291" i="12"/>
  <c r="AI291" i="12"/>
  <c r="AH291" i="12"/>
  <c r="AG291" i="12"/>
  <c r="AN290" i="12"/>
  <c r="AH290" i="12"/>
  <c r="AG290" i="12"/>
  <c r="AN289" i="12"/>
  <c r="AI289" i="12"/>
  <c r="AH289" i="12"/>
  <c r="AG289" i="12"/>
  <c r="AJ289" i="12" s="1"/>
  <c r="AN288" i="12"/>
  <c r="AG288" i="12"/>
  <c r="AN287" i="12"/>
  <c r="AG287" i="12"/>
  <c r="AJ287" i="12" s="1"/>
  <c r="AN286" i="12"/>
  <c r="AJ286" i="12"/>
  <c r="AI286" i="12"/>
  <c r="AH286" i="12"/>
  <c r="AG286" i="12"/>
  <c r="AN285" i="12"/>
  <c r="AJ285" i="12"/>
  <c r="AH285" i="12"/>
  <c r="AG285" i="12"/>
  <c r="AI285" i="12" s="1"/>
  <c r="AN284" i="12"/>
  <c r="AJ284" i="12"/>
  <c r="AI284" i="12"/>
  <c r="AG284" i="12"/>
  <c r="AH284" i="12" s="1"/>
  <c r="AN283" i="12"/>
  <c r="AI283" i="12"/>
  <c r="AH283" i="12"/>
  <c r="AG283" i="12"/>
  <c r="AJ283" i="12" s="1"/>
  <c r="AN282" i="12"/>
  <c r="AJ282" i="12"/>
  <c r="AG282" i="12"/>
  <c r="AN281" i="12"/>
  <c r="AG281" i="12"/>
  <c r="AN280" i="12"/>
  <c r="AJ280" i="12"/>
  <c r="AI280" i="12"/>
  <c r="AH280" i="12"/>
  <c r="AG280" i="12"/>
  <c r="AN279" i="12"/>
  <c r="AG279" i="12"/>
  <c r="AN278" i="12"/>
  <c r="AI278" i="12"/>
  <c r="AH278" i="12"/>
  <c r="AG278" i="12"/>
  <c r="AJ278" i="12" s="1"/>
  <c r="AN277" i="12"/>
  <c r="AJ277" i="12"/>
  <c r="AG277" i="12"/>
  <c r="AN276" i="12"/>
  <c r="AG276" i="12"/>
  <c r="AN275" i="12"/>
  <c r="AJ275" i="12"/>
  <c r="AI275" i="12"/>
  <c r="AH275" i="12"/>
  <c r="AG275" i="12"/>
  <c r="AN274" i="12"/>
  <c r="AJ274" i="12"/>
  <c r="AI274" i="12"/>
  <c r="AG274" i="12"/>
  <c r="AH274" i="12" s="1"/>
  <c r="AN273" i="12"/>
  <c r="AJ273" i="12"/>
  <c r="AG273" i="12"/>
  <c r="AI273" i="12" s="1"/>
  <c r="AN272" i="12"/>
  <c r="AJ272" i="12"/>
  <c r="AG272" i="12"/>
  <c r="AN271" i="12"/>
  <c r="AI271" i="12"/>
  <c r="AH271" i="12"/>
  <c r="AG271" i="12"/>
  <c r="AJ271" i="12" s="1"/>
  <c r="AN270" i="12"/>
  <c r="AI270" i="12"/>
  <c r="AH270" i="12"/>
  <c r="AG270" i="12"/>
  <c r="AJ270" i="12" s="1"/>
  <c r="AN269" i="12"/>
  <c r="AI269" i="12"/>
  <c r="AH269" i="12"/>
  <c r="AG269" i="12"/>
  <c r="AJ269" i="12" s="1"/>
  <c r="AN268" i="12"/>
  <c r="AG268" i="12"/>
  <c r="AJ268" i="12" s="1"/>
  <c r="AN267" i="12"/>
  <c r="AG267" i="12"/>
  <c r="AN266" i="12"/>
  <c r="AJ266" i="12"/>
  <c r="AH266" i="12"/>
  <c r="AG266" i="12"/>
  <c r="AI266" i="12" s="1"/>
  <c r="AN265" i="12"/>
  <c r="AJ265" i="12"/>
  <c r="AG265" i="12"/>
  <c r="AN264" i="12"/>
  <c r="AJ264" i="12"/>
  <c r="AI264" i="12"/>
  <c r="AH264" i="12"/>
  <c r="AG264" i="12"/>
  <c r="AN263" i="12"/>
  <c r="AJ263" i="12"/>
  <c r="AI263" i="12"/>
  <c r="AH263" i="12"/>
  <c r="AG263" i="12"/>
  <c r="AN262" i="12"/>
  <c r="AG262" i="12"/>
  <c r="AN261" i="12"/>
  <c r="AG261" i="12"/>
  <c r="AN260" i="12"/>
  <c r="AJ260" i="12"/>
  <c r="AG260" i="12"/>
  <c r="AN259" i="12"/>
  <c r="AJ259" i="12"/>
  <c r="AI259" i="12"/>
  <c r="AH259" i="12"/>
  <c r="AG259" i="12"/>
  <c r="AN258" i="12"/>
  <c r="AI258" i="12"/>
  <c r="AH258" i="12"/>
  <c r="AG258" i="12"/>
  <c r="AJ258" i="12" s="1"/>
  <c r="AN257" i="12"/>
  <c r="AJ257" i="12"/>
  <c r="AI257" i="12"/>
  <c r="AH257" i="12"/>
  <c r="AG257" i="12"/>
  <c r="AN256" i="12"/>
  <c r="AG256" i="12"/>
  <c r="AJ256" i="12" s="1"/>
  <c r="AN255" i="12"/>
  <c r="AI255" i="12"/>
  <c r="AH255" i="12"/>
  <c r="AG255" i="12"/>
  <c r="AJ255" i="12" s="1"/>
  <c r="AN254" i="12"/>
  <c r="AJ254" i="12"/>
  <c r="AI254" i="12"/>
  <c r="AH254" i="12"/>
  <c r="AG254" i="12"/>
  <c r="AN253" i="12"/>
  <c r="AJ253" i="12"/>
  <c r="AH253" i="12"/>
  <c r="AG253" i="12"/>
  <c r="AI253" i="12" s="1"/>
  <c r="AN252" i="12"/>
  <c r="AG252" i="12"/>
  <c r="AN251" i="12"/>
  <c r="AI251" i="12"/>
  <c r="AH251" i="12"/>
  <c r="AG251" i="12"/>
  <c r="AJ251" i="12" s="1"/>
  <c r="AN250" i="12"/>
  <c r="AJ250" i="12"/>
  <c r="AH250" i="12"/>
  <c r="AG250" i="12"/>
  <c r="AI250" i="12" s="1"/>
  <c r="AN249" i="12"/>
  <c r="AG249" i="12"/>
  <c r="AN248" i="12"/>
  <c r="AJ248" i="12"/>
  <c r="AI248" i="12"/>
  <c r="AH248" i="12"/>
  <c r="AG248" i="12"/>
  <c r="AN247" i="12"/>
  <c r="AI247" i="12"/>
  <c r="AH247" i="12"/>
  <c r="AG247" i="12"/>
  <c r="AJ247" i="12" s="1"/>
  <c r="AN246" i="12"/>
  <c r="AI246" i="12"/>
  <c r="AH246" i="12"/>
  <c r="AG246" i="12"/>
  <c r="AJ246" i="12" s="1"/>
  <c r="AN245" i="12"/>
  <c r="AJ245" i="12"/>
  <c r="AH245" i="12"/>
  <c r="AG245" i="12"/>
  <c r="AI245" i="12" s="1"/>
  <c r="AN244" i="12"/>
  <c r="AJ244" i="12"/>
  <c r="AG244" i="12"/>
  <c r="AN243" i="12"/>
  <c r="AJ243" i="12"/>
  <c r="AI243" i="12"/>
  <c r="AH243" i="12"/>
  <c r="AG243" i="12"/>
  <c r="AN242" i="12"/>
  <c r="AG242" i="12"/>
  <c r="AN241" i="12"/>
  <c r="AI241" i="12"/>
  <c r="AG241" i="12"/>
  <c r="AN240" i="12"/>
  <c r="AI240" i="12"/>
  <c r="AH240" i="12"/>
  <c r="AG240" i="12"/>
  <c r="AJ240" i="12" s="1"/>
  <c r="AN239" i="12"/>
  <c r="AG239" i="12"/>
  <c r="AN238" i="12"/>
  <c r="AH238" i="12"/>
  <c r="AG238" i="12"/>
  <c r="AI238" i="12" s="1"/>
  <c r="AN237" i="12"/>
  <c r="AI237" i="12"/>
  <c r="AH237" i="12"/>
  <c r="AG237" i="12"/>
  <c r="AJ237" i="12" s="1"/>
  <c r="AN236" i="12"/>
  <c r="AJ236" i="12"/>
  <c r="AI236" i="12"/>
  <c r="AH236" i="12"/>
  <c r="AG236" i="12"/>
  <c r="AN235" i="12"/>
  <c r="AH235" i="12"/>
  <c r="AG235" i="12"/>
  <c r="AN234" i="12"/>
  <c r="AJ234" i="12"/>
  <c r="AH234" i="12"/>
  <c r="AG234" i="12"/>
  <c r="AI234" i="12" s="1"/>
  <c r="AN233" i="12"/>
  <c r="AJ233" i="12"/>
  <c r="AI233" i="12"/>
  <c r="AG233" i="12"/>
  <c r="AH233" i="12" s="1"/>
  <c r="AN232" i="12"/>
  <c r="AJ232" i="12"/>
  <c r="AI232" i="12"/>
  <c r="AH232" i="12"/>
  <c r="AG232" i="12"/>
  <c r="AN231" i="12"/>
  <c r="AI231" i="12"/>
  <c r="AH231" i="12"/>
  <c r="AG231" i="12"/>
  <c r="AJ231" i="12" s="1"/>
  <c r="AN230" i="12"/>
  <c r="AG230" i="12"/>
  <c r="AN229" i="12"/>
  <c r="AG229" i="12"/>
  <c r="AN228" i="12"/>
  <c r="AJ228" i="12"/>
  <c r="AI228" i="12"/>
  <c r="AG228" i="12"/>
  <c r="AH228" i="12" s="1"/>
  <c r="AN227" i="12"/>
  <c r="AJ227" i="12"/>
  <c r="AI227" i="12"/>
  <c r="AH227" i="12"/>
  <c r="AG227" i="12"/>
  <c r="AN226" i="12"/>
  <c r="AJ226" i="12"/>
  <c r="AI226" i="12"/>
  <c r="AH226" i="12"/>
  <c r="AG226" i="12"/>
  <c r="AN225" i="12"/>
  <c r="AG225" i="12"/>
  <c r="AH225" i="12" s="1"/>
  <c r="AN224" i="12"/>
  <c r="AG224" i="12"/>
  <c r="AN223" i="12"/>
  <c r="AJ223" i="12"/>
  <c r="AH223" i="12"/>
  <c r="AG223" i="12"/>
  <c r="AI223" i="12" s="1"/>
  <c r="AN222" i="12"/>
  <c r="AJ222" i="12"/>
  <c r="AI222" i="12"/>
  <c r="AG222" i="12"/>
  <c r="AH222" i="12" s="1"/>
  <c r="AN221" i="12"/>
  <c r="AJ221" i="12"/>
  <c r="AG221" i="12"/>
  <c r="AN220" i="12"/>
  <c r="AG220" i="12"/>
  <c r="AN219" i="12"/>
  <c r="AI219" i="12"/>
  <c r="AH219" i="12"/>
  <c r="AG219" i="12"/>
  <c r="AJ219" i="12" s="1"/>
  <c r="AN218" i="12"/>
  <c r="AJ218" i="12"/>
  <c r="AG218" i="12"/>
  <c r="AN217" i="12"/>
  <c r="AJ217" i="12"/>
  <c r="AI217" i="12"/>
  <c r="AG217" i="12"/>
  <c r="AH217" i="12" s="1"/>
  <c r="AN216" i="12"/>
  <c r="AJ216" i="12"/>
  <c r="AI216" i="12"/>
  <c r="AH216" i="12"/>
  <c r="AG216" i="12"/>
  <c r="AN215" i="12"/>
  <c r="AH215" i="12"/>
  <c r="AG215" i="12"/>
  <c r="AN214" i="12"/>
  <c r="AI214" i="12"/>
  <c r="AH214" i="12"/>
  <c r="AG214" i="12"/>
  <c r="AJ214" i="12" s="1"/>
  <c r="AN213" i="12"/>
  <c r="AJ213" i="12"/>
  <c r="AH213" i="12"/>
  <c r="AG213" i="12"/>
  <c r="AI213" i="12" s="1"/>
  <c r="AN212" i="12"/>
  <c r="AJ212" i="12"/>
  <c r="AI212" i="12"/>
  <c r="AG212" i="12"/>
  <c r="AH212" i="12" s="1"/>
  <c r="AN211" i="12"/>
  <c r="AJ211" i="12"/>
  <c r="AI211" i="12"/>
  <c r="AH211" i="12"/>
  <c r="AG211" i="12"/>
  <c r="AN210" i="12"/>
  <c r="AJ210" i="12"/>
  <c r="AG210" i="12"/>
  <c r="AN209" i="12"/>
  <c r="AH209" i="12"/>
  <c r="AG209" i="12"/>
  <c r="AN208" i="12"/>
  <c r="AJ208" i="12"/>
  <c r="AI208" i="12"/>
  <c r="AH208" i="12"/>
  <c r="AG208" i="12"/>
  <c r="AN207" i="12"/>
  <c r="AG207" i="12"/>
  <c r="AN206" i="12"/>
  <c r="AG206" i="12"/>
  <c r="AH206" i="12" s="1"/>
  <c r="AN205" i="12"/>
  <c r="AJ205" i="12"/>
  <c r="AI205" i="12"/>
  <c r="AH205" i="12"/>
  <c r="AG205" i="12"/>
  <c r="AN204" i="12"/>
  <c r="AG204" i="12"/>
  <c r="AJ204" i="12" s="1"/>
  <c r="AN203" i="12"/>
  <c r="AI203" i="12"/>
  <c r="AG203" i="12"/>
  <c r="AN202" i="12"/>
  <c r="AG202" i="12"/>
  <c r="AN201" i="12"/>
  <c r="AI201" i="12"/>
  <c r="AH201" i="12"/>
  <c r="AG201" i="12"/>
  <c r="AJ201" i="12" s="1"/>
  <c r="AN200" i="12"/>
  <c r="AG200" i="12"/>
  <c r="AN199" i="12"/>
  <c r="AI199" i="12"/>
  <c r="AG199" i="12"/>
  <c r="AH199" i="12" s="1"/>
  <c r="AN198" i="12"/>
  <c r="AI198" i="12"/>
  <c r="AH198" i="12"/>
  <c r="AG198" i="12"/>
  <c r="AJ198" i="12" s="1"/>
  <c r="AN197" i="12"/>
  <c r="AH197" i="12"/>
  <c r="AG197" i="12"/>
  <c r="AN196" i="12"/>
  <c r="AJ196" i="12"/>
  <c r="AG196" i="12"/>
  <c r="AN195" i="12"/>
  <c r="AJ195" i="12"/>
  <c r="AI195" i="12"/>
  <c r="AH195" i="12"/>
  <c r="AG195" i="12"/>
  <c r="AN194" i="12"/>
  <c r="AJ194" i="12"/>
  <c r="AI194" i="12"/>
  <c r="AH194" i="12"/>
  <c r="AG194" i="12"/>
  <c r="AN193" i="12"/>
  <c r="AJ193" i="12"/>
  <c r="AG193" i="12"/>
  <c r="AI193" i="12" s="1"/>
  <c r="AN192" i="12"/>
  <c r="AJ192" i="12"/>
  <c r="AG192" i="12"/>
  <c r="AN191" i="12"/>
  <c r="AJ191" i="12"/>
  <c r="AH191" i="12"/>
  <c r="AG191" i="12"/>
  <c r="AI191" i="12" s="1"/>
  <c r="AN190" i="12"/>
  <c r="AJ190" i="12"/>
  <c r="AI190" i="12"/>
  <c r="AH190" i="12"/>
  <c r="AG190" i="12"/>
  <c r="AN189" i="12"/>
  <c r="AG189" i="12"/>
  <c r="AN188" i="12"/>
  <c r="AG188" i="12"/>
  <c r="AN187" i="12"/>
  <c r="AJ187" i="12"/>
  <c r="AH187" i="12"/>
  <c r="AG187" i="12"/>
  <c r="AI187" i="12" s="1"/>
  <c r="AN186" i="12"/>
  <c r="AG186" i="12"/>
  <c r="AJ186" i="12" s="1"/>
  <c r="AN185" i="12"/>
  <c r="AI185" i="12"/>
  <c r="AH185" i="12"/>
  <c r="AG185" i="12"/>
  <c r="AJ185" i="12" s="1"/>
  <c r="AN184" i="12"/>
  <c r="AG184" i="12"/>
  <c r="AN183" i="12"/>
  <c r="AI183" i="12"/>
  <c r="AG183" i="12"/>
  <c r="AH183" i="12" s="1"/>
  <c r="AN182" i="12"/>
  <c r="AI182" i="12"/>
  <c r="AH182" i="12"/>
  <c r="AG182" i="12"/>
  <c r="AJ182" i="12" s="1"/>
  <c r="AN181" i="12"/>
  <c r="AH181" i="12"/>
  <c r="AG181" i="12"/>
  <c r="AN180" i="12"/>
  <c r="AG180" i="12"/>
  <c r="AJ180" i="12" s="1"/>
  <c r="AN179" i="12"/>
  <c r="AJ179" i="12"/>
  <c r="AI179" i="12"/>
  <c r="AH179" i="12"/>
  <c r="AG179" i="12"/>
  <c r="AN178" i="12"/>
  <c r="AI178" i="12"/>
  <c r="AH178" i="12"/>
  <c r="AG178" i="12"/>
  <c r="AJ178" i="12" s="1"/>
  <c r="AN177" i="12"/>
  <c r="AI177" i="12"/>
  <c r="AG177" i="12"/>
  <c r="AN176" i="12"/>
  <c r="AG176" i="12"/>
  <c r="AH176" i="12" s="1"/>
  <c r="AN175" i="12"/>
  <c r="AI175" i="12"/>
  <c r="AH175" i="12"/>
  <c r="AG175" i="12"/>
  <c r="AJ175" i="12" s="1"/>
  <c r="AN174" i="12"/>
  <c r="AJ174" i="12"/>
  <c r="AI174" i="12"/>
  <c r="AH174" i="12"/>
  <c r="AG174" i="12"/>
  <c r="AN173" i="12"/>
  <c r="AI173" i="12"/>
  <c r="AH173" i="12"/>
  <c r="AG173" i="12"/>
  <c r="AJ173" i="12" s="1"/>
  <c r="AN172" i="12"/>
  <c r="AG172" i="12"/>
  <c r="AJ172" i="12" s="1"/>
  <c r="AN171" i="12"/>
  <c r="AG171" i="12"/>
  <c r="AN170" i="12"/>
  <c r="AG170" i="12"/>
  <c r="AN169" i="12"/>
  <c r="AJ169" i="12"/>
  <c r="AH169" i="12"/>
  <c r="AG169" i="12"/>
  <c r="AI169" i="12" s="1"/>
  <c r="AN168" i="12"/>
  <c r="AJ168" i="12"/>
  <c r="AH168" i="12"/>
  <c r="AG168" i="12"/>
  <c r="AI168" i="12" s="1"/>
  <c r="AN167" i="12"/>
  <c r="AJ167" i="12"/>
  <c r="AI167" i="12"/>
  <c r="AH167" i="12"/>
  <c r="AG167" i="12"/>
  <c r="AN166" i="12"/>
  <c r="AG166" i="12"/>
  <c r="AJ166" i="12" s="1"/>
  <c r="AN165" i="12"/>
  <c r="AH165" i="12"/>
  <c r="AG165" i="12"/>
  <c r="AN164" i="12"/>
  <c r="AJ164" i="12"/>
  <c r="AI164" i="12"/>
  <c r="AG164" i="12"/>
  <c r="AH164" i="12" s="1"/>
  <c r="AN163" i="12"/>
  <c r="AJ163" i="12"/>
  <c r="AI163" i="12"/>
  <c r="AH163" i="12"/>
  <c r="AG163" i="12"/>
  <c r="AN162" i="12"/>
  <c r="AG162" i="12"/>
  <c r="AJ162" i="12" s="1"/>
  <c r="AN161" i="12"/>
  <c r="AG161" i="12"/>
  <c r="AN160" i="12"/>
  <c r="AJ160" i="12"/>
  <c r="AH160" i="12"/>
  <c r="AG160" i="12"/>
  <c r="AI160" i="12" s="1"/>
  <c r="AN159" i="12"/>
  <c r="AJ159" i="12"/>
  <c r="AH159" i="12"/>
  <c r="AG159" i="12"/>
  <c r="AI159" i="12" s="1"/>
  <c r="AN158" i="12"/>
  <c r="AJ158" i="12"/>
  <c r="AI158" i="12"/>
  <c r="AH158" i="12"/>
  <c r="AG158" i="12"/>
  <c r="AN157" i="12"/>
  <c r="AJ157" i="12"/>
  <c r="AI157" i="12"/>
  <c r="AG157" i="12"/>
  <c r="AH157" i="12" s="1"/>
  <c r="AN156" i="12"/>
  <c r="AG156" i="12"/>
  <c r="AJ156" i="12" s="1"/>
  <c r="AN155" i="12"/>
  <c r="AJ155" i="12"/>
  <c r="AH155" i="12"/>
  <c r="AG155" i="12"/>
  <c r="AI155" i="12" s="1"/>
  <c r="AN154" i="12"/>
  <c r="AJ154" i="12"/>
  <c r="AG154" i="12"/>
  <c r="AI154" i="12" s="1"/>
  <c r="AN153" i="12"/>
  <c r="AG153" i="12"/>
  <c r="AH153" i="12" s="1"/>
  <c r="AN152" i="12"/>
  <c r="AI152" i="12"/>
  <c r="AH152" i="12"/>
  <c r="AG152" i="12"/>
  <c r="AJ152" i="12" s="1"/>
  <c r="AN151" i="12"/>
  <c r="AI151" i="12"/>
  <c r="AG151" i="12"/>
  <c r="AN150" i="12"/>
  <c r="AI150" i="12"/>
  <c r="AG150" i="12"/>
  <c r="AN149" i="12"/>
  <c r="AJ149" i="12"/>
  <c r="AG149" i="12"/>
  <c r="AN148" i="12"/>
  <c r="AJ148" i="12"/>
  <c r="AI148" i="12"/>
  <c r="AG148" i="12"/>
  <c r="AH148" i="12" s="1"/>
  <c r="AN147" i="12"/>
  <c r="AJ147" i="12"/>
  <c r="AI147" i="12"/>
  <c r="AH147" i="12"/>
  <c r="AG147" i="12"/>
  <c r="AN146" i="12"/>
  <c r="AI146" i="12"/>
  <c r="AH146" i="12"/>
  <c r="AG146" i="12"/>
  <c r="AJ146" i="12" s="1"/>
  <c r="AN145" i="12"/>
  <c r="AI145" i="12"/>
  <c r="AH145" i="12"/>
  <c r="AG145" i="12"/>
  <c r="AJ145" i="12" s="1"/>
  <c r="AN144" i="12"/>
  <c r="AG144" i="12"/>
  <c r="AN143" i="12"/>
  <c r="AI143" i="12"/>
  <c r="AH143" i="12"/>
  <c r="AG143" i="12"/>
  <c r="AJ143" i="12" s="1"/>
  <c r="AN142" i="12"/>
  <c r="AG142" i="12"/>
  <c r="AN141" i="12"/>
  <c r="AG141" i="12"/>
  <c r="AN140" i="12"/>
  <c r="AJ140" i="12"/>
  <c r="AI140" i="12"/>
  <c r="AH140" i="12"/>
  <c r="AG140" i="12"/>
  <c r="AN139" i="12"/>
  <c r="AG139" i="12"/>
  <c r="AI139" i="12" s="1"/>
  <c r="AN138" i="12"/>
  <c r="AJ138" i="12"/>
  <c r="AH138" i="12"/>
  <c r="AG138" i="12"/>
  <c r="AI138" i="12" s="1"/>
  <c r="AN137" i="12"/>
  <c r="AG137" i="12"/>
  <c r="AN136" i="12"/>
  <c r="AG136" i="12"/>
  <c r="AJ136" i="12" s="1"/>
  <c r="AN135" i="12"/>
  <c r="AG135" i="12"/>
  <c r="AN134" i="12"/>
  <c r="AG134" i="12"/>
  <c r="AN133" i="12"/>
  <c r="AH133" i="12"/>
  <c r="AG133" i="12"/>
  <c r="AI133" i="12" s="1"/>
  <c r="AN132" i="12"/>
  <c r="AJ132" i="12"/>
  <c r="AI132" i="12"/>
  <c r="AG132" i="12"/>
  <c r="AH132" i="12" s="1"/>
  <c r="AN131" i="12"/>
  <c r="AJ131" i="12"/>
  <c r="AI131" i="12"/>
  <c r="AH131" i="12"/>
  <c r="AG131" i="12"/>
  <c r="AN130" i="12"/>
  <c r="AJ130" i="12"/>
  <c r="AI130" i="12"/>
  <c r="AH130" i="12"/>
  <c r="AG130" i="12"/>
  <c r="AN129" i="12"/>
  <c r="AG129" i="12"/>
  <c r="AN128" i="12"/>
  <c r="AJ128" i="12"/>
  <c r="AI128" i="12"/>
  <c r="AH128" i="12"/>
  <c r="AG128" i="12"/>
  <c r="AN127" i="12"/>
  <c r="AG127" i="12"/>
  <c r="AN126" i="12"/>
  <c r="AI126" i="12"/>
  <c r="AG126" i="12"/>
  <c r="AN125" i="12"/>
  <c r="AG125" i="12"/>
  <c r="AN124" i="12"/>
  <c r="AG124" i="12"/>
  <c r="AN123" i="12"/>
  <c r="AJ123" i="12"/>
  <c r="AH123" i="12"/>
  <c r="AG123" i="12"/>
  <c r="AI123" i="12" s="1"/>
  <c r="AN122" i="12"/>
  <c r="AG122" i="12"/>
  <c r="AH122" i="12" s="1"/>
  <c r="AN121" i="12"/>
  <c r="AJ121" i="12"/>
  <c r="AI121" i="12"/>
  <c r="AH121" i="12"/>
  <c r="AG121" i="12"/>
  <c r="AN120" i="12"/>
  <c r="AG120" i="12"/>
  <c r="AN119" i="12"/>
  <c r="AH119" i="12"/>
  <c r="AG119" i="12"/>
  <c r="AN118" i="12"/>
  <c r="AJ118" i="12"/>
  <c r="AI118" i="12"/>
  <c r="AG118" i="12"/>
  <c r="AH118" i="12" s="1"/>
  <c r="AN117" i="12"/>
  <c r="AG117" i="12"/>
  <c r="AJ117" i="12" s="1"/>
  <c r="AN116" i="12"/>
  <c r="AH116" i="12"/>
  <c r="AG116" i="12"/>
  <c r="AN115" i="12"/>
  <c r="AG115" i="12"/>
  <c r="AJ115" i="12" s="1"/>
  <c r="AN114" i="12"/>
  <c r="AH114" i="12"/>
  <c r="AG114" i="12"/>
  <c r="AN113" i="12"/>
  <c r="AI113" i="12"/>
  <c r="AH113" i="12"/>
  <c r="AG113" i="12"/>
  <c r="AJ113" i="12" s="1"/>
  <c r="AN112" i="12"/>
  <c r="AJ112" i="12"/>
  <c r="AG112" i="12"/>
  <c r="AN111" i="12"/>
  <c r="AJ111" i="12"/>
  <c r="AG111" i="12"/>
  <c r="AH111" i="12" s="1"/>
  <c r="AN110" i="12"/>
  <c r="AI110" i="12"/>
  <c r="AH110" i="12"/>
  <c r="AG110" i="12"/>
  <c r="AJ110" i="12" s="1"/>
  <c r="AN109" i="12"/>
  <c r="AG109" i="12"/>
  <c r="AN108" i="12"/>
  <c r="AG108" i="12"/>
  <c r="AN107" i="12"/>
  <c r="AJ107" i="12"/>
  <c r="AH107" i="12"/>
  <c r="AG107" i="12"/>
  <c r="AI107" i="12" s="1"/>
  <c r="AN106" i="12"/>
  <c r="AJ106" i="12"/>
  <c r="AG106" i="12"/>
  <c r="AH106" i="12" s="1"/>
  <c r="AN105" i="12"/>
  <c r="AJ105" i="12"/>
  <c r="AI105" i="12"/>
  <c r="AH105" i="12"/>
  <c r="AG105" i="12"/>
  <c r="AN104" i="12"/>
  <c r="AG104" i="12"/>
  <c r="AN103" i="12"/>
  <c r="AG103" i="12"/>
  <c r="AN102" i="12"/>
  <c r="AH102" i="12"/>
  <c r="AG102" i="12"/>
  <c r="AN101" i="12"/>
  <c r="AJ101" i="12"/>
  <c r="AI101" i="12"/>
  <c r="AH101" i="12"/>
  <c r="AG101" i="12"/>
  <c r="AN100" i="12"/>
  <c r="AI100" i="12"/>
  <c r="AG100" i="12"/>
  <c r="AJ100" i="12" s="1"/>
  <c r="AN99" i="12"/>
  <c r="AJ99" i="12"/>
  <c r="AI99" i="12"/>
  <c r="AG99" i="12"/>
  <c r="AH99" i="12" s="1"/>
  <c r="AN98" i="12"/>
  <c r="AG98" i="12"/>
  <c r="AN97" i="12"/>
  <c r="AI97" i="12"/>
  <c r="AG97" i="12"/>
  <c r="AJ97" i="12" s="1"/>
  <c r="AN96" i="12"/>
  <c r="AJ96" i="12"/>
  <c r="AI96" i="12"/>
  <c r="AH96" i="12"/>
  <c r="AG96" i="12"/>
  <c r="AN95" i="12"/>
  <c r="AG95" i="12"/>
  <c r="AN94" i="12"/>
  <c r="AI94" i="12"/>
  <c r="AH94" i="12"/>
  <c r="AG94" i="12"/>
  <c r="AJ94" i="12" s="1"/>
  <c r="AN93" i="12"/>
  <c r="AG93" i="12"/>
  <c r="AJ93" i="12" s="1"/>
  <c r="AN92" i="12"/>
  <c r="AI92" i="12"/>
  <c r="AH92" i="12"/>
  <c r="AG92" i="12"/>
  <c r="AJ92" i="12" s="1"/>
  <c r="AN91" i="12"/>
  <c r="AG91" i="12"/>
  <c r="AN90" i="12"/>
  <c r="AJ90" i="12"/>
  <c r="AI90" i="12"/>
  <c r="AG90" i="12"/>
  <c r="AH90" i="12" s="1"/>
  <c r="AN89" i="12"/>
  <c r="AJ89" i="12"/>
  <c r="AI89" i="12"/>
  <c r="AH89" i="12"/>
  <c r="AG89" i="12"/>
  <c r="AN88" i="12"/>
  <c r="AJ88" i="12"/>
  <c r="AG88" i="12"/>
  <c r="AN87" i="12"/>
  <c r="AJ87" i="12"/>
  <c r="AI87" i="12"/>
  <c r="AH87" i="12"/>
  <c r="AG87" i="12"/>
  <c r="AN86" i="12"/>
  <c r="AJ86" i="12"/>
  <c r="AI86" i="12"/>
  <c r="AH86" i="12"/>
  <c r="AG86" i="12"/>
  <c r="AN85" i="12"/>
  <c r="AG85" i="12"/>
  <c r="AH85" i="12" s="1"/>
  <c r="AN84" i="12"/>
  <c r="AG84" i="12"/>
  <c r="AH84" i="12" s="1"/>
  <c r="AN83" i="12"/>
  <c r="AJ83" i="12"/>
  <c r="AI83" i="12"/>
  <c r="AH83" i="12"/>
  <c r="AG83" i="12"/>
  <c r="AN82" i="12"/>
  <c r="AG82" i="12"/>
  <c r="AI82" i="12" s="1"/>
  <c r="AN81" i="12"/>
  <c r="AJ81" i="12"/>
  <c r="AI81" i="12"/>
  <c r="AH81" i="12"/>
  <c r="AG81" i="12"/>
  <c r="AN80" i="12"/>
  <c r="AH80" i="12"/>
  <c r="AG80" i="12"/>
  <c r="AN79" i="12"/>
  <c r="AJ79" i="12"/>
  <c r="AI79" i="12"/>
  <c r="AG79" i="12"/>
  <c r="AH79" i="12" s="1"/>
  <c r="AN78" i="12"/>
  <c r="AG78" i="12"/>
  <c r="AI78" i="12" s="1"/>
  <c r="AN77" i="12"/>
  <c r="AG77" i="12"/>
  <c r="AJ77" i="12" s="1"/>
  <c r="AN76" i="12"/>
  <c r="AH76" i="12"/>
  <c r="AG76" i="12"/>
  <c r="AN75" i="12"/>
  <c r="AJ75" i="12"/>
  <c r="AH75" i="12"/>
  <c r="AG75" i="12"/>
  <c r="AI75" i="12" s="1"/>
  <c r="AN74" i="12"/>
  <c r="AG74" i="12"/>
  <c r="AN73" i="12"/>
  <c r="AJ73" i="12"/>
  <c r="AI73" i="12"/>
  <c r="AH73" i="12"/>
  <c r="AG73" i="12"/>
  <c r="AN72" i="12"/>
  <c r="AG72" i="12"/>
  <c r="AH72" i="12" s="1"/>
  <c r="AN71" i="12"/>
  <c r="AJ71" i="12"/>
  <c r="AI71" i="12"/>
  <c r="AH71" i="12"/>
  <c r="AG71" i="12"/>
  <c r="AN70" i="12"/>
  <c r="AG70" i="12"/>
  <c r="AN69" i="12"/>
  <c r="AJ69" i="12"/>
  <c r="AG69" i="12"/>
  <c r="AN68" i="12"/>
  <c r="AJ68" i="12"/>
  <c r="AI68" i="12"/>
  <c r="AG68" i="12"/>
  <c r="AH68" i="12" s="1"/>
  <c r="AN67" i="12"/>
  <c r="AJ67" i="12"/>
  <c r="AI67" i="12"/>
  <c r="AH67" i="12"/>
  <c r="AG67" i="12"/>
  <c r="AN66" i="12"/>
  <c r="AH66" i="12"/>
  <c r="AG66" i="12"/>
  <c r="AN65" i="12"/>
  <c r="AJ65" i="12"/>
  <c r="AG65" i="12"/>
  <c r="AI65" i="12" s="1"/>
  <c r="AN64" i="12"/>
  <c r="AJ64" i="12"/>
  <c r="AI64" i="12"/>
  <c r="AG64" i="12"/>
  <c r="AH64" i="12" s="1"/>
  <c r="AN63" i="12"/>
  <c r="AG63" i="12"/>
  <c r="AJ63" i="12" s="1"/>
  <c r="AN62" i="12"/>
  <c r="AJ62" i="12"/>
  <c r="AG62" i="12"/>
  <c r="AI62" i="12" s="1"/>
  <c r="AN61" i="12"/>
  <c r="AJ61" i="12"/>
  <c r="AI61" i="12"/>
  <c r="AG61" i="12"/>
  <c r="AH61" i="12" s="1"/>
  <c r="AN60" i="12"/>
  <c r="AJ60" i="12"/>
  <c r="AI60" i="12"/>
  <c r="AH60" i="12"/>
  <c r="AG60" i="12"/>
  <c r="AN59" i="12"/>
  <c r="AG59" i="12"/>
  <c r="AJ59" i="12" s="1"/>
  <c r="AN58" i="12"/>
  <c r="AI58" i="12"/>
  <c r="AG58" i="12"/>
  <c r="AJ58" i="12" s="1"/>
  <c r="AN57" i="12"/>
  <c r="AJ57" i="12"/>
  <c r="AH57" i="12"/>
  <c r="AG57" i="12"/>
  <c r="AI57" i="12" s="1"/>
  <c r="AN56" i="12"/>
  <c r="AJ56" i="12"/>
  <c r="AG56" i="12"/>
  <c r="AH56" i="12" s="1"/>
  <c r="AN55" i="12"/>
  <c r="AJ55" i="12"/>
  <c r="AI55" i="12"/>
  <c r="AH55" i="12"/>
  <c r="AG55" i="12"/>
  <c r="AN54" i="12"/>
  <c r="AH54" i="12"/>
  <c r="AG54" i="12"/>
  <c r="AN53" i="12"/>
  <c r="AG53" i="12"/>
  <c r="AN52" i="12"/>
  <c r="AJ52" i="12"/>
  <c r="AI52" i="12"/>
  <c r="AG52" i="12"/>
  <c r="AH52" i="12" s="1"/>
  <c r="AN51" i="12"/>
  <c r="AJ51" i="12"/>
  <c r="AI51" i="12"/>
  <c r="AH51" i="12"/>
  <c r="AG51" i="12"/>
  <c r="AN50" i="12"/>
  <c r="AI50" i="12"/>
  <c r="AG50" i="12"/>
  <c r="AJ50" i="12" s="1"/>
  <c r="AN49" i="12"/>
  <c r="AJ49" i="12"/>
  <c r="AI49" i="12"/>
  <c r="AH49" i="12"/>
  <c r="AG49" i="12"/>
  <c r="AN48" i="12"/>
  <c r="AJ48" i="12"/>
  <c r="AI48" i="12"/>
  <c r="AH48" i="12"/>
  <c r="AG48" i="12"/>
  <c r="AN47" i="12"/>
  <c r="AG47" i="12"/>
  <c r="AJ47" i="12" s="1"/>
  <c r="AN46" i="12"/>
  <c r="AJ46" i="12"/>
  <c r="AH46" i="12"/>
  <c r="AG46" i="12"/>
  <c r="AI46" i="12" s="1"/>
  <c r="AN45" i="12"/>
  <c r="AG45" i="12"/>
  <c r="AN44" i="12"/>
  <c r="AJ44" i="12"/>
  <c r="AI44" i="12"/>
  <c r="AH44" i="12"/>
  <c r="AG44" i="12"/>
  <c r="AN43" i="12"/>
  <c r="AG43" i="12"/>
  <c r="AJ43" i="12" s="1"/>
  <c r="AN42" i="12"/>
  <c r="AI42" i="12"/>
  <c r="AH42" i="12"/>
  <c r="AG42" i="12"/>
  <c r="AJ42" i="12" s="1"/>
  <c r="AN41" i="12"/>
  <c r="AG41" i="12"/>
  <c r="AN40" i="12"/>
  <c r="AI40" i="12"/>
  <c r="AG40" i="12"/>
  <c r="AN39" i="12"/>
  <c r="AJ39" i="12"/>
  <c r="AI39" i="12"/>
  <c r="AH39" i="12"/>
  <c r="AG39" i="12"/>
  <c r="AN38" i="12"/>
  <c r="AH38" i="12"/>
  <c r="AG38" i="12"/>
  <c r="AN37" i="12"/>
  <c r="AG37" i="12"/>
  <c r="AN36" i="12"/>
  <c r="AJ36" i="12"/>
  <c r="AI36" i="12"/>
  <c r="AG36" i="12"/>
  <c r="AH36" i="12" s="1"/>
  <c r="AN35" i="12"/>
  <c r="AJ35" i="12"/>
  <c r="AI35" i="12"/>
  <c r="AH35" i="12"/>
  <c r="AG35" i="12"/>
  <c r="AN34" i="12"/>
  <c r="AJ34" i="12"/>
  <c r="AI34" i="12"/>
  <c r="AH34" i="12"/>
  <c r="AG34" i="12"/>
  <c r="AN33" i="12"/>
  <c r="AG33" i="12"/>
  <c r="AH33" i="12" s="1"/>
  <c r="AN32" i="12"/>
  <c r="AH32" i="12"/>
  <c r="AG32" i="12"/>
  <c r="AN31" i="12"/>
  <c r="AG31" i="12"/>
  <c r="AJ31" i="12" s="1"/>
  <c r="AN30" i="12"/>
  <c r="AG30" i="12"/>
  <c r="AJ30" i="12" s="1"/>
  <c r="AN29" i="12"/>
  <c r="AJ29" i="12"/>
  <c r="AI29" i="12"/>
  <c r="AG29" i="12"/>
  <c r="AH29" i="12" s="1"/>
  <c r="AN28" i="12"/>
  <c r="AJ28" i="12"/>
  <c r="AI28" i="12"/>
  <c r="AH28" i="12"/>
  <c r="AG28" i="12"/>
  <c r="AN27" i="12"/>
  <c r="AJ27" i="12"/>
  <c r="AG27" i="12"/>
  <c r="AI27" i="12" s="1"/>
  <c r="AN26" i="12"/>
  <c r="AG26" i="12"/>
  <c r="AJ26" i="12" s="1"/>
  <c r="AN25" i="12"/>
  <c r="AG25" i="12"/>
  <c r="AI25" i="12" s="1"/>
  <c r="AN24" i="12"/>
  <c r="AJ24" i="12"/>
  <c r="AG24" i="12"/>
  <c r="AH24" i="12" s="1"/>
  <c r="AN23" i="12"/>
  <c r="AJ23" i="12"/>
  <c r="AI23" i="12"/>
  <c r="AH23" i="12"/>
  <c r="AG23" i="12"/>
  <c r="AN22" i="12"/>
  <c r="AH22" i="12"/>
  <c r="AG22" i="12"/>
  <c r="AN21" i="12"/>
  <c r="AG21" i="12"/>
  <c r="AN20" i="12"/>
  <c r="AJ20" i="12"/>
  <c r="AI20" i="12"/>
  <c r="AG20" i="12"/>
  <c r="AH20" i="12" s="1"/>
  <c r="AN19" i="12"/>
  <c r="AJ19" i="12"/>
  <c r="AI19" i="12"/>
  <c r="AH19" i="12"/>
  <c r="AG19" i="12"/>
  <c r="AN18" i="12"/>
  <c r="AG18" i="12"/>
  <c r="AJ18" i="12" s="1"/>
  <c r="AN17" i="12"/>
  <c r="AG17" i="12"/>
  <c r="AJ17" i="12" s="1"/>
  <c r="AN16" i="12"/>
  <c r="AI16" i="12"/>
  <c r="AG16" i="12"/>
  <c r="AJ16" i="12" s="1"/>
  <c r="AN15" i="12"/>
  <c r="AI15" i="12"/>
  <c r="AH15" i="12"/>
  <c r="AG15" i="12"/>
  <c r="AJ15" i="12" s="1"/>
  <c r="AN14" i="12"/>
  <c r="AJ14" i="12"/>
  <c r="AH14" i="12"/>
  <c r="AG14" i="12"/>
  <c r="AI14" i="12" s="1"/>
  <c r="AN13" i="12"/>
  <c r="AG13" i="12"/>
  <c r="AH13" i="12" s="1"/>
  <c r="AN12" i="12"/>
  <c r="AJ12" i="12"/>
  <c r="AI12" i="12"/>
  <c r="AH12" i="12"/>
  <c r="AG12" i="12"/>
  <c r="AN11" i="12"/>
  <c r="AI11" i="12"/>
  <c r="AG11" i="12"/>
  <c r="AJ11" i="12" s="1"/>
  <c r="AN10" i="12"/>
  <c r="AI10" i="12"/>
  <c r="AH10" i="12"/>
  <c r="AG10" i="12"/>
  <c r="AJ10" i="12" s="1"/>
  <c r="AN9" i="12"/>
  <c r="AJ9" i="12"/>
  <c r="AG9" i="12"/>
  <c r="AI9" i="12" s="1"/>
  <c r="AN8" i="12"/>
  <c r="AG8" i="12"/>
  <c r="AH8" i="12" s="1"/>
  <c r="AN7" i="12"/>
  <c r="AJ7" i="12"/>
  <c r="AI7" i="12"/>
  <c r="AH7" i="12"/>
  <c r="AG7" i="12"/>
  <c r="AN6" i="12"/>
  <c r="AG6" i="12"/>
  <c r="AH6" i="12" s="1"/>
  <c r="AN5" i="12"/>
  <c r="AI5" i="12"/>
  <c r="AG5" i="12"/>
  <c r="AJ5" i="12" s="1"/>
  <c r="AN4" i="12"/>
  <c r="AJ4" i="12"/>
  <c r="AI4" i="12"/>
  <c r="AH4" i="12"/>
  <c r="AG4" i="12"/>
  <c r="AN3" i="12"/>
  <c r="AJ3" i="12"/>
  <c r="AI3" i="12"/>
  <c r="AH3" i="12"/>
  <c r="AG3" i="12"/>
  <c r="AN2" i="12"/>
  <c r="AJ2" i="12"/>
  <c r="AI2" i="12"/>
  <c r="AH2" i="12"/>
  <c r="AG2" i="12"/>
  <c r="X101" i="12"/>
  <c r="X100" i="12"/>
  <c r="X99" i="12"/>
  <c r="X98" i="12"/>
  <c r="Y98" i="12" s="1"/>
  <c r="X97" i="12"/>
  <c r="X96" i="12"/>
  <c r="X95" i="12"/>
  <c r="X94" i="12"/>
  <c r="Y94" i="12" s="1"/>
  <c r="X93" i="12"/>
  <c r="X92" i="12"/>
  <c r="X91" i="12"/>
  <c r="Y91" i="12" s="1"/>
  <c r="X90" i="12"/>
  <c r="X89" i="12"/>
  <c r="X88" i="12"/>
  <c r="X87" i="12"/>
  <c r="X86" i="12"/>
  <c r="Y86" i="12" s="1"/>
  <c r="X85" i="12"/>
  <c r="X84" i="12"/>
  <c r="X83" i="12"/>
  <c r="X82" i="12"/>
  <c r="X81" i="12"/>
  <c r="X80" i="12"/>
  <c r="X79" i="12"/>
  <c r="X78" i="12"/>
  <c r="Y78" i="12" s="1"/>
  <c r="X77" i="12"/>
  <c r="X76" i="12"/>
  <c r="X75" i="12"/>
  <c r="Y75" i="12" s="1"/>
  <c r="X74" i="12"/>
  <c r="Y74" i="12" s="1"/>
  <c r="X73" i="12"/>
  <c r="Y73" i="12" s="1"/>
  <c r="X72" i="12"/>
  <c r="Y72" i="12" s="1"/>
  <c r="X71" i="12"/>
  <c r="Y71" i="12" s="1"/>
  <c r="X70" i="12"/>
  <c r="Y70" i="12" s="1"/>
  <c r="X69" i="12"/>
  <c r="X68" i="12"/>
  <c r="X67" i="12"/>
  <c r="X66" i="12"/>
  <c r="X65" i="12"/>
  <c r="X64" i="12"/>
  <c r="Y64" i="12" s="1"/>
  <c r="X63" i="12"/>
  <c r="Y63" i="12" s="1"/>
  <c r="P101" i="12"/>
  <c r="P100" i="12"/>
  <c r="P99" i="12"/>
  <c r="P98" i="12"/>
  <c r="P97" i="12"/>
  <c r="P96" i="12"/>
  <c r="P95" i="12"/>
  <c r="P94" i="12"/>
  <c r="P93" i="12"/>
  <c r="Q93" i="12" s="1"/>
  <c r="P92" i="12"/>
  <c r="P91" i="12"/>
  <c r="P90" i="12"/>
  <c r="Q90" i="12" s="1"/>
  <c r="P89" i="12"/>
  <c r="Q89" i="12" s="1"/>
  <c r="P88" i="12"/>
  <c r="Q88" i="12" s="1"/>
  <c r="P87" i="12"/>
  <c r="Q87" i="12" s="1"/>
  <c r="P86" i="12"/>
  <c r="Q86" i="12" s="1"/>
  <c r="P85" i="12"/>
  <c r="P84" i="12"/>
  <c r="P83" i="12"/>
  <c r="P82" i="12"/>
  <c r="Q82" i="12" s="1"/>
  <c r="S82" i="12" s="1"/>
  <c r="P81" i="12"/>
  <c r="P80" i="12"/>
  <c r="P79" i="12"/>
  <c r="P78" i="12"/>
  <c r="P77" i="12"/>
  <c r="P76" i="12"/>
  <c r="P75" i="12"/>
  <c r="Q75" i="12" s="1"/>
  <c r="P74" i="12"/>
  <c r="Q74" i="12" s="1"/>
  <c r="P73" i="12"/>
  <c r="Q73" i="12" s="1"/>
  <c r="P72" i="12"/>
  <c r="Q72" i="12" s="1"/>
  <c r="P71" i="12"/>
  <c r="Q71" i="12" s="1"/>
  <c r="P70" i="12"/>
  <c r="Q70" i="12" s="1"/>
  <c r="P69" i="12"/>
  <c r="P68" i="12"/>
  <c r="P67" i="12"/>
  <c r="P66" i="12"/>
  <c r="P65" i="12"/>
  <c r="Q65" i="12" s="1"/>
  <c r="P64" i="12"/>
  <c r="P63" i="12"/>
  <c r="Q63" i="12" s="1"/>
  <c r="H101" i="12"/>
  <c r="H100" i="12"/>
  <c r="I100" i="12" s="1"/>
  <c r="H99" i="12"/>
  <c r="H98" i="12"/>
  <c r="H97" i="12"/>
  <c r="I97" i="12" s="1"/>
  <c r="H96" i="12"/>
  <c r="I96" i="12" s="1"/>
  <c r="H95" i="12"/>
  <c r="H94" i="12"/>
  <c r="H93" i="12"/>
  <c r="I93" i="12" s="1"/>
  <c r="H92" i="12"/>
  <c r="H91" i="12"/>
  <c r="H90" i="12"/>
  <c r="H89" i="12"/>
  <c r="I89" i="12" s="1"/>
  <c r="H88" i="12"/>
  <c r="I88" i="12" s="1"/>
  <c r="H87" i="12"/>
  <c r="I87" i="12" s="1"/>
  <c r="H86" i="12"/>
  <c r="I86" i="12" s="1"/>
  <c r="H85" i="12"/>
  <c r="H84" i="12"/>
  <c r="H83" i="12"/>
  <c r="H82" i="12"/>
  <c r="H81" i="12"/>
  <c r="H80" i="12"/>
  <c r="I80" i="12" s="1"/>
  <c r="H79" i="12"/>
  <c r="H78" i="12"/>
  <c r="H77" i="12"/>
  <c r="H76" i="12"/>
  <c r="H75" i="12"/>
  <c r="H74" i="12"/>
  <c r="H73" i="12"/>
  <c r="H72" i="12"/>
  <c r="I72" i="12" s="1"/>
  <c r="H71" i="12"/>
  <c r="H70" i="12"/>
  <c r="H69" i="12"/>
  <c r="H68" i="12"/>
  <c r="I68" i="12" s="1"/>
  <c r="H67" i="12"/>
  <c r="H66" i="12"/>
  <c r="H65" i="12"/>
  <c r="H64" i="12"/>
  <c r="I64" i="12" s="1"/>
  <c r="H63" i="12"/>
  <c r="X62" i="12"/>
  <c r="Y62" i="12" s="1"/>
  <c r="AA62" i="12" s="1"/>
  <c r="P62" i="12"/>
  <c r="Q62" i="12" s="1"/>
  <c r="H62" i="12"/>
  <c r="I62" i="12" s="1"/>
  <c r="Y93" i="12"/>
  <c r="Y92" i="12"/>
  <c r="Y90" i="12"/>
  <c r="Y89" i="12"/>
  <c r="Y88" i="12"/>
  <c r="Y87" i="12"/>
  <c r="Y77" i="12"/>
  <c r="Y76" i="12"/>
  <c r="Q98" i="12"/>
  <c r="Q97" i="12"/>
  <c r="Q96" i="12"/>
  <c r="R96" i="12" s="1"/>
  <c r="Q95" i="12"/>
  <c r="Q94" i="12"/>
  <c r="Q92" i="12"/>
  <c r="Q91" i="12"/>
  <c r="Q85" i="12"/>
  <c r="Q84" i="12"/>
  <c r="Q81" i="12"/>
  <c r="Q80" i="12"/>
  <c r="R80" i="12" s="1"/>
  <c r="Q79" i="12"/>
  <c r="Q78" i="12"/>
  <c r="Q77" i="12"/>
  <c r="Q76" i="12"/>
  <c r="Q64" i="12"/>
  <c r="I101" i="12"/>
  <c r="I95" i="12"/>
  <c r="I92" i="12"/>
  <c r="I91" i="12"/>
  <c r="I90" i="12"/>
  <c r="I85" i="12"/>
  <c r="I84" i="12"/>
  <c r="I79" i="12"/>
  <c r="I77" i="12"/>
  <c r="I76" i="12"/>
  <c r="I75" i="12"/>
  <c r="I74" i="12"/>
  <c r="I73" i="12"/>
  <c r="I71" i="12"/>
  <c r="I70" i="12"/>
  <c r="I63" i="12"/>
  <c r="Y101" i="12"/>
  <c r="Y100" i="12"/>
  <c r="Y99" i="12"/>
  <c r="Y97" i="12"/>
  <c r="Y96" i="12"/>
  <c r="Y95" i="12"/>
  <c r="Y85" i="12"/>
  <c r="Y84" i="12"/>
  <c r="Y83" i="12"/>
  <c r="Y82" i="12"/>
  <c r="Y81" i="12"/>
  <c r="Y80" i="12"/>
  <c r="Y79" i="12"/>
  <c r="Y69" i="12"/>
  <c r="Y68" i="12"/>
  <c r="Y67" i="12"/>
  <c r="Y66" i="12"/>
  <c r="Y65" i="12"/>
  <c r="Q101" i="12"/>
  <c r="Q100" i="12"/>
  <c r="Q99" i="12"/>
  <c r="Q83" i="12"/>
  <c r="Q69" i="12"/>
  <c r="Q68" i="12"/>
  <c r="Q67" i="12"/>
  <c r="Q66" i="12"/>
  <c r="I99" i="12"/>
  <c r="I98" i="12"/>
  <c r="I94" i="12"/>
  <c r="I83" i="12"/>
  <c r="I82" i="12"/>
  <c r="I81" i="12"/>
  <c r="I78" i="12"/>
  <c r="I69" i="12"/>
  <c r="I67" i="12"/>
  <c r="I66" i="12"/>
  <c r="I65" i="12"/>
  <c r="B49" i="12" a="1"/>
  <c r="B49" i="12" s="1"/>
  <c r="B48" i="12"/>
  <c r="C17" i="10"/>
  <c r="B17" i="10"/>
  <c r="B12" i="8"/>
  <c r="B11" i="8"/>
  <c r="B9" i="8" s="1"/>
  <c r="B11" i="10" s="1"/>
  <c r="L4" i="4"/>
  <c r="M4" i="4"/>
  <c r="AF8" i="14"/>
  <c r="AE8" i="14"/>
  <c r="AD8" i="14"/>
  <c r="AC8" i="14"/>
  <c r="AB8" i="14"/>
  <c r="AA8" i="14"/>
  <c r="Z8" i="14"/>
  <c r="Y8" i="14"/>
  <c r="X8" i="14"/>
  <c r="W8" i="14"/>
  <c r="V8" i="14"/>
  <c r="U8" i="14"/>
  <c r="T8" i="14"/>
  <c r="S8" i="14"/>
  <c r="R8" i="14"/>
  <c r="Q8" i="14"/>
  <c r="P8" i="14"/>
  <c r="O8" i="14"/>
  <c r="N8" i="14"/>
  <c r="M8" i="14"/>
  <c r="L8" i="14"/>
  <c r="K8" i="14"/>
  <c r="J8" i="14"/>
  <c r="I8" i="14"/>
  <c r="H8" i="14"/>
  <c r="G8" i="14"/>
  <c r="F8" i="14"/>
  <c r="E8" i="14"/>
  <c r="D8" i="14"/>
  <c r="K29" i="14" l="1"/>
  <c r="Q29" i="14"/>
  <c r="G94" i="14"/>
  <c r="G29" i="14"/>
  <c r="X94" i="14"/>
  <c r="T93" i="14"/>
  <c r="D94" i="14"/>
  <c r="Z94" i="14"/>
  <c r="Q93" i="14"/>
  <c r="Z29" i="14"/>
  <c r="J29" i="14"/>
  <c r="X29" i="14"/>
  <c r="H94" i="14"/>
  <c r="D93" i="14"/>
  <c r="H29" i="14"/>
  <c r="K94" i="14"/>
  <c r="W29" i="14"/>
  <c r="J94" i="14"/>
  <c r="Y93" i="14"/>
  <c r="I93" i="14"/>
  <c r="Y94" i="14"/>
  <c r="D68" i="14"/>
  <c r="I94" i="14"/>
  <c r="W94" i="14"/>
  <c r="AG31" i="14"/>
  <c r="D51" i="14"/>
  <c r="AG9" i="14"/>
  <c r="AG104" i="14"/>
  <c r="AG83" i="14" a="1"/>
  <c r="AG83" i="14" s="1"/>
  <c r="AI8" i="14"/>
  <c r="AI15" i="14"/>
  <c r="AJ4" i="14"/>
  <c r="AH15" i="14"/>
  <c r="AI104" i="12"/>
  <c r="AJ104" i="12"/>
  <c r="AH45" i="12"/>
  <c r="AI45" i="12"/>
  <c r="AJ45" i="12"/>
  <c r="AI117" i="12"/>
  <c r="AH172" i="12"/>
  <c r="AI37" i="12"/>
  <c r="AH37" i="12"/>
  <c r="AH115" i="12"/>
  <c r="AI558" i="12"/>
  <c r="AJ558" i="12"/>
  <c r="AH558" i="12"/>
  <c r="AH117" i="12"/>
  <c r="AJ85" i="12"/>
  <c r="AI85" i="12"/>
  <c r="AH104" i="12"/>
  <c r="AH162" i="12"/>
  <c r="AI115" i="12"/>
  <c r="AI26" i="12"/>
  <c r="AI172" i="12"/>
  <c r="AJ37" i="12"/>
  <c r="AI56" i="12"/>
  <c r="AJ189" i="12"/>
  <c r="AH189" i="12"/>
  <c r="AI189" i="12"/>
  <c r="AI41" i="12"/>
  <c r="AH41" i="12"/>
  <c r="AI220" i="12"/>
  <c r="AH220" i="12"/>
  <c r="AJ220" i="12"/>
  <c r="AJ294" i="12"/>
  <c r="AI294" i="12"/>
  <c r="AH294" i="12"/>
  <c r="AJ41" i="12"/>
  <c r="AI120" i="12"/>
  <c r="AH120" i="12"/>
  <c r="AJ120" i="12"/>
  <c r="AI170" i="12"/>
  <c r="AH170" i="12"/>
  <c r="AJ170" i="12"/>
  <c r="AH26" i="12"/>
  <c r="AH93" i="12"/>
  <c r="AI93" i="12"/>
  <c r="AI30" i="12"/>
  <c r="AH30" i="12"/>
  <c r="AI162" i="12"/>
  <c r="AH202" i="12"/>
  <c r="AJ202" i="12"/>
  <c r="AI202" i="12"/>
  <c r="AI53" i="12"/>
  <c r="AH53" i="12"/>
  <c r="AJ53" i="12"/>
  <c r="AJ95" i="12"/>
  <c r="AI95" i="12"/>
  <c r="AH95" i="12"/>
  <c r="AI112" i="12"/>
  <c r="AH112" i="12"/>
  <c r="AH436" i="12"/>
  <c r="AI436" i="12"/>
  <c r="AJ436" i="12"/>
  <c r="AI32" i="12"/>
  <c r="AJ32" i="12"/>
  <c r="AH129" i="12"/>
  <c r="AI129" i="12"/>
  <c r="AJ129" i="12"/>
  <c r="AH276" i="12"/>
  <c r="AJ276" i="12"/>
  <c r="AI276" i="12"/>
  <c r="AI8" i="12"/>
  <c r="AI122" i="12"/>
  <c r="AI13" i="12"/>
  <c r="AJ122" i="12"/>
  <c r="AJ144" i="12"/>
  <c r="AI144" i="12"/>
  <c r="AH144" i="12"/>
  <c r="AI21" i="12"/>
  <c r="AH21" i="12"/>
  <c r="AI125" i="12"/>
  <c r="AJ125" i="12"/>
  <c r="AH125" i="12"/>
  <c r="AH135" i="12"/>
  <c r="AJ135" i="12"/>
  <c r="AH156" i="12"/>
  <c r="AH166" i="12"/>
  <c r="AI176" i="12"/>
  <c r="AJ206" i="12"/>
  <c r="AI327" i="12"/>
  <c r="AJ127" i="12"/>
  <c r="AI127" i="12"/>
  <c r="AH17" i="12"/>
  <c r="AH127" i="12"/>
  <c r="AJ137" i="12"/>
  <c r="AI137" i="12"/>
  <c r="AI373" i="12"/>
  <c r="AH373" i="12"/>
  <c r="AJ373" i="12"/>
  <c r="AJ142" i="12"/>
  <c r="AH142" i="12"/>
  <c r="AI142" i="12"/>
  <c r="AJ13" i="12"/>
  <c r="AH302" i="12"/>
  <c r="AJ302" i="12"/>
  <c r="AH327" i="12"/>
  <c r="AI453" i="12"/>
  <c r="AH453" i="12"/>
  <c r="AJ453" i="12"/>
  <c r="AH78" i="12"/>
  <c r="AI135" i="12"/>
  <c r="AI156" i="12"/>
  <c r="AI166" i="12"/>
  <c r="AJ176" i="12"/>
  <c r="AI229" i="12"/>
  <c r="AH229" i="12"/>
  <c r="AJ134" i="12"/>
  <c r="AI134" i="12"/>
  <c r="AH134" i="12"/>
  <c r="AH137" i="12"/>
  <c r="AI206" i="12"/>
  <c r="AI63" i="12"/>
  <c r="AI72" i="12"/>
  <c r="AI184" i="12"/>
  <c r="AJ184" i="12"/>
  <c r="AH184" i="12"/>
  <c r="AJ229" i="12"/>
  <c r="AH268" i="12"/>
  <c r="AJ321" i="12"/>
  <c r="AI321" i="12"/>
  <c r="AH321" i="12"/>
  <c r="AI6" i="12"/>
  <c r="AJ6" i="12"/>
  <c r="AI261" i="12"/>
  <c r="AJ261" i="12"/>
  <c r="AH261" i="12"/>
  <c r="AI529" i="12"/>
  <c r="AH529" i="12"/>
  <c r="AJ301" i="12"/>
  <c r="AI301" i="12"/>
  <c r="AH301" i="12"/>
  <c r="AI17" i="12"/>
  <c r="AI109" i="12"/>
  <c r="AJ109" i="12"/>
  <c r="AH345" i="12"/>
  <c r="AJ345" i="12"/>
  <c r="AH109" i="12"/>
  <c r="AH449" i="12"/>
  <c r="AJ449" i="12"/>
  <c r="AI449" i="12"/>
  <c r="AI33" i="12"/>
  <c r="AJ33" i="12"/>
  <c r="AH82" i="12"/>
  <c r="AI18" i="12"/>
  <c r="AJ25" i="12"/>
  <c r="AJ72" i="12"/>
  <c r="AJ78" i="12"/>
  <c r="AJ82" i="12"/>
  <c r="AH98" i="12"/>
  <c r="AI98" i="12"/>
  <c r="AJ98" i="12"/>
  <c r="AI149" i="12"/>
  <c r="AH149" i="12"/>
  <c r="AH204" i="12"/>
  <c r="AH224" i="12"/>
  <c r="AJ224" i="12"/>
  <c r="AI224" i="12"/>
  <c r="AI268" i="12"/>
  <c r="AH139" i="12"/>
  <c r="AI256" i="12"/>
  <c r="AH256" i="12"/>
  <c r="AJ529" i="12"/>
  <c r="AH59" i="12"/>
  <c r="AH63" i="12"/>
  <c r="AJ422" i="12"/>
  <c r="AI422" i="12"/>
  <c r="AI59" i="12"/>
  <c r="AJ21" i="12"/>
  <c r="AH18" i="12"/>
  <c r="AH25" i="12"/>
  <c r="AH9" i="12"/>
  <c r="AH40" i="12"/>
  <c r="AJ40" i="12"/>
  <c r="AI66" i="12"/>
  <c r="AJ66" i="12"/>
  <c r="AJ70" i="12"/>
  <c r="AI70" i="12"/>
  <c r="AH70" i="12"/>
  <c r="AI88" i="12"/>
  <c r="AH88" i="12"/>
  <c r="AJ103" i="12"/>
  <c r="AH103" i="12"/>
  <c r="AI103" i="12"/>
  <c r="AJ114" i="12"/>
  <c r="AI114" i="12"/>
  <c r="AI204" i="12"/>
  <c r="AI282" i="12"/>
  <c r="AH282" i="12"/>
  <c r="AJ322" i="12"/>
  <c r="AI322" i="12"/>
  <c r="AH322" i="12"/>
  <c r="AI362" i="12"/>
  <c r="AJ362" i="12"/>
  <c r="AH362" i="12"/>
  <c r="AJ8" i="12"/>
  <c r="AJ139" i="12"/>
  <c r="AJ22" i="12"/>
  <c r="AI22" i="12"/>
  <c r="AH74" i="12"/>
  <c r="AI74" i="12"/>
  <c r="AJ74" i="12"/>
  <c r="AI119" i="12"/>
  <c r="AJ119" i="12"/>
  <c r="AI188" i="12"/>
  <c r="AJ188" i="12"/>
  <c r="AH188" i="12"/>
  <c r="AI293" i="12"/>
  <c r="AJ293" i="12"/>
  <c r="AI567" i="12"/>
  <c r="AH567" i="12"/>
  <c r="AH43" i="12"/>
  <c r="AH47" i="12"/>
  <c r="AH77" i="12"/>
  <c r="AI84" i="12"/>
  <c r="AI91" i="12"/>
  <c r="AJ91" i="12"/>
  <c r="AJ124" i="12"/>
  <c r="AH124" i="12"/>
  <c r="AH136" i="12"/>
  <c r="AH141" i="12"/>
  <c r="AI141" i="12"/>
  <c r="AI200" i="12"/>
  <c r="AJ200" i="12"/>
  <c r="AI207" i="12"/>
  <c r="AH207" i="12"/>
  <c r="AH317" i="12"/>
  <c r="AJ317" i="12"/>
  <c r="AI317" i="12"/>
  <c r="AH5" i="12"/>
  <c r="AH11" i="12"/>
  <c r="AH16" i="12"/>
  <c r="AI24" i="12"/>
  <c r="AI43" i="12"/>
  <c r="AI47" i="12"/>
  <c r="AH50" i="12"/>
  <c r="AJ54" i="12"/>
  <c r="AI54" i="12"/>
  <c r="AH58" i="12"/>
  <c r="AH62" i="12"/>
  <c r="AI77" i="12"/>
  <c r="AJ80" i="12"/>
  <c r="AI80" i="12"/>
  <c r="AJ84" i="12"/>
  <c r="AH91" i="12"/>
  <c r="AH100" i="12"/>
  <c r="AJ116" i="12"/>
  <c r="AI116" i="12"/>
  <c r="AI124" i="12"/>
  <c r="AI136" i="12"/>
  <c r="AJ141" i="12"/>
  <c r="AJ150" i="12"/>
  <c r="AH150" i="12"/>
  <c r="AH200" i="12"/>
  <c r="AJ207" i="12"/>
  <c r="AH244" i="12"/>
  <c r="AI244" i="12"/>
  <c r="AH333" i="12"/>
  <c r="AJ366" i="12"/>
  <c r="AI366" i="12"/>
  <c r="AH366" i="12"/>
  <c r="AI180" i="12"/>
  <c r="AH180" i="12"/>
  <c r="AJ108" i="12"/>
  <c r="AH108" i="12"/>
  <c r="AH242" i="12"/>
  <c r="AI242" i="12"/>
  <c r="AH249" i="12"/>
  <c r="AJ249" i="12"/>
  <c r="AI249" i="12"/>
  <c r="AH297" i="12"/>
  <c r="AJ297" i="12"/>
  <c r="AI309" i="12"/>
  <c r="AH309" i="12"/>
  <c r="AJ318" i="12"/>
  <c r="AI318" i="12"/>
  <c r="AH318" i="12"/>
  <c r="AJ427" i="12"/>
  <c r="AI427" i="12"/>
  <c r="AH427" i="12"/>
  <c r="AI465" i="12"/>
  <c r="AH465" i="12"/>
  <c r="AJ465" i="12"/>
  <c r="AJ338" i="12"/>
  <c r="AI338" i="12"/>
  <c r="AH338" i="12"/>
  <c r="AH397" i="12"/>
  <c r="AJ397" i="12"/>
  <c r="AI397" i="12"/>
  <c r="AJ153" i="12"/>
  <c r="AI153" i="12"/>
  <c r="AH27" i="12"/>
  <c r="AH31" i="12"/>
  <c r="AH65" i="12"/>
  <c r="AI69" i="12"/>
  <c r="AH69" i="12"/>
  <c r="AI108" i="12"/>
  <c r="AI165" i="12"/>
  <c r="AJ165" i="12"/>
  <c r="AJ242" i="12"/>
  <c r="AI297" i="12"/>
  <c r="AJ309" i="12"/>
  <c r="AJ577" i="12"/>
  <c r="AI577" i="12"/>
  <c r="AI31" i="12"/>
  <c r="AJ38" i="12"/>
  <c r="AI38" i="12"/>
  <c r="AH126" i="12"/>
  <c r="AJ126" i="12"/>
  <c r="AH192" i="12"/>
  <c r="AI192" i="12"/>
  <c r="AJ252" i="12"/>
  <c r="AI252" i="12"/>
  <c r="AH252" i="12"/>
  <c r="AJ267" i="12"/>
  <c r="AH267" i="12"/>
  <c r="AI267" i="12"/>
  <c r="AH372" i="12"/>
  <c r="AJ372" i="12"/>
  <c r="AJ431" i="12"/>
  <c r="AI431" i="12"/>
  <c r="AH431" i="12"/>
  <c r="AH577" i="12"/>
  <c r="AJ640" i="12"/>
  <c r="AH640" i="12"/>
  <c r="AJ76" i="12"/>
  <c r="AI76" i="12"/>
  <c r="AJ102" i="12"/>
  <c r="AI102" i="12"/>
  <c r="AI305" i="12"/>
  <c r="AJ305" i="12"/>
  <c r="AH305" i="12"/>
  <c r="AJ381" i="12"/>
  <c r="AI381" i="12"/>
  <c r="AH381" i="12"/>
  <c r="AH404" i="12"/>
  <c r="AJ404" i="12"/>
  <c r="AH526" i="12"/>
  <c r="AJ526" i="12"/>
  <c r="AJ151" i="12"/>
  <c r="AH151" i="12"/>
  <c r="AJ181" i="12"/>
  <c r="AI181" i="12"/>
  <c r="AJ310" i="12"/>
  <c r="AI310" i="12"/>
  <c r="AH310" i="12"/>
  <c r="AJ466" i="12"/>
  <c r="AH466" i="12"/>
  <c r="AI469" i="12"/>
  <c r="AH469" i="12"/>
  <c r="AH505" i="12"/>
  <c r="AJ505" i="12"/>
  <c r="AI505" i="12"/>
  <c r="AI239" i="12"/>
  <c r="AH239" i="12"/>
  <c r="AI349" i="12"/>
  <c r="AJ349" i="12"/>
  <c r="AJ589" i="12"/>
  <c r="AI589" i="12"/>
  <c r="AH589" i="12"/>
  <c r="AI610" i="12"/>
  <c r="AJ610" i="12"/>
  <c r="AH610" i="12"/>
  <c r="AI161" i="12"/>
  <c r="AH161" i="12"/>
  <c r="AJ171" i="12"/>
  <c r="AI171" i="12"/>
  <c r="AH186" i="12"/>
  <c r="AJ230" i="12"/>
  <c r="AH230" i="12"/>
  <c r="AJ239" i="12"/>
  <c r="AI279" i="12"/>
  <c r="AH279" i="12"/>
  <c r="AJ279" i="12"/>
  <c r="AH287" i="12"/>
  <c r="AH292" i="12"/>
  <c r="AJ292" i="12"/>
  <c r="AI292" i="12"/>
  <c r="AH306" i="12"/>
  <c r="AH349" i="12"/>
  <c r="AH420" i="12"/>
  <c r="AJ420" i="12"/>
  <c r="AH154" i="12"/>
  <c r="AJ161" i="12"/>
  <c r="AH171" i="12"/>
  <c r="AJ177" i="12"/>
  <c r="AH177" i="12"/>
  <c r="AI186" i="12"/>
  <c r="AH193" i="12"/>
  <c r="AI196" i="12"/>
  <c r="AH196" i="12"/>
  <c r="AJ203" i="12"/>
  <c r="AH203" i="12"/>
  <c r="AI225" i="12"/>
  <c r="AI230" i="12"/>
  <c r="AH273" i="12"/>
  <c r="AI287" i="12"/>
  <c r="AJ299" i="12"/>
  <c r="AH299" i="12"/>
  <c r="AI306" i="12"/>
  <c r="AH334" i="12"/>
  <c r="AJ334" i="12"/>
  <c r="AI334" i="12"/>
  <c r="AH398" i="12"/>
  <c r="AJ398" i="12"/>
  <c r="AI586" i="12"/>
  <c r="AH586" i="12"/>
  <c r="AH97" i="12"/>
  <c r="AI106" i="12"/>
  <c r="AI111" i="12"/>
  <c r="AJ225" i="12"/>
  <c r="AH281" i="12"/>
  <c r="AJ281" i="12"/>
  <c r="AI281" i="12"/>
  <c r="AI299" i="12"/>
  <c r="AI398" i="12"/>
  <c r="AJ586" i="12"/>
  <c r="AI210" i="12"/>
  <c r="AH210" i="12"/>
  <c r="AJ241" i="12"/>
  <c r="AH241" i="12"/>
  <c r="AI298" i="12"/>
  <c r="AJ298" i="12"/>
  <c r="AJ416" i="12"/>
  <c r="AH416" i="12"/>
  <c r="AH479" i="12"/>
  <c r="AJ479" i="12"/>
  <c r="AI479" i="12"/>
  <c r="AI221" i="12"/>
  <c r="AH221" i="12"/>
  <c r="AH265" i="12"/>
  <c r="AI265" i="12"/>
  <c r="AI288" i="12"/>
  <c r="AH288" i="12"/>
  <c r="AJ288" i="12"/>
  <c r="AJ316" i="12"/>
  <c r="AI316" i="12"/>
  <c r="AH324" i="12"/>
  <c r="AJ324" i="12"/>
  <c r="AI324" i="12"/>
  <c r="AH340" i="12"/>
  <c r="AJ340" i="12"/>
  <c r="AH359" i="12"/>
  <c r="AJ359" i="12"/>
  <c r="AI359" i="12"/>
  <c r="AI416" i="12"/>
  <c r="AH429" i="12"/>
  <c r="AJ429" i="12"/>
  <c r="AH542" i="12"/>
  <c r="AI542" i="12"/>
  <c r="AJ673" i="12"/>
  <c r="AI673" i="12"/>
  <c r="AH673" i="12"/>
  <c r="AI218" i="12"/>
  <c r="AH218" i="12"/>
  <c r="AJ238" i="12"/>
  <c r="AH260" i="12"/>
  <c r="AI260" i="12"/>
  <c r="AJ262" i="12"/>
  <c r="AI262" i="12"/>
  <c r="AH262" i="12"/>
  <c r="AH272" i="12"/>
  <c r="AI272" i="12"/>
  <c r="AJ331" i="12"/>
  <c r="AI331" i="12"/>
  <c r="AJ390" i="12"/>
  <c r="AI390" i="12"/>
  <c r="AI426" i="12"/>
  <c r="AJ426" i="12"/>
  <c r="AH426" i="12"/>
  <c r="AI448" i="12"/>
  <c r="AJ448" i="12"/>
  <c r="AH448" i="12"/>
  <c r="AJ454" i="12"/>
  <c r="AI454" i="12"/>
  <c r="AH454" i="12"/>
  <c r="AJ495" i="12"/>
  <c r="AH495" i="12"/>
  <c r="AI495" i="12"/>
  <c r="AJ133" i="12"/>
  <c r="AJ183" i="12"/>
  <c r="AJ199" i="12"/>
  <c r="AJ209" i="12"/>
  <c r="AI209" i="12"/>
  <c r="AJ215" i="12"/>
  <c r="AI215" i="12"/>
  <c r="AI357" i="12"/>
  <c r="AH357" i="12"/>
  <c r="AH384" i="12"/>
  <c r="AJ455" i="12"/>
  <c r="AH455" i="12"/>
  <c r="AI501" i="12"/>
  <c r="AJ501" i="12"/>
  <c r="AI510" i="12"/>
  <c r="AJ510" i="12"/>
  <c r="AH580" i="12"/>
  <c r="AI580" i="12"/>
  <c r="AJ337" i="12"/>
  <c r="AH337" i="12"/>
  <c r="AJ347" i="12"/>
  <c r="AI347" i="12"/>
  <c r="AH347" i="12"/>
  <c r="AH425" i="12"/>
  <c r="AI425" i="12"/>
  <c r="AJ477" i="12"/>
  <c r="AI477" i="12"/>
  <c r="AH477" i="12"/>
  <c r="AJ580" i="12"/>
  <c r="AJ447" i="12"/>
  <c r="AI447" i="12"/>
  <c r="AH447" i="12"/>
  <c r="AI581" i="12"/>
  <c r="AH581" i="12"/>
  <c r="AJ581" i="12"/>
  <c r="AJ693" i="12"/>
  <c r="AI693" i="12"/>
  <c r="AH693" i="12"/>
  <c r="AJ197" i="12"/>
  <c r="AI197" i="12"/>
  <c r="AJ235" i="12"/>
  <c r="AI235" i="12"/>
  <c r="AJ315" i="12"/>
  <c r="AI315" i="12"/>
  <c r="AH368" i="12"/>
  <c r="AJ368" i="12"/>
  <c r="AI394" i="12"/>
  <c r="AJ394" i="12"/>
  <c r="AI410" i="12"/>
  <c r="AJ410" i="12"/>
  <c r="AH410" i="12"/>
  <c r="AH553" i="12"/>
  <c r="AJ553" i="12"/>
  <c r="AI277" i="12"/>
  <c r="AH277" i="12"/>
  <c r="AI290" i="12"/>
  <c r="AJ290" i="12"/>
  <c r="AI300" i="12"/>
  <c r="AH300" i="12"/>
  <c r="AH353" i="12"/>
  <c r="AJ353" i="12"/>
  <c r="AJ443" i="12"/>
  <c r="AH443" i="12"/>
  <c r="AI443" i="12"/>
  <c r="AH481" i="12"/>
  <c r="AJ481" i="12"/>
  <c r="AJ491" i="12"/>
  <c r="AI491" i="12"/>
  <c r="AJ494" i="12"/>
  <c r="AI494" i="12"/>
  <c r="AJ513" i="12"/>
  <c r="AI513" i="12"/>
  <c r="AH513" i="12"/>
  <c r="AJ374" i="12"/>
  <c r="AI374" i="12"/>
  <c r="AI391" i="12"/>
  <c r="AJ391" i="12"/>
  <c r="AJ411" i="12"/>
  <c r="AI411" i="12"/>
  <c r="AH411" i="12"/>
  <c r="AH415" i="12"/>
  <c r="AI415" i="12"/>
  <c r="AH445" i="12"/>
  <c r="AI445" i="12"/>
  <c r="AJ459" i="12"/>
  <c r="AI459" i="12"/>
  <c r="AI450" i="12"/>
  <c r="AJ450" i="12"/>
  <c r="AJ509" i="12"/>
  <c r="AH509" i="12"/>
  <c r="AI509" i="12"/>
  <c r="AI514" i="12"/>
  <c r="AJ514" i="12"/>
  <c r="AH556" i="12"/>
  <c r="AJ556" i="12"/>
  <c r="AI556" i="12"/>
  <c r="AJ665" i="12"/>
  <c r="AH665" i="12"/>
  <c r="AI665" i="12"/>
  <c r="AH489" i="12"/>
  <c r="AJ489" i="12"/>
  <c r="AJ498" i="12"/>
  <c r="AI498" i="12"/>
  <c r="AH498" i="12"/>
  <c r="AJ551" i="12"/>
  <c r="AI551" i="12"/>
  <c r="AI428" i="12"/>
  <c r="AJ428" i="12"/>
  <c r="AH452" i="12"/>
  <c r="AI452" i="12"/>
  <c r="AJ452" i="12"/>
  <c r="AI474" i="12"/>
  <c r="AJ474" i="12"/>
  <c r="AI489" i="12"/>
  <c r="AH551" i="12"/>
  <c r="AJ621" i="12"/>
  <c r="AH621" i="12"/>
  <c r="AI621" i="12"/>
  <c r="AH412" i="12"/>
  <c r="AI414" i="12"/>
  <c r="AH414" i="12"/>
  <c r="AH428" i="12"/>
  <c r="AH460" i="12"/>
  <c r="AH474" i="12"/>
  <c r="AJ507" i="12"/>
  <c r="AH507" i="12"/>
  <c r="AH601" i="12"/>
  <c r="AJ601" i="12"/>
  <c r="AI601" i="12"/>
  <c r="AJ711" i="12"/>
  <c r="AI711" i="12"/>
  <c r="AH711" i="12"/>
  <c r="AI412" i="12"/>
  <c r="AI437" i="12"/>
  <c r="AJ437" i="12"/>
  <c r="AI460" i="12"/>
  <c r="AH468" i="12"/>
  <c r="AJ468" i="12"/>
  <c r="AI468" i="12"/>
  <c r="AI492" i="12"/>
  <c r="AJ492" i="12"/>
  <c r="AI512" i="12"/>
  <c r="AJ512" i="12"/>
  <c r="AH521" i="12"/>
  <c r="AJ521" i="12"/>
  <c r="AI521" i="12"/>
  <c r="AH528" i="12"/>
  <c r="AJ528" i="12"/>
  <c r="AI528" i="12"/>
  <c r="AH649" i="12"/>
  <c r="AI649" i="12"/>
  <c r="AH361" i="12"/>
  <c r="AI361" i="12"/>
  <c r="AH441" i="12"/>
  <c r="AJ441" i="12"/>
  <c r="AI517" i="12"/>
  <c r="AJ517" i="12"/>
  <c r="AJ541" i="12"/>
  <c r="AI541" i="12"/>
  <c r="AH541" i="12"/>
  <c r="AH576" i="12"/>
  <c r="AJ576" i="12"/>
  <c r="AI576" i="12"/>
  <c r="AJ523" i="12"/>
  <c r="AI523" i="12"/>
  <c r="AJ546" i="12"/>
  <c r="AH546" i="12"/>
  <c r="AH548" i="12"/>
  <c r="AI548" i="12"/>
  <c r="AJ548" i="12"/>
  <c r="AI506" i="12"/>
  <c r="AJ506" i="12"/>
  <c r="AJ560" i="12"/>
  <c r="AI560" i="12"/>
  <c r="AI565" i="12"/>
  <c r="AJ565" i="12"/>
  <c r="AH565" i="12"/>
  <c r="AI622" i="12"/>
  <c r="AJ622" i="12"/>
  <c r="AI458" i="12"/>
  <c r="AH458" i="12"/>
  <c r="AH516" i="12"/>
  <c r="AI516" i="12"/>
  <c r="AI530" i="12"/>
  <c r="AJ530" i="12"/>
  <c r="AH532" i="12"/>
  <c r="AJ532" i="12"/>
  <c r="AJ534" i="12"/>
  <c r="AI534" i="12"/>
  <c r="AH534" i="12"/>
  <c r="AH622" i="12"/>
  <c r="AH627" i="12"/>
  <c r="AI627" i="12"/>
  <c r="AJ627" i="12"/>
  <c r="AH666" i="12"/>
  <c r="AI666" i="12"/>
  <c r="AH678" i="12"/>
  <c r="AI602" i="12"/>
  <c r="AJ602" i="12"/>
  <c r="AH636" i="12"/>
  <c r="AJ636" i="12"/>
  <c r="AI678" i="12"/>
  <c r="AJ518" i="12"/>
  <c r="AI518" i="12"/>
  <c r="AH442" i="12"/>
  <c r="AI473" i="12"/>
  <c r="AI487" i="12"/>
  <c r="AH490" i="12"/>
  <c r="AH518" i="12"/>
  <c r="AI538" i="12"/>
  <c r="AH538" i="12"/>
  <c r="AH575" i="12"/>
  <c r="AI592" i="12"/>
  <c r="AH592" i="12"/>
  <c r="AJ661" i="12"/>
  <c r="AI661" i="12"/>
  <c r="AJ645" i="12"/>
  <c r="AH645" i="12"/>
  <c r="AH500" i="12"/>
  <c r="AJ500" i="12"/>
  <c r="AJ539" i="12"/>
  <c r="AH539" i="12"/>
  <c r="AI570" i="12"/>
  <c r="AJ570" i="12"/>
  <c r="AJ719" i="12"/>
  <c r="AI719" i="12"/>
  <c r="AH719" i="12"/>
  <c r="AI522" i="12"/>
  <c r="AH522" i="12"/>
  <c r="AJ632" i="12"/>
  <c r="AI632" i="12"/>
  <c r="AH641" i="12"/>
  <c r="AJ641" i="12"/>
  <c r="AJ638" i="12"/>
  <c r="AH638" i="12"/>
  <c r="AI641" i="12"/>
  <c r="AJ647" i="12"/>
  <c r="AH647" i="12"/>
  <c r="AH700" i="12"/>
  <c r="AI700" i="12"/>
  <c r="AJ703" i="12"/>
  <c r="AI703" i="12"/>
  <c r="AH703" i="12"/>
  <c r="AI557" i="12"/>
  <c r="AJ557" i="12"/>
  <c r="AH629" i="12"/>
  <c r="AI638" i="12"/>
  <c r="AI647" i="12"/>
  <c r="AH659" i="12"/>
  <c r="AI659" i="12"/>
  <c r="AJ659" i="12"/>
  <c r="AJ662" i="12"/>
  <c r="AI662" i="12"/>
  <c r="AJ670" i="12"/>
  <c r="AH670" i="12"/>
  <c r="AJ688" i="12"/>
  <c r="AH688" i="12"/>
  <c r="AJ700" i="12"/>
  <c r="AH470" i="12"/>
  <c r="AI484" i="12"/>
  <c r="AI524" i="12"/>
  <c r="AH557" i="12"/>
  <c r="AJ594" i="12"/>
  <c r="AI594" i="12"/>
  <c r="AI599" i="12"/>
  <c r="AJ604" i="12"/>
  <c r="AI604" i="12"/>
  <c r="AH613" i="12"/>
  <c r="AI629" i="12"/>
  <c r="AH643" i="12"/>
  <c r="AJ643" i="12"/>
  <c r="AH662" i="12"/>
  <c r="AI670" i="12"/>
  <c r="AI688" i="12"/>
  <c r="AJ619" i="12"/>
  <c r="AH619" i="12"/>
  <c r="AJ702" i="12"/>
  <c r="AI702" i="12"/>
  <c r="AJ615" i="12"/>
  <c r="AH615" i="12"/>
  <c r="AH633" i="12"/>
  <c r="AI633" i="12"/>
  <c r="AI644" i="12"/>
  <c r="AH644" i="12"/>
  <c r="AH652" i="12"/>
  <c r="AI652" i="12"/>
  <c r="AJ682" i="12"/>
  <c r="AH682" i="12"/>
  <c r="AH545" i="12"/>
  <c r="AH569" i="12"/>
  <c r="AI569" i="12"/>
  <c r="AI648" i="12"/>
  <c r="AH654" i="12"/>
  <c r="AH691" i="12"/>
  <c r="AI691" i="12"/>
  <c r="AJ696" i="12"/>
  <c r="AI696" i="12"/>
  <c r="AH696" i="12"/>
  <c r="AJ704" i="12"/>
  <c r="AI704" i="12"/>
  <c r="AJ691" i="12"/>
  <c r="AH704" i="12"/>
  <c r="AH668" i="12"/>
  <c r="AJ668" i="12"/>
  <c r="AH724" i="12"/>
  <c r="AI685" i="12"/>
  <c r="AJ685" i="12"/>
  <c r="AI710" i="12"/>
  <c r="AJ727" i="12"/>
  <c r="AI727" i="12"/>
  <c r="AH727" i="12"/>
  <c r="AJ650" i="12"/>
  <c r="AI650" i="12"/>
  <c r="AH685" i="12"/>
  <c r="AI708" i="12"/>
  <c r="AJ708" i="12"/>
  <c r="AH708" i="12"/>
  <c r="AJ634" i="12"/>
  <c r="AH634" i="12"/>
  <c r="AH684" i="12"/>
  <c r="AJ684" i="12"/>
  <c r="AJ714" i="12"/>
  <c r="AI714" i="12"/>
  <c r="AI684" i="12"/>
  <c r="AH709" i="12"/>
  <c r="AH714" i="12"/>
  <c r="AI723" i="12"/>
  <c r="AI653" i="12"/>
  <c r="AJ653" i="12"/>
  <c r="AJ723" i="12"/>
  <c r="AI689" i="12"/>
  <c r="AH689" i="12"/>
  <c r="AH660" i="12"/>
  <c r="AI663" i="12"/>
  <c r="AH677" i="12"/>
  <c r="AH695" i="12"/>
  <c r="AH713" i="12"/>
  <c r="AH726" i="12"/>
  <c r="AI726" i="12"/>
  <c r="AJ628" i="12"/>
  <c r="AJ701" i="12"/>
  <c r="AI707" i="12"/>
  <c r="AJ718" i="12"/>
  <c r="AI718" i="12"/>
  <c r="AH718" i="12"/>
  <c r="AJ707" i="12"/>
  <c r="AH717" i="12"/>
  <c r="S86" i="12"/>
  <c r="R86" i="12"/>
  <c r="L88" i="12"/>
  <c r="M88" i="12"/>
  <c r="K88" i="12"/>
  <c r="J88" i="12"/>
  <c r="AC91" i="12"/>
  <c r="AB91" i="12"/>
  <c r="AA91" i="12"/>
  <c r="Z91" i="12"/>
  <c r="AE91" i="12"/>
  <c r="AD91" i="12"/>
  <c r="Z78" i="12"/>
  <c r="AC87" i="12"/>
  <c r="AB87" i="12"/>
  <c r="AA87" i="12"/>
  <c r="Z87" i="12"/>
  <c r="AD87" i="12"/>
  <c r="AE87" i="12"/>
  <c r="AD88" i="12"/>
  <c r="AC88" i="12"/>
  <c r="AB88" i="12"/>
  <c r="AA88" i="12"/>
  <c r="AE88" i="12"/>
  <c r="Z88" i="12"/>
  <c r="AD90" i="12"/>
  <c r="AC90" i="12"/>
  <c r="AB90" i="12"/>
  <c r="AA90" i="12"/>
  <c r="Z90" i="12"/>
  <c r="AE90" i="12"/>
  <c r="AD92" i="12"/>
  <c r="AC92" i="12"/>
  <c r="AB92" i="12"/>
  <c r="AA92" i="12"/>
  <c r="AE92" i="12"/>
  <c r="Z92" i="12"/>
  <c r="AD94" i="12"/>
  <c r="AC94" i="12"/>
  <c r="AB94" i="12"/>
  <c r="AA94" i="12"/>
  <c r="AE94" i="12"/>
  <c r="Z94" i="12"/>
  <c r="Z81" i="12"/>
  <c r="AD82" i="12"/>
  <c r="AC82" i="12"/>
  <c r="AB82" i="12"/>
  <c r="AA82" i="12"/>
  <c r="Z82" i="12"/>
  <c r="AE82" i="12"/>
  <c r="AC83" i="12"/>
  <c r="AB83" i="12"/>
  <c r="AA83" i="12"/>
  <c r="Z83" i="12"/>
  <c r="AE83" i="12"/>
  <c r="AD83" i="12"/>
  <c r="AD98" i="12"/>
  <c r="AC98" i="12"/>
  <c r="AB98" i="12"/>
  <c r="AA98" i="12"/>
  <c r="AE98" i="12"/>
  <c r="Z98" i="12"/>
  <c r="Z68" i="12"/>
  <c r="AD84" i="12"/>
  <c r="AC84" i="12"/>
  <c r="AB84" i="12"/>
  <c r="AA84" i="12"/>
  <c r="AE84" i="12"/>
  <c r="Z84" i="12"/>
  <c r="Z71" i="12"/>
  <c r="AC89" i="12"/>
  <c r="AB89" i="12"/>
  <c r="AA89" i="12"/>
  <c r="Z89" i="12"/>
  <c r="AD89" i="12"/>
  <c r="AE89" i="12"/>
  <c r="Z75" i="12"/>
  <c r="Z77" i="12"/>
  <c r="AA63" i="12"/>
  <c r="AD100" i="12"/>
  <c r="AC100" i="12"/>
  <c r="AB100" i="12"/>
  <c r="AA100" i="12"/>
  <c r="Z100" i="12"/>
  <c r="AE100" i="12"/>
  <c r="Z72" i="12"/>
  <c r="Z74" i="12"/>
  <c r="Z76" i="12"/>
  <c r="AE93" i="12"/>
  <c r="AD93" i="12"/>
  <c r="AC93" i="12"/>
  <c r="AB93" i="12"/>
  <c r="AA93" i="12"/>
  <c r="Z93" i="12"/>
  <c r="Z79" i="12"/>
  <c r="Z80" i="12"/>
  <c r="AD96" i="12"/>
  <c r="AC96" i="12"/>
  <c r="AB96" i="12"/>
  <c r="AA96" i="12"/>
  <c r="Z96" i="12"/>
  <c r="AE96" i="12"/>
  <c r="Z66" i="12"/>
  <c r="AC85" i="12"/>
  <c r="AB85" i="12"/>
  <c r="AA85" i="12"/>
  <c r="Z85" i="12"/>
  <c r="AE85" i="12"/>
  <c r="AD85" i="12"/>
  <c r="Z70" i="12"/>
  <c r="AD86" i="12"/>
  <c r="AC86" i="12"/>
  <c r="AB86" i="12"/>
  <c r="AA86" i="12"/>
  <c r="Z86" i="12"/>
  <c r="AE86" i="12"/>
  <c r="AE95" i="12"/>
  <c r="AD95" i="12"/>
  <c r="AC95" i="12"/>
  <c r="AB95" i="12"/>
  <c r="AA95" i="12"/>
  <c r="Z95" i="12"/>
  <c r="AE97" i="12"/>
  <c r="AD97" i="12"/>
  <c r="AC97" i="12"/>
  <c r="AB97" i="12"/>
  <c r="AA97" i="12"/>
  <c r="Z97" i="12"/>
  <c r="AE99" i="12"/>
  <c r="AD99" i="12"/>
  <c r="AC99" i="12"/>
  <c r="AB99" i="12"/>
  <c r="AA99" i="12"/>
  <c r="Z99" i="12"/>
  <c r="AE101" i="12"/>
  <c r="AD101" i="12"/>
  <c r="AC101" i="12"/>
  <c r="AB101" i="12"/>
  <c r="AA101" i="12"/>
  <c r="Z101" i="12"/>
  <c r="Z62" i="12"/>
  <c r="W90" i="12"/>
  <c r="V90" i="12"/>
  <c r="U90" i="12"/>
  <c r="T90" i="12"/>
  <c r="S90" i="12"/>
  <c r="R90" i="12"/>
  <c r="R78" i="12"/>
  <c r="W88" i="12"/>
  <c r="V88" i="12"/>
  <c r="U88" i="12"/>
  <c r="T88" i="12"/>
  <c r="S88" i="12"/>
  <c r="R88" i="12"/>
  <c r="W92" i="12"/>
  <c r="V92" i="12"/>
  <c r="U92" i="12"/>
  <c r="T92" i="12"/>
  <c r="S92" i="12"/>
  <c r="R92" i="12"/>
  <c r="W94" i="12"/>
  <c r="V94" i="12"/>
  <c r="U94" i="12"/>
  <c r="T94" i="12"/>
  <c r="S94" i="12"/>
  <c r="R94" i="12"/>
  <c r="W84" i="12"/>
  <c r="V84" i="12"/>
  <c r="U84" i="12"/>
  <c r="T84" i="12"/>
  <c r="S84" i="12"/>
  <c r="R84" i="12"/>
  <c r="W98" i="12"/>
  <c r="V98" i="12"/>
  <c r="U98" i="12"/>
  <c r="T98" i="12"/>
  <c r="S98" i="12"/>
  <c r="R98" i="12"/>
  <c r="W100" i="12"/>
  <c r="V100" i="12"/>
  <c r="U100" i="12"/>
  <c r="T100" i="12"/>
  <c r="S100" i="12"/>
  <c r="R100" i="12"/>
  <c r="W87" i="12"/>
  <c r="U87" i="12"/>
  <c r="V87" i="12"/>
  <c r="T87" i="12"/>
  <c r="R87" i="12"/>
  <c r="S87" i="12"/>
  <c r="R75" i="12"/>
  <c r="R81" i="12"/>
  <c r="W95" i="12"/>
  <c r="U95" i="12"/>
  <c r="S95" i="12"/>
  <c r="R95" i="12"/>
  <c r="V95" i="12"/>
  <c r="T95" i="12"/>
  <c r="W89" i="12"/>
  <c r="S89" i="12"/>
  <c r="R89" i="12"/>
  <c r="V89" i="12"/>
  <c r="T89" i="12"/>
  <c r="U89" i="12"/>
  <c r="W91" i="12"/>
  <c r="U91" i="12"/>
  <c r="S91" i="12"/>
  <c r="R91" i="12"/>
  <c r="V91" i="12"/>
  <c r="T91" i="12"/>
  <c r="W99" i="12"/>
  <c r="U99" i="12"/>
  <c r="V99" i="12"/>
  <c r="T99" i="12"/>
  <c r="S99" i="12"/>
  <c r="R99" i="12"/>
  <c r="W96" i="12"/>
  <c r="V96" i="12"/>
  <c r="U96" i="12"/>
  <c r="T96" i="12"/>
  <c r="S96" i="12"/>
  <c r="R76" i="12"/>
  <c r="R82" i="12"/>
  <c r="W97" i="12"/>
  <c r="S97" i="12"/>
  <c r="R97" i="12"/>
  <c r="V97" i="12"/>
  <c r="U97" i="12"/>
  <c r="T97" i="12"/>
  <c r="R77" i="12"/>
  <c r="R79" i="12"/>
  <c r="W85" i="12"/>
  <c r="U85" i="12"/>
  <c r="S85" i="12"/>
  <c r="R85" i="12"/>
  <c r="V85" i="12"/>
  <c r="T85" i="12"/>
  <c r="W82" i="12"/>
  <c r="V82" i="12"/>
  <c r="U82" i="12"/>
  <c r="T82" i="12"/>
  <c r="W83" i="12"/>
  <c r="U83" i="12"/>
  <c r="R83" i="12"/>
  <c r="V83" i="12"/>
  <c r="T83" i="12"/>
  <c r="S83" i="12"/>
  <c r="W86" i="12"/>
  <c r="V86" i="12"/>
  <c r="U86" i="12"/>
  <c r="T86" i="12"/>
  <c r="W93" i="12"/>
  <c r="U93" i="12"/>
  <c r="S93" i="12"/>
  <c r="V93" i="12"/>
  <c r="T93" i="12"/>
  <c r="R93" i="12"/>
  <c r="W101" i="12"/>
  <c r="S101" i="12"/>
  <c r="R101" i="12"/>
  <c r="V101" i="12"/>
  <c r="T101" i="12"/>
  <c r="U101" i="12"/>
  <c r="O90" i="12"/>
  <c r="N90" i="12"/>
  <c r="M90" i="12"/>
  <c r="L90" i="12"/>
  <c r="K90" i="12"/>
  <c r="J90" i="12"/>
  <c r="O82" i="12"/>
  <c r="N82" i="12"/>
  <c r="J82" i="12"/>
  <c r="M82" i="12"/>
  <c r="K82" i="12"/>
  <c r="L82" i="12"/>
  <c r="N84" i="12"/>
  <c r="O84" i="12"/>
  <c r="L84" i="12"/>
  <c r="J84" i="12"/>
  <c r="M84" i="12"/>
  <c r="K84" i="12"/>
  <c r="J78" i="12"/>
  <c r="J80" i="12"/>
  <c r="N94" i="12"/>
  <c r="O94" i="12"/>
  <c r="M94" i="12"/>
  <c r="K94" i="12"/>
  <c r="L94" i="12"/>
  <c r="J94" i="12"/>
  <c r="O96" i="12"/>
  <c r="M96" i="12"/>
  <c r="J96" i="12"/>
  <c r="N96" i="12"/>
  <c r="L96" i="12"/>
  <c r="K96" i="12"/>
  <c r="O86" i="12"/>
  <c r="N86" i="12"/>
  <c r="L86" i="12"/>
  <c r="M86" i="12"/>
  <c r="K86" i="12"/>
  <c r="J86" i="12"/>
  <c r="N100" i="12"/>
  <c r="O100" i="12"/>
  <c r="M100" i="12"/>
  <c r="L100" i="12"/>
  <c r="K100" i="12"/>
  <c r="J100" i="12"/>
  <c r="J76" i="12"/>
  <c r="O92" i="12"/>
  <c r="N92" i="12"/>
  <c r="K92" i="12"/>
  <c r="J92" i="12"/>
  <c r="M92" i="12"/>
  <c r="L92" i="12"/>
  <c r="O98" i="12"/>
  <c r="N98" i="12"/>
  <c r="M98" i="12"/>
  <c r="K98" i="12"/>
  <c r="L98" i="12"/>
  <c r="J98" i="12"/>
  <c r="O89" i="12"/>
  <c r="J89" i="12"/>
  <c r="N89" i="12"/>
  <c r="M89" i="12"/>
  <c r="L89" i="12"/>
  <c r="K89" i="12"/>
  <c r="J79" i="12"/>
  <c r="O97" i="12"/>
  <c r="N97" i="12"/>
  <c r="M97" i="12"/>
  <c r="L97" i="12"/>
  <c r="K97" i="12"/>
  <c r="J97" i="12"/>
  <c r="O93" i="12"/>
  <c r="J93" i="12"/>
  <c r="N93" i="12"/>
  <c r="M93" i="12"/>
  <c r="L93" i="12"/>
  <c r="K93" i="12"/>
  <c r="K63" i="12"/>
  <c r="J75" i="12"/>
  <c r="O85" i="12"/>
  <c r="J85" i="12"/>
  <c r="N85" i="12"/>
  <c r="M85" i="12"/>
  <c r="L85" i="12"/>
  <c r="K85" i="12"/>
  <c r="J81" i="12"/>
  <c r="O99" i="12"/>
  <c r="L99" i="12"/>
  <c r="J99" i="12"/>
  <c r="N99" i="12"/>
  <c r="M99" i="12"/>
  <c r="K99" i="12"/>
  <c r="O95" i="12"/>
  <c r="M95" i="12"/>
  <c r="L95" i="12"/>
  <c r="K95" i="12"/>
  <c r="J95" i="12"/>
  <c r="N95" i="12"/>
  <c r="J77" i="12"/>
  <c r="O91" i="12"/>
  <c r="M91" i="12"/>
  <c r="L91" i="12"/>
  <c r="K91" i="12"/>
  <c r="N91" i="12"/>
  <c r="J91" i="12"/>
  <c r="O87" i="12"/>
  <c r="M87" i="12"/>
  <c r="L87" i="12"/>
  <c r="K87" i="12"/>
  <c r="N87" i="12"/>
  <c r="J87" i="12"/>
  <c r="K62" i="12"/>
  <c r="O83" i="12"/>
  <c r="M83" i="12"/>
  <c r="L83" i="12"/>
  <c r="K83" i="12"/>
  <c r="N83" i="12"/>
  <c r="J83" i="12"/>
  <c r="N88" i="12"/>
  <c r="O88" i="12"/>
  <c r="O101" i="12"/>
  <c r="M101" i="12"/>
  <c r="K101" i="12"/>
  <c r="N101" i="12"/>
  <c r="L101" i="12"/>
  <c r="J101" i="12"/>
  <c r="B26" i="5" a="1"/>
  <c r="B11" i="7"/>
  <c r="B13" i="7" s="1"/>
  <c r="B8" i="11"/>
  <c r="AD4" i="11"/>
  <c r="AD3" i="11"/>
  <c r="B6" i="11"/>
  <c r="F18" i="11"/>
  <c r="F6" i="11"/>
  <c r="F11" i="11" s="1"/>
  <c r="B4" i="11"/>
  <c r="B29" i="8"/>
  <c r="D21" i="14"/>
  <c r="E21" i="14"/>
  <c r="F21" i="14"/>
  <c r="G21" i="14"/>
  <c r="H21" i="14"/>
  <c r="I21" i="14"/>
  <c r="J21" i="14"/>
  <c r="K21" i="14"/>
  <c r="L21" i="14"/>
  <c r="M21" i="14"/>
  <c r="N21" i="14"/>
  <c r="O21" i="14"/>
  <c r="P21" i="14"/>
  <c r="Q21" i="14"/>
  <c r="R21" i="14"/>
  <c r="S21" i="14"/>
  <c r="T21" i="14"/>
  <c r="U21" i="14"/>
  <c r="V21" i="14"/>
  <c r="W21" i="14"/>
  <c r="X21" i="14"/>
  <c r="Y21" i="14"/>
  <c r="Z21" i="14"/>
  <c r="AA21" i="14"/>
  <c r="AB21" i="14"/>
  <c r="AC21" i="14"/>
  <c r="AD21" i="14"/>
  <c r="AE21" i="14"/>
  <c r="AF21" i="14"/>
  <c r="BB6" i="14"/>
  <c r="BB5" i="14"/>
  <c r="BB4" i="14"/>
  <c r="AB4" i="4"/>
  <c r="B28" i="12"/>
  <c r="Z73" i="12" s="1"/>
  <c r="B9" i="12"/>
  <c r="B29" i="12" s="1"/>
  <c r="B7" i="9"/>
  <c r="B9" i="9" s="1"/>
  <c r="B8" i="8"/>
  <c r="B23" i="6"/>
  <c r="B22" i="6"/>
  <c r="B17" i="6"/>
  <c r="C17" i="6" s="1"/>
  <c r="C10" i="6"/>
  <c r="C9" i="6"/>
  <c r="C8" i="6"/>
  <c r="F8" i="6" s="1"/>
  <c r="C7" i="6"/>
  <c r="F7" i="6" s="1"/>
  <c r="C6" i="6"/>
  <c r="F6" i="6" s="1"/>
  <c r="C5" i="6"/>
  <c r="F5" i="6" s="1"/>
  <c r="J8" i="7"/>
  <c r="I8" i="7"/>
  <c r="H8" i="7"/>
  <c r="G8" i="7"/>
  <c r="E8" i="7"/>
  <c r="D8" i="7"/>
  <c r="C8" i="7"/>
  <c r="J7" i="7"/>
  <c r="I7" i="7"/>
  <c r="H7" i="7"/>
  <c r="G7" i="7"/>
  <c r="E7" i="7"/>
  <c r="D7" i="7"/>
  <c r="C7" i="7"/>
  <c r="J6" i="7"/>
  <c r="I6" i="7"/>
  <c r="H6" i="7"/>
  <c r="G6" i="7"/>
  <c r="E6" i="7"/>
  <c r="D6" i="7"/>
  <c r="C6" i="7"/>
  <c r="J5" i="7"/>
  <c r="I5" i="7"/>
  <c r="H5" i="7"/>
  <c r="G5" i="7"/>
  <c r="E5" i="7"/>
  <c r="D5" i="7"/>
  <c r="C5" i="7"/>
  <c r="B29" i="5" a="1"/>
  <c r="B28" i="5" a="1"/>
  <c r="B27" i="5" a="1"/>
  <c r="B4" i="5" a="1"/>
  <c r="AA21" i="4"/>
  <c r="AA26" i="4"/>
  <c r="Z4" i="4"/>
  <c r="Z15" i="4"/>
  <c r="Z16" i="4"/>
  <c r="Z17" i="4"/>
  <c r="Z18" i="4"/>
  <c r="Z19" i="4"/>
  <c r="Z20" i="4"/>
  <c r="Z21" i="4"/>
  <c r="Z22" i="4"/>
  <c r="Z23" i="4"/>
  <c r="Z24" i="4"/>
  <c r="Z25" i="4"/>
  <c r="Z26" i="4"/>
  <c r="Z27" i="4"/>
  <c r="Z28" i="4"/>
  <c r="S4" i="4"/>
  <c r="S15" i="4"/>
  <c r="S16" i="4"/>
  <c r="S17" i="4"/>
  <c r="S18" i="4"/>
  <c r="S19" i="4"/>
  <c r="S20" i="4"/>
  <c r="S21" i="4"/>
  <c r="S22" i="4"/>
  <c r="S23" i="4"/>
  <c r="S24" i="4"/>
  <c r="S25" i="4"/>
  <c r="S26" i="4"/>
  <c r="S27" i="4"/>
  <c r="S28" i="4"/>
  <c r="R24" i="4"/>
  <c r="Q20" i="4"/>
  <c r="Q21" i="4"/>
  <c r="P17" i="4"/>
  <c r="R17" i="4" s="1"/>
  <c r="P27" i="4"/>
  <c r="R27" i="4" s="1"/>
  <c r="O4" i="4"/>
  <c r="O16" i="4"/>
  <c r="O17" i="4"/>
  <c r="O21" i="4"/>
  <c r="O25" i="4"/>
  <c r="N4" i="4"/>
  <c r="N23" i="4"/>
  <c r="N25" i="4"/>
  <c r="N26" i="4"/>
  <c r="N27" i="4"/>
  <c r="N28" i="4"/>
  <c r="M22" i="4"/>
  <c r="M24" i="4"/>
  <c r="M25" i="4"/>
  <c r="M26" i="4"/>
  <c r="L21" i="4"/>
  <c r="L23" i="4"/>
  <c r="L24" i="4"/>
  <c r="L25" i="4"/>
  <c r="L26" i="4"/>
  <c r="L27" i="4"/>
  <c r="L28" i="4"/>
  <c r="K4" i="4"/>
  <c r="Q19" i="4"/>
  <c r="K15" i="4"/>
  <c r="K16" i="4"/>
  <c r="K17" i="4"/>
  <c r="K18" i="4"/>
  <c r="P18" i="4" s="1"/>
  <c r="R18" i="4" s="1"/>
  <c r="K19" i="4"/>
  <c r="K20" i="4"/>
  <c r="P21" i="4" s="1"/>
  <c r="R21" i="4" s="1"/>
  <c r="K21" i="4"/>
  <c r="N21" i="4" s="1"/>
  <c r="K22" i="4"/>
  <c r="AA22" i="4" s="1"/>
  <c r="K23" i="4"/>
  <c r="AA23" i="4" s="1"/>
  <c r="K24" i="4"/>
  <c r="P24" i="4" s="1"/>
  <c r="K25" i="4"/>
  <c r="AA25" i="4" s="1"/>
  <c r="K26" i="4"/>
  <c r="K27" i="4"/>
  <c r="K28" i="4"/>
  <c r="AA28" i="4" s="1"/>
  <c r="F18" i="3"/>
  <c r="F17" i="3"/>
  <c r="F16" i="3"/>
  <c r="F15" i="3"/>
  <c r="F14" i="3"/>
  <c r="F13" i="3"/>
  <c r="B24" i="2"/>
  <c r="F5" i="7"/>
  <c r="Q22" i="4" l="1"/>
  <c r="Q17" i="4"/>
  <c r="AH31" i="14"/>
  <c r="AI31" i="14"/>
  <c r="AI104" i="14"/>
  <c r="AI83" i="14" a="1"/>
  <c r="AI83" i="14" s="1"/>
  <c r="AH104" i="14"/>
  <c r="AH83" i="14" a="1"/>
  <c r="AH83" i="14" s="1"/>
  <c r="Q26" i="4"/>
  <c r="P19" i="4"/>
  <c r="R19" i="4" s="1"/>
  <c r="P20" i="4"/>
  <c r="R20" i="4" s="1"/>
  <c r="AA20" i="4"/>
  <c r="L20" i="4"/>
  <c r="O20" i="4"/>
  <c r="N20" i="4"/>
  <c r="M20" i="4"/>
  <c r="L19" i="4"/>
  <c r="AA19" i="4"/>
  <c r="O19" i="4"/>
  <c r="N19" i="4"/>
  <c r="M19" i="4"/>
  <c r="AA17" i="4"/>
  <c r="N17" i="4"/>
  <c r="M17" i="4"/>
  <c r="L17" i="4"/>
  <c r="N18" i="4"/>
  <c r="AA18" i="4"/>
  <c r="M18" i="4"/>
  <c r="L18" i="4"/>
  <c r="Q18" i="4"/>
  <c r="O15" i="4"/>
  <c r="M15" i="4"/>
  <c r="L15" i="4"/>
  <c r="AA15" i="4"/>
  <c r="N15" i="4"/>
  <c r="P15" i="4"/>
  <c r="R15" i="4" s="1"/>
  <c r="O18" i="4"/>
  <c r="AA16" i="4"/>
  <c r="P16" i="4"/>
  <c r="R16" i="4" s="1"/>
  <c r="M28" i="4"/>
  <c r="Q27" i="4"/>
  <c r="O27" i="4"/>
  <c r="M27" i="4"/>
  <c r="AA27" i="4"/>
  <c r="M21" i="4"/>
  <c r="N24" i="4"/>
  <c r="O26" i="4"/>
  <c r="AA24" i="4"/>
  <c r="L16" i="4"/>
  <c r="O24" i="4"/>
  <c r="P28" i="4"/>
  <c r="R28" i="4" s="1"/>
  <c r="AH9" i="14"/>
  <c r="O22" i="4"/>
  <c r="Q28" i="4"/>
  <c r="P23" i="4"/>
  <c r="R23" i="4" s="1"/>
  <c r="Q23" i="4"/>
  <c r="O23" i="4"/>
  <c r="M23" i="4"/>
  <c r="P26" i="4"/>
  <c r="R26" i="4" s="1"/>
  <c r="O28" i="4"/>
  <c r="L22" i="4"/>
  <c r="N22" i="4"/>
  <c r="M16" i="4"/>
  <c r="N16" i="4"/>
  <c r="P25" i="4"/>
  <c r="R25" i="4" s="1"/>
  <c r="Q25" i="4"/>
  <c r="P22" i="4"/>
  <c r="R22" i="4" s="1"/>
  <c r="Q24" i="4"/>
  <c r="AJ15" i="14"/>
  <c r="AK4" i="14"/>
  <c r="AJ8" i="14"/>
  <c r="AI9" i="14"/>
  <c r="AB62" i="12"/>
  <c r="Z64" i="12"/>
  <c r="Z69" i="12"/>
  <c r="Z65" i="12"/>
  <c r="Z63" i="12"/>
  <c r="AB63" i="12" s="1"/>
  <c r="Z67" i="12"/>
  <c r="B7" i="5" a="1"/>
  <c r="B22" i="11"/>
  <c r="BB39" i="14" s="1"/>
  <c r="B21" i="11"/>
  <c r="B19" i="11"/>
  <c r="BB16" i="14" s="1"/>
  <c r="B18" i="11"/>
  <c r="BB15" i="14" s="1"/>
  <c r="B16" i="11"/>
  <c r="B17" i="11" s="1"/>
  <c r="B15" i="11"/>
  <c r="B14" i="11"/>
  <c r="B13" i="11"/>
  <c r="B12" i="11"/>
  <c r="B10" i="11"/>
  <c r="B20" i="11"/>
  <c r="BB14" i="14" s="1"/>
  <c r="B11" i="11"/>
  <c r="F10" i="6"/>
  <c r="F9" i="6"/>
  <c r="F11" i="6" s="1"/>
  <c r="C15" i="6" s="1"/>
  <c r="AC24" i="11"/>
  <c r="AC17" i="11"/>
  <c r="AC22" i="11"/>
  <c r="AC40" i="11"/>
  <c r="AC45" i="11"/>
  <c r="AC18" i="11"/>
  <c r="AC19" i="11"/>
  <c r="AC25" i="11"/>
  <c r="AC41" i="11"/>
  <c r="AC44" i="11"/>
  <c r="AC47" i="11"/>
  <c r="AC23" i="11"/>
  <c r="AC43" i="11"/>
  <c r="AC21" i="11"/>
  <c r="AC42" i="11"/>
  <c r="AC20" i="11"/>
  <c r="F15" i="14"/>
  <c r="F31" i="14" s="1"/>
  <c r="E15" i="14"/>
  <c r="E31" i="14" s="1"/>
  <c r="D15" i="14"/>
  <c r="B12" i="9"/>
  <c r="U15" i="14"/>
  <c r="U31" i="14" s="1"/>
  <c r="T15" i="14"/>
  <c r="T31" i="14" s="1"/>
  <c r="S15" i="14"/>
  <c r="S31" i="14" s="1"/>
  <c r="R15" i="14"/>
  <c r="R31" i="14" s="1"/>
  <c r="L15" i="14"/>
  <c r="L31" i="14" s="1"/>
  <c r="J15" i="14"/>
  <c r="J31" i="14" s="1"/>
  <c r="H15" i="14"/>
  <c r="H31" i="14" s="1"/>
  <c r="Q15" i="14"/>
  <c r="Q31" i="14" s="1"/>
  <c r="P15" i="14"/>
  <c r="P31" i="14" s="1"/>
  <c r="O15" i="14"/>
  <c r="O31" i="14" s="1"/>
  <c r="N15" i="14"/>
  <c r="N31" i="14" s="1"/>
  <c r="M15" i="14"/>
  <c r="M31" i="14" s="1"/>
  <c r="K15" i="14"/>
  <c r="K31" i="14" s="1"/>
  <c r="I15" i="14"/>
  <c r="I31" i="14" s="1"/>
  <c r="G15" i="14"/>
  <c r="G31" i="14" s="1"/>
  <c r="AC15" i="11"/>
  <c r="AC57" i="11"/>
  <c r="AC35" i="11"/>
  <c r="AC13" i="11"/>
  <c r="AC16" i="11"/>
  <c r="AD5" i="11"/>
  <c r="AC36" i="11"/>
  <c r="AC56" i="11"/>
  <c r="AC34" i="11"/>
  <c r="AC12" i="11"/>
  <c r="AC55" i="11"/>
  <c r="AC33" i="11"/>
  <c r="AC11" i="11"/>
  <c r="AC39" i="11"/>
  <c r="AC38" i="11"/>
  <c r="AC14" i="11"/>
  <c r="AC54" i="11"/>
  <c r="AC32" i="11"/>
  <c r="AC10" i="11"/>
  <c r="AC53" i="11"/>
  <c r="AC31" i="11"/>
  <c r="AC9" i="11"/>
  <c r="AC52" i="11"/>
  <c r="AC30" i="11"/>
  <c r="AC37" i="11"/>
  <c r="AC51" i="11"/>
  <c r="AC29" i="11"/>
  <c r="AC50" i="11"/>
  <c r="AC28" i="11"/>
  <c r="AC58" i="11"/>
  <c r="BB9" i="14"/>
  <c r="AC49" i="11"/>
  <c r="AC27" i="11"/>
  <c r="AC48" i="11"/>
  <c r="AC26" i="11"/>
  <c r="AC46" i="11"/>
  <c r="F9" i="11"/>
  <c r="F12" i="11" s="1"/>
  <c r="B16" i="6"/>
  <c r="C16" i="6" s="1"/>
  <c r="B8" i="12"/>
  <c r="B12" i="7"/>
  <c r="B25" i="5" a="1"/>
  <c r="B16" i="5" a="1"/>
  <c r="AC4" i="4"/>
  <c r="AA4" i="4"/>
  <c r="C11" i="6"/>
  <c r="B8" i="9"/>
  <c r="B21" i="6"/>
  <c r="F8" i="7"/>
  <c r="F7" i="7"/>
  <c r="F6" i="7"/>
  <c r="B15" i="5" l="1" a="1"/>
  <c r="D31" i="14"/>
  <c r="D104" i="14"/>
  <c r="D83" i="14" a="1"/>
  <c r="D83" i="14" s="1"/>
  <c r="D105" i="14"/>
  <c r="D106" i="14"/>
  <c r="D107" i="14"/>
  <c r="AJ31" i="14"/>
  <c r="H9" i="14"/>
  <c r="H107" i="14"/>
  <c r="H106" i="14"/>
  <c r="H105" i="14"/>
  <c r="H104" i="14"/>
  <c r="H83" i="14" a="1"/>
  <c r="H83" i="14" s="1"/>
  <c r="O9" i="14"/>
  <c r="O106" i="14"/>
  <c r="O104" i="14"/>
  <c r="O107" i="14"/>
  <c r="O105" i="14"/>
  <c r="O83" i="14" a="1"/>
  <c r="O83" i="14" s="1"/>
  <c r="Q9" i="14"/>
  <c r="Q107" i="14"/>
  <c r="Q106" i="14"/>
  <c r="Q105" i="14"/>
  <c r="Q104" i="14"/>
  <c r="Q83" i="14" a="1"/>
  <c r="Q83" i="14" s="1"/>
  <c r="R9" i="14"/>
  <c r="R83" i="14" a="1"/>
  <c r="R83" i="14" s="1"/>
  <c r="R107" i="14"/>
  <c r="R106" i="14"/>
  <c r="R104" i="14"/>
  <c r="R105" i="14"/>
  <c r="J9" i="14"/>
  <c r="J83" i="14" a="1"/>
  <c r="J83" i="14" s="1"/>
  <c r="J107" i="14"/>
  <c r="J106" i="14"/>
  <c r="J105" i="14"/>
  <c r="J104" i="14"/>
  <c r="P9" i="14"/>
  <c r="P107" i="14"/>
  <c r="P106" i="14"/>
  <c r="P105" i="14"/>
  <c r="P104" i="14"/>
  <c r="P83" i="14" a="1"/>
  <c r="P83" i="14" s="1"/>
  <c r="S9" i="14"/>
  <c r="S107" i="14"/>
  <c r="S106" i="14"/>
  <c r="S105" i="14"/>
  <c r="S104" i="14"/>
  <c r="S83" i="14" a="1"/>
  <c r="S83" i="14" s="1"/>
  <c r="I9" i="14"/>
  <c r="I83" i="14" a="1"/>
  <c r="I83" i="14" s="1"/>
  <c r="I107" i="14"/>
  <c r="I106" i="14"/>
  <c r="I105" i="14"/>
  <c r="I104" i="14"/>
  <c r="L9" i="14"/>
  <c r="L107" i="14"/>
  <c r="L106" i="14"/>
  <c r="L105" i="14"/>
  <c r="L104" i="14"/>
  <c r="L83" i="14" a="1"/>
  <c r="L83" i="14" s="1"/>
  <c r="AJ104" i="14"/>
  <c r="AJ83" i="14" a="1"/>
  <c r="AJ83" i="14" s="1"/>
  <c r="U9" i="14"/>
  <c r="U83" i="14" a="1"/>
  <c r="U83" i="14" s="1"/>
  <c r="U107" i="14"/>
  <c r="U106" i="14"/>
  <c r="U105" i="14"/>
  <c r="U104" i="14"/>
  <c r="F9" i="14"/>
  <c r="F83" i="14" a="1"/>
  <c r="F83" i="14" s="1"/>
  <c r="F104" i="14"/>
  <c r="F106" i="14"/>
  <c r="F105" i="14"/>
  <c r="F107" i="14"/>
  <c r="M9" i="14"/>
  <c r="M83" i="14" a="1"/>
  <c r="M83" i="14" s="1"/>
  <c r="M107" i="14"/>
  <c r="M106" i="14"/>
  <c r="M105" i="14"/>
  <c r="M104" i="14"/>
  <c r="T9" i="14"/>
  <c r="T107" i="14"/>
  <c r="T106" i="14"/>
  <c r="T105" i="14"/>
  <c r="T104" i="14"/>
  <c r="T83" i="14" a="1"/>
  <c r="T83" i="14" s="1"/>
  <c r="G9" i="14"/>
  <c r="G83" i="14" a="1"/>
  <c r="G83" i="14" s="1"/>
  <c r="G107" i="14"/>
  <c r="G104" i="14"/>
  <c r="G106" i="14"/>
  <c r="G105" i="14"/>
  <c r="E9" i="14"/>
  <c r="E83" i="14" a="1"/>
  <c r="E83" i="14" s="1"/>
  <c r="E104" i="14"/>
  <c r="E105" i="14"/>
  <c r="E107" i="14"/>
  <c r="E106" i="14"/>
  <c r="K9" i="14"/>
  <c r="K107" i="14"/>
  <c r="K106" i="14"/>
  <c r="K105" i="14"/>
  <c r="K104" i="14"/>
  <c r="K83" i="14" a="1"/>
  <c r="K83" i="14" s="1"/>
  <c r="N9" i="14"/>
  <c r="N83" i="14" a="1"/>
  <c r="N83" i="14" s="1"/>
  <c r="N107" i="14"/>
  <c r="N105" i="14"/>
  <c r="N106" i="14"/>
  <c r="N104" i="14"/>
  <c r="AK15" i="14"/>
  <c r="AK8" i="14"/>
  <c r="AL4" i="14"/>
  <c r="AJ9" i="14"/>
  <c r="AC63" i="12"/>
  <c r="AD62" i="12"/>
  <c r="AC62" i="12"/>
  <c r="R74" i="12"/>
  <c r="J74" i="12"/>
  <c r="K64" i="12"/>
  <c r="AA64" i="12"/>
  <c r="AB64" i="12" s="1"/>
  <c r="AD63" i="12"/>
  <c r="B10" i="12"/>
  <c r="J62" i="12"/>
  <c r="J66" i="12"/>
  <c r="R68" i="12"/>
  <c r="R63" i="12"/>
  <c r="J64" i="12"/>
  <c r="R71" i="12"/>
  <c r="J72" i="12"/>
  <c r="J69" i="12"/>
  <c r="R66" i="12"/>
  <c r="R67" i="12"/>
  <c r="R62" i="12"/>
  <c r="R69" i="12"/>
  <c r="J65" i="12"/>
  <c r="J73" i="12"/>
  <c r="R72" i="12"/>
  <c r="J68" i="12"/>
  <c r="J63" i="12"/>
  <c r="J71" i="12"/>
  <c r="J70" i="12"/>
  <c r="R70" i="12"/>
  <c r="J67" i="12"/>
  <c r="R65" i="12"/>
  <c r="R73" i="12"/>
  <c r="R64" i="12"/>
  <c r="D9" i="14"/>
  <c r="C18" i="6"/>
  <c r="B10" i="9"/>
  <c r="B11" i="9"/>
  <c r="B75" i="9" s="1"/>
  <c r="F16" i="11"/>
  <c r="B10" i="10" s="1"/>
  <c r="BB7" i="14"/>
  <c r="BB38" i="14"/>
  <c r="F13" i="11"/>
  <c r="F14" i="11" s="1"/>
  <c r="B59" i="12"/>
  <c r="BB11" i="14"/>
  <c r="B29" i="11"/>
  <c r="C28" i="11"/>
  <c r="BB10" i="14"/>
  <c r="B28" i="11"/>
  <c r="C27" i="11"/>
  <c r="B27" i="11"/>
  <c r="C26" i="11"/>
  <c r="BB35" i="14"/>
  <c r="B32" i="11"/>
  <c r="C31" i="11"/>
  <c r="BB37" i="14"/>
  <c r="B31" i="11"/>
  <c r="C30" i="11"/>
  <c r="BB36" i="14"/>
  <c r="BB24" i="14"/>
  <c r="B30" i="11"/>
  <c r="C29" i="11"/>
  <c r="AK31" i="14" l="1"/>
  <c r="AK83" i="14" a="1"/>
  <c r="AK83" i="14" s="1"/>
  <c r="AK104" i="14"/>
  <c r="AL15" i="14"/>
  <c r="AL8" i="14"/>
  <c r="AM4" i="14"/>
  <c r="AK9" i="14"/>
  <c r="K65" i="12"/>
  <c r="B21" i="12"/>
  <c r="L64" i="12"/>
  <c r="L63" i="12"/>
  <c r="L62" i="12"/>
  <c r="B13" i="12"/>
  <c r="B16" i="12" s="1"/>
  <c r="B17" i="12" s="1"/>
  <c r="AD64" i="12"/>
  <c r="AC64" i="12"/>
  <c r="F15" i="11"/>
  <c r="F17" i="11" s="1"/>
  <c r="F21" i="11" s="1"/>
  <c r="B10" i="8"/>
  <c r="D15" i="9"/>
  <c r="E15" i="9" s="1"/>
  <c r="D16" i="9"/>
  <c r="E16" i="9" s="1"/>
  <c r="B20" i="12"/>
  <c r="AL31" i="14" l="1"/>
  <c r="AL104" i="14"/>
  <c r="AL83" i="14" a="1"/>
  <c r="AL83" i="14" s="1"/>
  <c r="AM15" i="14"/>
  <c r="AM8" i="14"/>
  <c r="AN4" i="14"/>
  <c r="AL9" i="14"/>
  <c r="L65" i="12"/>
  <c r="N65" i="12" s="1"/>
  <c r="K66" i="12"/>
  <c r="L66" i="12" s="1"/>
  <c r="N62" i="12"/>
  <c r="M62" i="12"/>
  <c r="N64" i="12"/>
  <c r="M64" i="12"/>
  <c r="N63" i="12"/>
  <c r="M63" i="12"/>
  <c r="AA65" i="12"/>
  <c r="AB65" i="12" s="1"/>
  <c r="S63" i="12"/>
  <c r="T63" i="12" s="1"/>
  <c r="S62" i="12"/>
  <c r="B23" i="12"/>
  <c r="B24" i="12" s="1"/>
  <c r="F22" i="11"/>
  <c r="E17" i="9"/>
  <c r="F20" i="11"/>
  <c r="AM31" i="14" l="1"/>
  <c r="AM83" i="14" a="1"/>
  <c r="AM83" i="14" s="1"/>
  <c r="AM104" i="14"/>
  <c r="AM9" i="14"/>
  <c r="AN15" i="14"/>
  <c r="AN8" i="14"/>
  <c r="AO4" i="14"/>
  <c r="M65" i="12"/>
  <c r="T62" i="12"/>
  <c r="AC65" i="12"/>
  <c r="AD65" i="12"/>
  <c r="N66" i="12"/>
  <c r="B35" i="12" s="1"/>
  <c r="M66" i="12"/>
  <c r="U63" i="12"/>
  <c r="V63" i="12"/>
  <c r="F23" i="11"/>
  <c r="F24" i="11" s="1"/>
  <c r="AN31" i="14" l="1"/>
  <c r="AN104" i="14"/>
  <c r="AN83" i="14" a="1"/>
  <c r="AN83" i="14" s="1"/>
  <c r="B34" i="12"/>
  <c r="AN9" i="14"/>
  <c r="AO8" i="14"/>
  <c r="AP4" i="14"/>
  <c r="U62" i="12"/>
  <c r="V62" i="12"/>
  <c r="K67" i="12"/>
  <c r="L67" i="12" s="1"/>
  <c r="AA66" i="12"/>
  <c r="AB66" i="12" s="1"/>
  <c r="S64" i="12"/>
  <c r="T64" i="12" s="1"/>
  <c r="AP8" i="14" l="1"/>
  <c r="AQ4" i="14"/>
  <c r="AD66" i="12"/>
  <c r="D35" i="12" s="1"/>
  <c r="AC66" i="12"/>
  <c r="D34" i="12" s="1"/>
  <c r="V64" i="12"/>
  <c r="U64" i="12"/>
  <c r="N67" i="12"/>
  <c r="M67" i="12"/>
  <c r="AQ8" i="14" l="1"/>
  <c r="AR4" i="14"/>
  <c r="S65" i="12"/>
  <c r="T65" i="12" s="1"/>
  <c r="AA67" i="12"/>
  <c r="AB67" i="12" s="1"/>
  <c r="K68" i="12"/>
  <c r="L68" i="12" s="1"/>
  <c r="AR8" i="14" l="1"/>
  <c r="AS4" i="14"/>
  <c r="AD67" i="12"/>
  <c r="AC67" i="12"/>
  <c r="M68" i="12"/>
  <c r="N68" i="12"/>
  <c r="V65" i="12"/>
  <c r="U65" i="12"/>
  <c r="AS8" i="14" l="1"/>
  <c r="AT4" i="14"/>
  <c r="S66" i="12"/>
  <c r="T66" i="12" s="1"/>
  <c r="AA68" i="12"/>
  <c r="AB68" i="12" s="1"/>
  <c r="K69" i="12"/>
  <c r="L69" i="12" s="1"/>
  <c r="AT8" i="14" l="1"/>
  <c r="AU4" i="14"/>
  <c r="AC68" i="12"/>
  <c r="AD68" i="12"/>
  <c r="N69" i="12"/>
  <c r="M69" i="12"/>
  <c r="U66" i="12"/>
  <c r="C34" i="12" s="1"/>
  <c r="V66" i="12"/>
  <c r="C35" i="12" s="1"/>
  <c r="AU8" i="14" l="1"/>
  <c r="AV4" i="14"/>
  <c r="AA69" i="12"/>
  <c r="AB69" i="12" s="1"/>
  <c r="S67" i="12"/>
  <c r="T67" i="12" s="1"/>
  <c r="K70" i="12"/>
  <c r="L70" i="12" s="1"/>
  <c r="AV8" i="14" l="1"/>
  <c r="AW4" i="14"/>
  <c r="V67" i="12"/>
  <c r="U67" i="12"/>
  <c r="AC69" i="12"/>
  <c r="AD69" i="12"/>
  <c r="M70" i="12"/>
  <c r="N70" i="12"/>
  <c r="AX4" i="14" l="1"/>
  <c r="AW8" i="14"/>
  <c r="S68" i="12"/>
  <c r="T68" i="12" s="1"/>
  <c r="AA70" i="12"/>
  <c r="AB70" i="12" s="1"/>
  <c r="K71" i="12"/>
  <c r="L71" i="12" s="1"/>
  <c r="AY4" i="14" l="1"/>
  <c r="AX8" i="14"/>
  <c r="M71" i="12"/>
  <c r="N71" i="12"/>
  <c r="AD70" i="12"/>
  <c r="AC70" i="12"/>
  <c r="V68" i="12"/>
  <c r="U68" i="12"/>
  <c r="AY8" i="14" l="1"/>
  <c r="S69" i="12"/>
  <c r="T69" i="12" s="1"/>
  <c r="AA71" i="12"/>
  <c r="AB71" i="12" s="1"/>
  <c r="B22" i="5" a="1"/>
  <c r="V69" i="12" l="1"/>
  <c r="U69" i="12"/>
  <c r="AC71" i="12"/>
  <c r="AD71" i="12"/>
  <c r="S70" i="12" l="1"/>
  <c r="T70" i="12" s="1"/>
  <c r="V70" i="12" l="1"/>
  <c r="U70" i="12"/>
  <c r="S71" i="12" l="1"/>
  <c r="T71" i="12" s="1"/>
  <c r="U71" i="12" l="1"/>
  <c r="V71" i="12"/>
  <c r="B13" i="5" a="1"/>
  <c r="B21" i="5" a="1"/>
  <c r="Q16" i="4" l="1"/>
  <c r="B33" i="5" s="1" a="1"/>
  <c r="B6" i="5" a="1"/>
  <c r="B14" i="5" a="1"/>
  <c r="B23" i="5" a="1"/>
  <c r="Q15" i="4"/>
  <c r="B12" i="5" a="1"/>
  <c r="B24" i="5" a="1"/>
  <c r="B34" i="5" l="1" a="1"/>
  <c r="B32" i="5" a="1"/>
  <c r="Z15" i="14"/>
  <c r="Z31" i="14" s="1"/>
  <c r="Z9" i="14" l="1"/>
  <c r="Z83" i="14" a="1"/>
  <c r="Z83" i="14" s="1"/>
  <c r="Z107" i="14"/>
  <c r="Z106" i="14"/>
  <c r="Z105" i="14"/>
  <c r="Z104" i="14"/>
  <c r="Z50" i="14" l="1"/>
  <c r="Z16" i="14" l="1"/>
  <c r="Z51" i="14"/>
  <c r="Z24" i="14" l="1"/>
  <c r="Z17" i="14"/>
  <c r="Z18" i="14" l="1"/>
  <c r="Z19" i="14" s="1"/>
  <c r="Z20" i="14" s="1"/>
  <c r="Z22" i="14" s="1"/>
  <c r="Z32" i="14" s="1"/>
  <c r="Z25" i="14"/>
  <c r="Z26" i="14"/>
  <c r="Z23" i="14" l="1"/>
  <c r="Z27" i="14"/>
  <c r="Z28" i="14" s="1"/>
  <c r="Z34" i="14" l="1"/>
  <c r="Z33" i="14" l="1"/>
  <c r="B34" i="5" l="1"/>
  <c r="B33" i="5"/>
  <c r="B32" i="5"/>
  <c r="B29" i="5"/>
  <c r="B28" i="5"/>
  <c r="B27" i="5"/>
  <c r="B26" i="5"/>
  <c r="B8" i="6" s="1"/>
  <c r="B25" i="5"/>
  <c r="B24" i="5"/>
  <c r="B23" i="5"/>
  <c r="B22" i="5"/>
  <c r="B6" i="6" s="1"/>
  <c r="B21" i="5"/>
  <c r="B5" i="6" s="1"/>
  <c r="B16" i="5"/>
  <c r="B15" i="5"/>
  <c r="B14" i="5"/>
  <c r="B13" i="5"/>
  <c r="B12" i="5"/>
  <c r="B7" i="5"/>
  <c r="B6" i="5"/>
  <c r="B4" i="5"/>
  <c r="B5" i="5" s="1"/>
  <c r="B8" i="5" l="1"/>
  <c r="B25" i="6"/>
  <c r="E6" i="6"/>
  <c r="D6" i="6"/>
  <c r="D16" i="5"/>
  <c r="E5" i="6"/>
  <c r="D5" i="6"/>
  <c r="B24" i="6"/>
  <c r="BB18" i="14"/>
  <c r="B7" i="6"/>
  <c r="B15" i="9"/>
  <c r="B7" i="10"/>
  <c r="B8" i="10"/>
  <c r="E17" i="10" s="1"/>
  <c r="B10" i="6"/>
  <c r="BB19" i="14"/>
  <c r="D14" i="5"/>
  <c r="D15" i="5"/>
  <c r="E8" i="6"/>
  <c r="D8" i="6"/>
  <c r="B27" i="6"/>
  <c r="B9" i="6"/>
  <c r="B16" i="9"/>
  <c r="D12" i="5"/>
  <c r="B17" i="5"/>
  <c r="C13" i="5" s="1"/>
  <c r="BB17" i="14"/>
  <c r="D13" i="5"/>
  <c r="D59" i="14" l="1"/>
  <c r="E59" i="14" s="1"/>
  <c r="F59" i="14" s="1"/>
  <c r="G59" i="14" s="1"/>
  <c r="H59" i="14" s="1"/>
  <c r="I59" i="14" s="1"/>
  <c r="J59" i="14" s="1"/>
  <c r="K59" i="14" s="1"/>
  <c r="L59" i="14" s="1"/>
  <c r="M59" i="14" s="1"/>
  <c r="N59" i="14" s="1"/>
  <c r="O59" i="14" s="1"/>
  <c r="P59" i="14" s="1"/>
  <c r="Q59" i="14" s="1"/>
  <c r="R59" i="14" s="1"/>
  <c r="S59" i="14" s="1"/>
  <c r="T59" i="14" s="1"/>
  <c r="U59" i="14" s="1"/>
  <c r="V59" i="14" s="1"/>
  <c r="W59" i="14" s="1"/>
  <c r="X59" i="14" s="1"/>
  <c r="Y59" i="14" s="1"/>
  <c r="Z59" i="14" s="1"/>
  <c r="AA59" i="14" s="1"/>
  <c r="AB59" i="14" s="1"/>
  <c r="AC59" i="14" s="1"/>
  <c r="AD59" i="14" s="1"/>
  <c r="AE59" i="14" s="1"/>
  <c r="AF59" i="14" s="1"/>
  <c r="AG59" i="14" s="1"/>
  <c r="AH59" i="14" s="1"/>
  <c r="AI59" i="14" s="1"/>
  <c r="AJ59" i="14" s="1"/>
  <c r="AK59" i="14" s="1"/>
  <c r="AL59" i="14" s="1"/>
  <c r="AM59" i="14" s="1"/>
  <c r="AN59" i="14" s="1"/>
  <c r="AO59" i="14" s="1"/>
  <c r="AP59" i="14" s="1"/>
  <c r="AQ59" i="14" s="1"/>
  <c r="AR59" i="14" s="1"/>
  <c r="AS59" i="14" s="1"/>
  <c r="AT59" i="14" s="1"/>
  <c r="AU59" i="14" s="1"/>
  <c r="AV59" i="14" s="1"/>
  <c r="AW59" i="14" s="1"/>
  <c r="AX59" i="14" s="1"/>
  <c r="AY59" i="14" s="1"/>
  <c r="D66" i="14"/>
  <c r="E66" i="14" s="1"/>
  <c r="F66" i="14" s="1"/>
  <c r="G66" i="14" s="1"/>
  <c r="H66" i="14" s="1"/>
  <c r="I66" i="14" s="1"/>
  <c r="J66" i="14" s="1"/>
  <c r="K66" i="14" s="1"/>
  <c r="L66" i="14" s="1"/>
  <c r="M66" i="14" s="1"/>
  <c r="N66" i="14" s="1"/>
  <c r="O66" i="14" s="1"/>
  <c r="P66" i="14" s="1"/>
  <c r="Q66" i="14" s="1"/>
  <c r="R66" i="14" s="1"/>
  <c r="S66" i="14" s="1"/>
  <c r="T66" i="14" s="1"/>
  <c r="U66" i="14" s="1"/>
  <c r="V66" i="14" s="1"/>
  <c r="W66" i="14" s="1"/>
  <c r="X66" i="14" s="1"/>
  <c r="Y66" i="14" s="1"/>
  <c r="Z66" i="14" s="1"/>
  <c r="D38" i="14"/>
  <c r="D82" i="14"/>
  <c r="D58" i="14"/>
  <c r="E58" i="14" s="1"/>
  <c r="F58" i="14" s="1"/>
  <c r="G58" i="14" s="1"/>
  <c r="H58" i="14" s="1"/>
  <c r="I58" i="14" s="1"/>
  <c r="J58" i="14" s="1"/>
  <c r="K58" i="14" s="1"/>
  <c r="L58" i="14" s="1"/>
  <c r="M58" i="14" s="1"/>
  <c r="N58" i="14" s="1"/>
  <c r="O58" i="14" s="1"/>
  <c r="P58" i="14" s="1"/>
  <c r="Q58" i="14" s="1"/>
  <c r="R58" i="14" s="1"/>
  <c r="S58" i="14" s="1"/>
  <c r="T58" i="14" s="1"/>
  <c r="U58" i="14" s="1"/>
  <c r="V58" i="14" s="1"/>
  <c r="W58" i="14" s="1"/>
  <c r="X58" i="14" s="1"/>
  <c r="Y58" i="14" s="1"/>
  <c r="Z58" i="14" s="1"/>
  <c r="AA58" i="14" s="1"/>
  <c r="AB58" i="14" s="1"/>
  <c r="AC58" i="14" s="1"/>
  <c r="AD58" i="14" s="1"/>
  <c r="AE58" i="14" s="1"/>
  <c r="AF58" i="14" s="1"/>
  <c r="AG58" i="14" s="1"/>
  <c r="AH58" i="14" s="1"/>
  <c r="AI58" i="14" s="1"/>
  <c r="AJ58" i="14" s="1"/>
  <c r="AK58" i="14" s="1"/>
  <c r="AL58" i="14" s="1"/>
  <c r="AM58" i="14" s="1"/>
  <c r="AN58" i="14" s="1"/>
  <c r="D37" i="14"/>
  <c r="D65" i="14"/>
  <c r="E65" i="14" s="1"/>
  <c r="F65" i="14" s="1"/>
  <c r="G65" i="14" s="1"/>
  <c r="H65" i="14" s="1"/>
  <c r="I65" i="14" s="1"/>
  <c r="J65" i="14" s="1"/>
  <c r="K65" i="14" s="1"/>
  <c r="L65" i="14" s="1"/>
  <c r="M65" i="14" s="1"/>
  <c r="N65" i="14" s="1"/>
  <c r="O65" i="14" s="1"/>
  <c r="P65" i="14" s="1"/>
  <c r="Q65" i="14" s="1"/>
  <c r="R65" i="14" s="1"/>
  <c r="S65" i="14" s="1"/>
  <c r="T65" i="14" s="1"/>
  <c r="U65" i="14" s="1"/>
  <c r="V65" i="14" s="1"/>
  <c r="W65" i="14" s="1"/>
  <c r="X65" i="14" s="1"/>
  <c r="Y65" i="14" s="1"/>
  <c r="Z65" i="14" s="1"/>
  <c r="D57" i="14"/>
  <c r="D64" i="14"/>
  <c r="E64" i="14" s="1"/>
  <c r="F64" i="14" s="1"/>
  <c r="D17" i="5"/>
  <c r="C12" i="5"/>
  <c r="E10" i="6"/>
  <c r="D10" i="6"/>
  <c r="B29" i="6"/>
  <c r="D36" i="14"/>
  <c r="E7" i="6"/>
  <c r="D7" i="6"/>
  <c r="B26" i="6"/>
  <c r="E9" i="6"/>
  <c r="D9" i="6"/>
  <c r="B28" i="6"/>
  <c r="C15" i="5"/>
  <c r="B12" i="10"/>
  <c r="B13" i="10" s="1"/>
  <c r="D17" i="10"/>
  <c r="B11" i="6"/>
  <c r="D11" i="6" s="1"/>
  <c r="C16" i="5"/>
  <c r="C14" i="5"/>
  <c r="B30" i="6" l="1"/>
  <c r="B31" i="6" s="1"/>
  <c r="B32" i="6" s="1"/>
  <c r="B33" i="6" s="1"/>
  <c r="B47" i="12"/>
  <c r="D60" i="14"/>
  <c r="D74" i="14"/>
  <c r="B17" i="16" s="1"/>
  <c r="C17" i="5"/>
  <c r="B36" i="6"/>
  <c r="B37" i="6"/>
  <c r="B38" i="6"/>
  <c r="B39" i="6" s="1"/>
  <c r="B18" i="10"/>
  <c r="G64" i="14"/>
  <c r="E36" i="14"/>
  <c r="F36" i="14" s="1"/>
  <c r="E11" i="6"/>
  <c r="B15" i="6" s="1"/>
  <c r="B18" i="6" s="1"/>
  <c r="E57" i="14"/>
  <c r="D67" i="14" l="1"/>
  <c r="AL675" i="12"/>
  <c r="AL617" i="12"/>
  <c r="AL401" i="12"/>
  <c r="AL336" i="12"/>
  <c r="AL332" i="12"/>
  <c r="AL284" i="12"/>
  <c r="AL118" i="12"/>
  <c r="AL4" i="12"/>
  <c r="AL52" i="12"/>
  <c r="AL48" i="12"/>
  <c r="AL562" i="12"/>
  <c r="AL367" i="12"/>
  <c r="AL591" i="12"/>
  <c r="AL674" i="12"/>
  <c r="AL459" i="12"/>
  <c r="AL393" i="12"/>
  <c r="AL315" i="12"/>
  <c r="AL223" i="12"/>
  <c r="AL174" i="12"/>
  <c r="AL147" i="12"/>
  <c r="AL351" i="12"/>
  <c r="AL255" i="12"/>
  <c r="AL159" i="12"/>
  <c r="AL96" i="12"/>
  <c r="AL549" i="12"/>
  <c r="AL395" i="12"/>
  <c r="AL342" i="12"/>
  <c r="AL290" i="12"/>
  <c r="AL487" i="12"/>
  <c r="AL308" i="12"/>
  <c r="AL68" i="12"/>
  <c r="AL208" i="12"/>
  <c r="AL185" i="12"/>
  <c r="AL648" i="12"/>
  <c r="AL625" i="12"/>
  <c r="AL439" i="12"/>
  <c r="AL235" i="12"/>
  <c r="AL22" i="12"/>
  <c r="AL421" i="12"/>
  <c r="AL380" i="12"/>
  <c r="AL319" i="12"/>
  <c r="AL131" i="12"/>
  <c r="AL61" i="12"/>
  <c r="AL434" i="12"/>
  <c r="AL83" i="12"/>
  <c r="AL712" i="12"/>
  <c r="AL716" i="12"/>
  <c r="AL706" i="12"/>
  <c r="AL618" i="12"/>
  <c r="AL686" i="12"/>
  <c r="AL593" i="12"/>
  <c r="AL550" i="12"/>
  <c r="AL515" i="12"/>
  <c r="AL554" i="12"/>
  <c r="AL484" i="12"/>
  <c r="AL295" i="12"/>
  <c r="AL707" i="12"/>
  <c r="AL492" i="12"/>
  <c r="AL399" i="12"/>
  <c r="AL212" i="12"/>
  <c r="AL681" i="12"/>
  <c r="AL669" i="12"/>
  <c r="AL642" i="12"/>
  <c r="AL612" i="12"/>
  <c r="AL559" i="12"/>
  <c r="AL537" i="12"/>
  <c r="AL364" i="12"/>
  <c r="AL355" i="12"/>
  <c r="AL339" i="12"/>
  <c r="AL286" i="12"/>
  <c r="AL243" i="12"/>
  <c r="AL205" i="12"/>
  <c r="AL195" i="12"/>
  <c r="AL164" i="12"/>
  <c r="AL121" i="12"/>
  <c r="AL106" i="12"/>
  <c r="AL101" i="12"/>
  <c r="AL39" i="12"/>
  <c r="AL35" i="12"/>
  <c r="AL651" i="12"/>
  <c r="AL608" i="12"/>
  <c r="AL588" i="12"/>
  <c r="AL331" i="12"/>
  <c r="AL226" i="12"/>
  <c r="AL213" i="12"/>
  <c r="AL698" i="12"/>
  <c r="AL173" i="12"/>
  <c r="AL430" i="12"/>
  <c r="AL346" i="12"/>
  <c r="AL304" i="12"/>
  <c r="AL263" i="12"/>
  <c r="AL680" i="12"/>
  <c r="AL167" i="12"/>
  <c r="AL64" i="12"/>
  <c r="AL607" i="12"/>
  <c r="AL375" i="12"/>
  <c r="AL194" i="12"/>
  <c r="AL90" i="12"/>
  <c r="AL683" i="12"/>
  <c r="AL42" i="12"/>
  <c r="AL444" i="12"/>
  <c r="AL341" i="12"/>
  <c r="AL325" i="12"/>
  <c r="AL19" i="12"/>
  <c r="AL23" i="12"/>
  <c r="AL692" i="12"/>
  <c r="AL603" i="12"/>
  <c r="AL132" i="12"/>
  <c r="AL626" i="12"/>
  <c r="AL179" i="12"/>
  <c r="AL531" i="12"/>
  <c r="AL547" i="12"/>
  <c r="AL227" i="12"/>
  <c r="AL378" i="12"/>
  <c r="AL303" i="12"/>
  <c r="AL667" i="12"/>
  <c r="AL307" i="12"/>
  <c r="AL409" i="12"/>
  <c r="AL329" i="12"/>
  <c r="AL578" i="12"/>
  <c r="AL225" i="12"/>
  <c r="AL10" i="12"/>
  <c r="AL38" i="12"/>
  <c r="AL14" i="12"/>
  <c r="AL473" i="12"/>
  <c r="AL257" i="12"/>
  <c r="AL503" i="12"/>
  <c r="AL394" i="12"/>
  <c r="AL320" i="12"/>
  <c r="AL663" i="12"/>
  <c r="AL402" i="12"/>
  <c r="AL312" i="12"/>
  <c r="AL163" i="12"/>
  <c r="AL475" i="12"/>
  <c r="AL238" i="12"/>
  <c r="AL502" i="12"/>
  <c r="AL57" i="12"/>
  <c r="AL356" i="12"/>
  <c r="AL392" i="12"/>
  <c r="AL543" i="12"/>
  <c r="AL3" i="12"/>
  <c r="AL699" i="12"/>
  <c r="AL628" i="12"/>
  <c r="AL486" i="12"/>
  <c r="AL275" i="12"/>
  <c r="AL579" i="12"/>
  <c r="AL519" i="12"/>
  <c r="AL34" i="12"/>
  <c r="AL388" i="12"/>
  <c r="AL382" i="12"/>
  <c r="AL216" i="12"/>
  <c r="AL390" i="12"/>
  <c r="AL228" i="12"/>
  <c r="AL79" i="12"/>
  <c r="AL264" i="12"/>
  <c r="AL511" i="12"/>
  <c r="AL377" i="12"/>
  <c r="AL418" i="12"/>
  <c r="AL624" i="12"/>
  <c r="AL602" i="12"/>
  <c r="AL56" i="12"/>
  <c r="AL67" i="12"/>
  <c r="AL278" i="12"/>
  <c r="AL499" i="12"/>
  <c r="AL280" i="12"/>
  <c r="AL614" i="12"/>
  <c r="AL544" i="12"/>
  <c r="AL46" i="12"/>
  <c r="AL407" i="12"/>
  <c r="AL635" i="12"/>
  <c r="AL406" i="12"/>
  <c r="AL198" i="12"/>
  <c r="AL433" i="12"/>
  <c r="AL181" i="12"/>
  <c r="AL269" i="12"/>
  <c r="AL620" i="12"/>
  <c r="AL485" i="12"/>
  <c r="AL432" i="12"/>
  <c r="AL694" i="12"/>
  <c r="AL606" i="12"/>
  <c r="AL81" i="12"/>
  <c r="AL80" i="12"/>
  <c r="AL535" i="12"/>
  <c r="AL311" i="12"/>
  <c r="AL630" i="12"/>
  <c r="AL574" i="12"/>
  <c r="AL72" i="12"/>
  <c r="AL114" i="12"/>
  <c r="AL298" i="12"/>
  <c r="AL451" i="12"/>
  <c r="AL446" i="12"/>
  <c r="AL467" i="12"/>
  <c r="AL358" i="12"/>
  <c r="AL597" i="12"/>
  <c r="AL435" i="12"/>
  <c r="AL168" i="12"/>
  <c r="AL60" i="12"/>
  <c r="AL259" i="12"/>
  <c r="AL138" i="12"/>
  <c r="AL231" i="12"/>
  <c r="AL573" i="12"/>
  <c r="AL323" i="12"/>
  <c r="AL587" i="12"/>
  <c r="AL94" i="12"/>
  <c r="AL461" i="12"/>
  <c r="AL512" i="12"/>
  <c r="AL2" i="12"/>
  <c r="AL517" i="12"/>
  <c r="AL508" i="12"/>
  <c r="AL480" i="12"/>
  <c r="AL476" i="12"/>
  <c r="AL383" i="12"/>
  <c r="AL36" i="12"/>
  <c r="AL520" i="12"/>
  <c r="AL8" i="12"/>
  <c r="AL105" i="12"/>
  <c r="AL376" i="12"/>
  <c r="AL240" i="12"/>
  <c r="AL352" i="12"/>
  <c r="AL582" i="12"/>
  <c r="AL637" i="12"/>
  <c r="AL6" i="12"/>
  <c r="AL102" i="12"/>
  <c r="AL464" i="12"/>
  <c r="AL190" i="12"/>
  <c r="AL130" i="12"/>
  <c r="AL289" i="12"/>
  <c r="AL536" i="12"/>
  <c r="AL600" i="12"/>
  <c r="AL493" i="12"/>
  <c r="AL504" i="12"/>
  <c r="AL49" i="12"/>
  <c r="AL525" i="12"/>
  <c r="AL13" i="12"/>
  <c r="AL313" i="12"/>
  <c r="AL571" i="12"/>
  <c r="AL344" i="12"/>
  <c r="AL408" i="12"/>
  <c r="AL594" i="12"/>
  <c r="AL396" i="12"/>
  <c r="AL209" i="12"/>
  <c r="AL646" i="12"/>
  <c r="AL29" i="12"/>
  <c r="AL111" i="12"/>
  <c r="AL552" i="12"/>
  <c r="AL175" i="12"/>
  <c r="AL316" i="12"/>
  <c r="AL725" i="12"/>
  <c r="AL631" i="12"/>
  <c r="AL7" i="12"/>
  <c r="AL533" i="12"/>
  <c r="AL110" i="12"/>
  <c r="AL75" i="12"/>
  <c r="AL585" i="12"/>
  <c r="AL32" i="12"/>
  <c r="AL371" i="12"/>
  <c r="AL12" i="12"/>
  <c r="AL405" i="12"/>
  <c r="AL33" i="12"/>
  <c r="AL653" i="12"/>
  <c r="AL400" i="12"/>
  <c r="AL217" i="12"/>
  <c r="AL710" i="12"/>
  <c r="AL54" i="12"/>
  <c r="AL145" i="12"/>
  <c r="AL555" i="12"/>
  <c r="AL285" i="12"/>
  <c r="AL55" i="12"/>
  <c r="AL250" i="12"/>
  <c r="AL330" i="12"/>
  <c r="AL247" i="12"/>
  <c r="AL328" i="12"/>
  <c r="AL335" i="12"/>
  <c r="AL201" i="12"/>
  <c r="AL246" i="12"/>
  <c r="AL253" i="12"/>
  <c r="AL655" i="12"/>
  <c r="AL66" i="12"/>
  <c r="AL679" i="12"/>
  <c r="AL232" i="12"/>
  <c r="AL140" i="12"/>
  <c r="AL540" i="12"/>
  <c r="AL326" i="12"/>
  <c r="AL165" i="12"/>
  <c r="AL296" i="12"/>
  <c r="AL664" i="12"/>
  <c r="AL266" i="12"/>
  <c r="AL236" i="12"/>
  <c r="AL146" i="12"/>
  <c r="AL604" i="12"/>
  <c r="AL609" i="12"/>
  <c r="AL391" i="12"/>
  <c r="AL494" i="12"/>
  <c r="AL657" i="12"/>
  <c r="AL403" i="12"/>
  <c r="AL715" i="12"/>
  <c r="AL169" i="12"/>
  <c r="AL271" i="12"/>
  <c r="AL450" i="12"/>
  <c r="AL191" i="12"/>
  <c r="AL676" i="12"/>
  <c r="AL705" i="12"/>
  <c r="AL379" i="12"/>
  <c r="AL590" i="12"/>
  <c r="AL687" i="12"/>
  <c r="AL417" i="12"/>
  <c r="AL233" i="12"/>
  <c r="AL721" i="12"/>
  <c r="AL28" i="12"/>
  <c r="AL510" i="12"/>
  <c r="AL702" i="12"/>
  <c r="AL723" i="12"/>
  <c r="AL457" i="12"/>
  <c r="AL639" i="12"/>
  <c r="AL506" i="12"/>
  <c r="AL237" i="12"/>
  <c r="AL73" i="12"/>
  <c r="AL234" i="12"/>
  <c r="AL251" i="12"/>
  <c r="AL176" i="12"/>
  <c r="AL566" i="12"/>
  <c r="AL661" i="12"/>
  <c r="AL524" i="12"/>
  <c r="AL245" i="12"/>
  <c r="AL491" i="12"/>
  <c r="AL595" i="12"/>
  <c r="AL488" i="12"/>
  <c r="AL462" i="12"/>
  <c r="AL387" i="12"/>
  <c r="AL199" i="12"/>
  <c r="AL658" i="12"/>
  <c r="AL561" i="12"/>
  <c r="AL350" i="12"/>
  <c r="AL496" i="12"/>
  <c r="AL599" i="12"/>
  <c r="AL616" i="12"/>
  <c r="AL632" i="12"/>
  <c r="AL87" i="12"/>
  <c r="AL438" i="12"/>
  <c r="AL596" i="12"/>
  <c r="AL564" i="12"/>
  <c r="AL354" i="12"/>
  <c r="AL440" i="12"/>
  <c r="AL178" i="12"/>
  <c r="AL157" i="12"/>
  <c r="AL211" i="12"/>
  <c r="AL283" i="12"/>
  <c r="AL219" i="12"/>
  <c r="AL314" i="12"/>
  <c r="AL152" i="12"/>
  <c r="AL598" i="12"/>
  <c r="AL258" i="12"/>
  <c r="AL363" i="12"/>
  <c r="AL343" i="12"/>
  <c r="AL206" i="12"/>
  <c r="AL365" i="12"/>
  <c r="AL160" i="12"/>
  <c r="AL370" i="12"/>
  <c r="AL148" i="12"/>
  <c r="AL419" i="12"/>
  <c r="AL183" i="12"/>
  <c r="AL672" i="12"/>
  <c r="AL611" i="12"/>
  <c r="AL527" i="12"/>
  <c r="AL413" i="12"/>
  <c r="AL248" i="12"/>
  <c r="AL422" i="12"/>
  <c r="AL423" i="12"/>
  <c r="AL158" i="12"/>
  <c r="AL482" i="12"/>
  <c r="AL20" i="12"/>
  <c r="AL720" i="12"/>
  <c r="AL133" i="12"/>
  <c r="AL656" i="12"/>
  <c r="AL143" i="12"/>
  <c r="AL478" i="12"/>
  <c r="AL254" i="12"/>
  <c r="AL128" i="12"/>
  <c r="AL119" i="12"/>
  <c r="AL690" i="12"/>
  <c r="AL389" i="12"/>
  <c r="AL51" i="12"/>
  <c r="AL568" i="12"/>
  <c r="AL197" i="12"/>
  <c r="AL84" i="12"/>
  <c r="AL530" i="12"/>
  <c r="AL76" i="12"/>
  <c r="AE62" i="12"/>
  <c r="AE63" i="12" s="1"/>
  <c r="AE64" i="12" s="1"/>
  <c r="AE65" i="12" s="1"/>
  <c r="AE66" i="12" s="1"/>
  <c r="AL560" i="12"/>
  <c r="AL650" i="12"/>
  <c r="AL360" i="12"/>
  <c r="AL471" i="12"/>
  <c r="AL89" i="12"/>
  <c r="AL122" i="12"/>
  <c r="AL623" i="12"/>
  <c r="AL472" i="12"/>
  <c r="AL523" i="12"/>
  <c r="AL116" i="12"/>
  <c r="AL369" i="12"/>
  <c r="AL483" i="12"/>
  <c r="AL584" i="12"/>
  <c r="AL44" i="12"/>
  <c r="AL15" i="12"/>
  <c r="AL385" i="12"/>
  <c r="AL215" i="12"/>
  <c r="AL701" i="12"/>
  <c r="AL291" i="12"/>
  <c r="AL92" i="12"/>
  <c r="AL99" i="12"/>
  <c r="AL24" i="12"/>
  <c r="AL293" i="12"/>
  <c r="AL85" i="12"/>
  <c r="AL182" i="12"/>
  <c r="AL153" i="12"/>
  <c r="AL374" i="12"/>
  <c r="AL463" i="12"/>
  <c r="AL671" i="12"/>
  <c r="AL348" i="12"/>
  <c r="AL605" i="12"/>
  <c r="AL222" i="12"/>
  <c r="AL583" i="12"/>
  <c r="AL424" i="12"/>
  <c r="AL514" i="12"/>
  <c r="AL86" i="12"/>
  <c r="AL270" i="12"/>
  <c r="AL697" i="12"/>
  <c r="AL437" i="12"/>
  <c r="AL497" i="12"/>
  <c r="AL570" i="12"/>
  <c r="AL563" i="12"/>
  <c r="AL501" i="12"/>
  <c r="AL113" i="12"/>
  <c r="AL123" i="12"/>
  <c r="AL722" i="12"/>
  <c r="AL187" i="12"/>
  <c r="AL214" i="12"/>
  <c r="AL155" i="12"/>
  <c r="AL274" i="12"/>
  <c r="AL71" i="12"/>
  <c r="AL107" i="12"/>
  <c r="AL456" i="12"/>
  <c r="AL386" i="12"/>
  <c r="AL572" i="12"/>
  <c r="AL420" i="12"/>
  <c r="AL252" i="12"/>
  <c r="AL317" i="12"/>
  <c r="AL218" i="12"/>
  <c r="AL294" i="12"/>
  <c r="AL718" i="12"/>
  <c r="AL373" i="12"/>
  <c r="AL670" i="12"/>
  <c r="AL292" i="12"/>
  <c r="AL545" i="12"/>
  <c r="AL16" i="12"/>
  <c r="AL466" i="12"/>
  <c r="AL384" i="12"/>
  <c r="AL301" i="12"/>
  <c r="AL129" i="12"/>
  <c r="AL204" i="12"/>
  <c r="AL104" i="12"/>
  <c r="AL361" i="12"/>
  <c r="AL474" i="12"/>
  <c r="AL120" i="12"/>
  <c r="AL117" i="12"/>
  <c r="AL688" i="12"/>
  <c r="AL521" i="12"/>
  <c r="AL469" i="12"/>
  <c r="AL666" i="12"/>
  <c r="AL619" i="12"/>
  <c r="AL40" i="12"/>
  <c r="AL65" i="12"/>
  <c r="AL454" i="12"/>
  <c r="AL357" i="12"/>
  <c r="AL541" i="12"/>
  <c r="AL21" i="12"/>
  <c r="AL684" i="12"/>
  <c r="AL37" i="12"/>
  <c r="AL404" i="12"/>
  <c r="AL47" i="12"/>
  <c r="AL288" i="12"/>
  <c r="AL260" i="12"/>
  <c r="AL97" i="12"/>
  <c r="AL532" i="12"/>
  <c r="AL662" i="12"/>
  <c r="AL556" i="12"/>
  <c r="AL526" i="12"/>
  <c r="AL542" i="12"/>
  <c r="AL256" i="12"/>
  <c r="AL11" i="12"/>
  <c r="AL239" i="12"/>
  <c r="AL442" i="12"/>
  <c r="AL654" i="12"/>
  <c r="AL184" i="12"/>
  <c r="AL322" i="12"/>
  <c r="AL25" i="12"/>
  <c r="AL659" i="12"/>
  <c r="AL567" i="12"/>
  <c r="AL693" i="12"/>
  <c r="AL103" i="12"/>
  <c r="AL447" i="12"/>
  <c r="AL338" i="12"/>
  <c r="AL610" i="12"/>
  <c r="AL700" i="12"/>
  <c r="AL449" i="12"/>
  <c r="AL98" i="12"/>
  <c r="AL203" i="12"/>
  <c r="AL372" i="12"/>
  <c r="AL621" i="12"/>
  <c r="AL622" i="12"/>
  <c r="AL703" i="12"/>
  <c r="AL93" i="12"/>
  <c r="AL82" i="12"/>
  <c r="AL695" i="12"/>
  <c r="AL324" i="12"/>
  <c r="AL333" i="12"/>
  <c r="AL719" i="12"/>
  <c r="AL261" i="12"/>
  <c r="AL186" i="12"/>
  <c r="AL318" i="12"/>
  <c r="AL498" i="12"/>
  <c r="AL458" i="12"/>
  <c r="AL172" i="12"/>
  <c r="AL137" i="12"/>
  <c r="AL381" i="12"/>
  <c r="AL551" i="12"/>
  <c r="AL629" i="12"/>
  <c r="AL726" i="12"/>
  <c r="AL682" i="12"/>
  <c r="AL368" i="12"/>
  <c r="AL513" i="12"/>
  <c r="AL416" i="12"/>
  <c r="AL100" i="12"/>
  <c r="AL287" i="12"/>
  <c r="AL534" i="12"/>
  <c r="AL142" i="12"/>
  <c r="AL45" i="12"/>
  <c r="AL244" i="12"/>
  <c r="AL58" i="12"/>
  <c r="AL528" i="12"/>
  <c r="AL272" i="12"/>
  <c r="AL135" i="12"/>
  <c r="AL302" i="12"/>
  <c r="AL489" i="12"/>
  <c r="AL465" i="12"/>
  <c r="AL557" i="12"/>
  <c r="AL141" i="12"/>
  <c r="AL634" i="12"/>
  <c r="AL347" i="12"/>
  <c r="AL505" i="12"/>
  <c r="AL5" i="12"/>
  <c r="AL91" i="12"/>
  <c r="AL685" i="12"/>
  <c r="AL546" i="12"/>
  <c r="AL660" i="12"/>
  <c r="AL62" i="12"/>
  <c r="AL268" i="12"/>
  <c r="AL445" i="12"/>
  <c r="AL581" i="12"/>
  <c r="AL509" i="12"/>
  <c r="AL281" i="12"/>
  <c r="AL170" i="12"/>
  <c r="AL189" i="12"/>
  <c r="AL429" i="12"/>
  <c r="AL242" i="12"/>
  <c r="AL565" i="12"/>
  <c r="AL362" i="12"/>
  <c r="AL696" i="12"/>
  <c r="AL495" i="12"/>
  <c r="AL397" i="12"/>
  <c r="AL41" i="12"/>
  <c r="AL668" i="12"/>
  <c r="AL711" i="12"/>
  <c r="AL708" i="12"/>
  <c r="AL704" i="12"/>
  <c r="AL207" i="12"/>
  <c r="AL134" i="12"/>
  <c r="AL277" i="12"/>
  <c r="AL477" i="12"/>
  <c r="AL415" i="12"/>
  <c r="AL193" i="12"/>
  <c r="AL177" i="12"/>
  <c r="AL139" i="12"/>
  <c r="AL468" i="12"/>
  <c r="AL529" i="12"/>
  <c r="AL522" i="12"/>
  <c r="AL479" i="12"/>
  <c r="AL412" i="12"/>
  <c r="AL109" i="12"/>
  <c r="AL665" i="12"/>
  <c r="AL724" i="12"/>
  <c r="AL470" i="12"/>
  <c r="AL88" i="12"/>
  <c r="AL453" i="12"/>
  <c r="AL580" i="12"/>
  <c r="AL241" i="12"/>
  <c r="AL108" i="12"/>
  <c r="AL112" i="12"/>
  <c r="AL713" i="12"/>
  <c r="AL249" i="12"/>
  <c r="AL558" i="12"/>
  <c r="AL267" i="12"/>
  <c r="AL443" i="12"/>
  <c r="AL411" i="12"/>
  <c r="AL43" i="12"/>
  <c r="AL709" i="12"/>
  <c r="AL548" i="12"/>
  <c r="AL154" i="12"/>
  <c r="AL452" i="12"/>
  <c r="AL192" i="12"/>
  <c r="AL426" i="12"/>
  <c r="AL691" i="12"/>
  <c r="AL553" i="12"/>
  <c r="AL262" i="12"/>
  <c r="AL428" i="12"/>
  <c r="AL490" i="12"/>
  <c r="AL115" i="12"/>
  <c r="AL162" i="12"/>
  <c r="AL196" i="12"/>
  <c r="AL305" i="12"/>
  <c r="AL126" i="12"/>
  <c r="AL321" i="12"/>
  <c r="AL677" i="12"/>
  <c r="AL441" i="12"/>
  <c r="AL230" i="12"/>
  <c r="AL340" i="12"/>
  <c r="AL366" i="12"/>
  <c r="AL689" i="12"/>
  <c r="AL273" i="12"/>
  <c r="AL460" i="12"/>
  <c r="AL69" i="12"/>
  <c r="AL171" i="12"/>
  <c r="AL410" i="12"/>
  <c r="AL516" i="12"/>
  <c r="AL717" i="12"/>
  <c r="AL615" i="12"/>
  <c r="AL306" i="12"/>
  <c r="AL640" i="12"/>
  <c r="AL309" i="12"/>
  <c r="AL156" i="12"/>
  <c r="AL9" i="12"/>
  <c r="AL149" i="12"/>
  <c r="AL300" i="12"/>
  <c r="AL589" i="12"/>
  <c r="AL673" i="12"/>
  <c r="AL74" i="12"/>
  <c r="AL27" i="12"/>
  <c r="AL727" i="12"/>
  <c r="AL151" i="12"/>
  <c r="AL50" i="12"/>
  <c r="AL427" i="12"/>
  <c r="AL144" i="12"/>
  <c r="AL641" i="12"/>
  <c r="AL265" i="12"/>
  <c r="AL436" i="12"/>
  <c r="O62" i="12"/>
  <c r="O63" i="12" s="1"/>
  <c r="O64" i="12" s="1"/>
  <c r="O65" i="12" s="1"/>
  <c r="O66" i="12" s="1"/>
  <c r="AL353" i="12"/>
  <c r="AL229" i="12"/>
  <c r="AL518" i="12"/>
  <c r="AL500" i="12"/>
  <c r="AL70" i="12"/>
  <c r="AL26" i="12"/>
  <c r="AL310" i="12"/>
  <c r="AL592" i="12"/>
  <c r="AL569" i="12"/>
  <c r="AL576" i="12"/>
  <c r="AL63" i="12"/>
  <c r="AL220" i="12"/>
  <c r="AL127" i="12"/>
  <c r="AL455" i="12"/>
  <c r="AL77" i="12"/>
  <c r="AL649" i="12"/>
  <c r="AL224" i="12"/>
  <c r="AL202" i="12"/>
  <c r="AL125" i="12"/>
  <c r="AL282" i="12"/>
  <c r="AL507" i="12"/>
  <c r="AL398" i="12"/>
  <c r="AL276" i="12"/>
  <c r="AL345" i="12"/>
  <c r="AL161" i="12"/>
  <c r="AL636" i="12"/>
  <c r="AL481" i="12"/>
  <c r="AL150" i="12"/>
  <c r="AL601" i="12"/>
  <c r="AL414" i="12"/>
  <c r="AL425" i="12"/>
  <c r="AL59" i="12"/>
  <c r="AL334" i="12"/>
  <c r="AL18" i="12"/>
  <c r="AL613" i="12"/>
  <c r="AL279" i="12"/>
  <c r="AL633" i="12"/>
  <c r="AL327" i="12"/>
  <c r="AL210" i="12"/>
  <c r="AL349" i="12"/>
  <c r="AL575" i="12"/>
  <c r="AL431" i="12"/>
  <c r="AL643" i="12"/>
  <c r="AL448" i="12"/>
  <c r="AL645" i="12"/>
  <c r="AL539" i="12"/>
  <c r="AL638" i="12"/>
  <c r="AL166" i="12"/>
  <c r="AL136" i="12"/>
  <c r="AL678" i="12"/>
  <c r="AL538" i="12"/>
  <c r="AL53" i="12"/>
  <c r="AL297" i="12"/>
  <c r="AL17" i="12"/>
  <c r="AL221" i="12"/>
  <c r="AL586" i="12"/>
  <c r="AL78" i="12"/>
  <c r="AL337" i="12"/>
  <c r="AL652" i="12"/>
  <c r="AL647" i="12"/>
  <c r="AL95" i="12"/>
  <c r="AL180" i="12"/>
  <c r="AL714" i="12"/>
  <c r="AL299" i="12"/>
  <c r="AL31" i="12"/>
  <c r="AL577" i="12"/>
  <c r="AL644" i="12"/>
  <c r="AL124" i="12"/>
  <c r="AL359" i="12"/>
  <c r="AL627" i="12"/>
  <c r="AL30" i="12"/>
  <c r="AL188" i="12"/>
  <c r="AL200" i="12"/>
  <c r="W62" i="12"/>
  <c r="W63" i="12" s="1"/>
  <c r="W64" i="12" s="1"/>
  <c r="W65" i="12" s="1"/>
  <c r="W66" i="12" s="1"/>
  <c r="G36" i="14"/>
  <c r="C18" i="10"/>
  <c r="E18" i="10"/>
  <c r="H64" i="14"/>
  <c r="E82" i="14"/>
  <c r="D16" i="14"/>
  <c r="D30" i="14"/>
  <c r="D18" i="10"/>
  <c r="F57" i="14"/>
  <c r="E60" i="14"/>
  <c r="AR463" i="12" l="1" a="1"/>
  <c r="AR463" i="12" s="1"/>
  <c r="AM463" i="12"/>
  <c r="AK463" i="12" s="1"/>
  <c r="AS463" i="12" s="1"/>
  <c r="AQ463" i="12" a="1"/>
  <c r="AQ463" i="12" s="1"/>
  <c r="AP463" i="12" a="1"/>
  <c r="AP463" i="12" s="1"/>
  <c r="AR166" i="12" a="1"/>
  <c r="AR166" i="12" s="1"/>
  <c r="AM166" i="12"/>
  <c r="AQ166" i="12" s="1" a="1"/>
  <c r="AQ166" i="12" s="1"/>
  <c r="AK166" i="12"/>
  <c r="AS166" i="12" s="1"/>
  <c r="AP166" i="12" a="1"/>
  <c r="AP166" i="12" s="1"/>
  <c r="AO166" i="12" a="1"/>
  <c r="AO166" i="12" s="1"/>
  <c r="AM607" i="12"/>
  <c r="AP607" i="12" s="1" a="1"/>
  <c r="AP607" i="12" s="1"/>
  <c r="AR607" i="12" a="1"/>
  <c r="AR607" i="12" s="1"/>
  <c r="AR703" i="12" a="1"/>
  <c r="AR703" i="12" s="1"/>
  <c r="AM703" i="12"/>
  <c r="AO703" i="12" s="1" a="1"/>
  <c r="AO703" i="12" s="1"/>
  <c r="AR539" i="12" a="1"/>
  <c r="AR539" i="12" s="1"/>
  <c r="AM539" i="12"/>
  <c r="AK539" i="12" s="1"/>
  <c r="AS539" i="12" s="1"/>
  <c r="AQ539" i="12" a="1"/>
  <c r="AQ539" i="12" s="1"/>
  <c r="AR167" i="12" a="1"/>
  <c r="AR167" i="12" s="1"/>
  <c r="AM167" i="12"/>
  <c r="AM381" i="12"/>
  <c r="AO381" i="12" s="1" a="1"/>
  <c r="AO381" i="12" s="1"/>
  <c r="AR381" i="12" a="1"/>
  <c r="AR381" i="12" s="1"/>
  <c r="AP381" i="12" a="1"/>
  <c r="AP381" i="12" s="1"/>
  <c r="AR527" i="12" a="1"/>
  <c r="AR527" i="12" s="1"/>
  <c r="AM527" i="12"/>
  <c r="AP527" i="12" s="1" a="1"/>
  <c r="AP527" i="12" s="1"/>
  <c r="AK527" i="12"/>
  <c r="AS527" i="12" s="1"/>
  <c r="AR571" i="12" a="1"/>
  <c r="AR571" i="12" s="1"/>
  <c r="AK571" i="12"/>
  <c r="AS571" i="12" s="1"/>
  <c r="AM571" i="12"/>
  <c r="AO571" i="12" s="1" a="1"/>
  <c r="AO571" i="12" s="1"/>
  <c r="AP571" i="12" a="1"/>
  <c r="AP571" i="12" s="1"/>
  <c r="AQ571" i="12" a="1"/>
  <c r="AQ571" i="12" s="1"/>
  <c r="AM212" i="12"/>
  <c r="AO212" i="12" s="1" a="1"/>
  <c r="AO212" i="12" s="1"/>
  <c r="AR212" i="12" a="1"/>
  <c r="AR212" i="12" s="1"/>
  <c r="AQ212" i="12" a="1"/>
  <c r="AQ212" i="12" s="1"/>
  <c r="AR412" i="12" a="1"/>
  <c r="AR412" i="12" s="1"/>
  <c r="AM412" i="12"/>
  <c r="AM119" i="12"/>
  <c r="AK119" i="12" s="1"/>
  <c r="AS119" i="12" s="1"/>
  <c r="AR119" i="12" a="1"/>
  <c r="AR119" i="12" s="1"/>
  <c r="AR399" i="12" a="1"/>
  <c r="AR399" i="12" s="1"/>
  <c r="AM399" i="12"/>
  <c r="AK399" i="12" s="1"/>
  <c r="AS399" i="12" s="1"/>
  <c r="AM652" i="12"/>
  <c r="AR652" i="12" a="1"/>
  <c r="AR652" i="12" s="1"/>
  <c r="AR643" i="12" a="1"/>
  <c r="AR643" i="12" s="1"/>
  <c r="AM643" i="12"/>
  <c r="AK643" i="12" s="1"/>
  <c r="AS643" i="12" s="1"/>
  <c r="AQ643" i="12" a="1"/>
  <c r="AQ643" i="12" s="1"/>
  <c r="AR481" i="12" a="1"/>
  <c r="AR481" i="12" s="1"/>
  <c r="AM481" i="12"/>
  <c r="AK481" i="12" s="1"/>
  <c r="AS481" i="12" s="1"/>
  <c r="AR63" i="12" a="1"/>
  <c r="AR63" i="12" s="1"/>
  <c r="AM63" i="12"/>
  <c r="AQ63" i="12" s="1" a="1"/>
  <c r="AQ63" i="12" s="1"/>
  <c r="AR427" i="12" a="1"/>
  <c r="AR427" i="12" s="1"/>
  <c r="AM427" i="12"/>
  <c r="AP427" i="12" s="1" a="1"/>
  <c r="AP427" i="12" s="1"/>
  <c r="AR717" i="12" a="1"/>
  <c r="AR717" i="12" s="1"/>
  <c r="AM717" i="12"/>
  <c r="AK717" i="12" s="1"/>
  <c r="AS717" i="12" s="1"/>
  <c r="AM196" i="12"/>
  <c r="AP196" i="12" s="1" a="1"/>
  <c r="AP196" i="12" s="1"/>
  <c r="AR196" i="12" a="1"/>
  <c r="AR196" i="12" s="1"/>
  <c r="AM443" i="12"/>
  <c r="AO443" i="12" s="1" a="1"/>
  <c r="AO443" i="12" s="1"/>
  <c r="AR443" i="12" a="1"/>
  <c r="AR443" i="12" s="1"/>
  <c r="AR479" i="12" a="1"/>
  <c r="AR479" i="12" s="1"/>
  <c r="AM479" i="12"/>
  <c r="AK479" i="12" s="1"/>
  <c r="AS479" i="12" s="1"/>
  <c r="AM41" i="12"/>
  <c r="AK41" i="12" s="1"/>
  <c r="AS41" i="12" s="1"/>
  <c r="AR41" i="12" a="1"/>
  <c r="AR41" i="12" s="1"/>
  <c r="AM660" i="12"/>
  <c r="AO660" i="12" s="1" a="1"/>
  <c r="AO660" i="12" s="1"/>
  <c r="AR660" i="12" a="1"/>
  <c r="AR660" i="12" s="1"/>
  <c r="AR58" i="12" a="1"/>
  <c r="AR58" i="12" s="1"/>
  <c r="AM58" i="12"/>
  <c r="AQ58" i="12" s="1" a="1"/>
  <c r="AQ58" i="12" s="1"/>
  <c r="AR172" i="12" a="1"/>
  <c r="AR172" i="12" s="1"/>
  <c r="AM172" i="12"/>
  <c r="AK172" i="12" s="1"/>
  <c r="AS172" i="12" s="1"/>
  <c r="AQ172" i="12" a="1"/>
  <c r="AQ172" i="12" s="1"/>
  <c r="AR203" i="12" a="1"/>
  <c r="AR203" i="12" s="1"/>
  <c r="AM203" i="12"/>
  <c r="AO203" i="12" s="1" a="1"/>
  <c r="AO203" i="12" s="1"/>
  <c r="AR239" i="12" a="1"/>
  <c r="AR239" i="12" s="1"/>
  <c r="AM239" i="12"/>
  <c r="AQ239" i="12" s="1" a="1"/>
  <c r="AQ239" i="12" s="1"/>
  <c r="AM541" i="12"/>
  <c r="AK541" i="12" s="1"/>
  <c r="AS541" i="12" s="1"/>
  <c r="AR541" i="12" a="1"/>
  <c r="AR541" i="12" s="1"/>
  <c r="AM129" i="12"/>
  <c r="AR129" i="12" a="1"/>
  <c r="AR129" i="12" s="1"/>
  <c r="AR386" i="12" a="1"/>
  <c r="AR386" i="12" s="1"/>
  <c r="AM386" i="12"/>
  <c r="AK386" i="12" s="1"/>
  <c r="AS386" i="12" s="1"/>
  <c r="AR697" i="12" a="1"/>
  <c r="AR697" i="12" s="1"/>
  <c r="AM697" i="12"/>
  <c r="AP697" i="12" s="1" a="1"/>
  <c r="AP697" i="12" s="1"/>
  <c r="AR24" i="12" a="1"/>
  <c r="AR24" i="12" s="1"/>
  <c r="AM24" i="12"/>
  <c r="AK24" i="12" s="1"/>
  <c r="AS24" i="12" s="1"/>
  <c r="AR122" i="12" a="1"/>
  <c r="AR122" i="12" s="1"/>
  <c r="AM122" i="12"/>
  <c r="AK122" i="12" s="1"/>
  <c r="AS122" i="12" s="1"/>
  <c r="AM128" i="12"/>
  <c r="AO128" i="12" s="1" a="1"/>
  <c r="AO128" i="12" s="1"/>
  <c r="AR128" i="12" a="1"/>
  <c r="AR128" i="12" s="1"/>
  <c r="AP128" i="12" a="1"/>
  <c r="AP128" i="12" s="1"/>
  <c r="AR672" i="12" a="1"/>
  <c r="AR672" i="12" s="1"/>
  <c r="AM672" i="12"/>
  <c r="AK672" i="12" s="1"/>
  <c r="AS672" i="12" s="1"/>
  <c r="AR211" i="12" a="1"/>
  <c r="AR211" i="12" s="1"/>
  <c r="AM211" i="12"/>
  <c r="AK211" i="12" s="1"/>
  <c r="AS211" i="12" s="1"/>
  <c r="AQ211" i="12" a="1"/>
  <c r="AQ211" i="12" s="1"/>
  <c r="AM199" i="12"/>
  <c r="AK199" i="12" s="1"/>
  <c r="AS199" i="12" s="1"/>
  <c r="AR199" i="12" a="1"/>
  <c r="AR199" i="12" s="1"/>
  <c r="AP199" i="12" a="1"/>
  <c r="AP199" i="12" s="1"/>
  <c r="AR639" i="12" a="1"/>
  <c r="AR639" i="12" s="1"/>
  <c r="AM639" i="12"/>
  <c r="AO639" i="12" s="1" a="1"/>
  <c r="AO639" i="12" s="1"/>
  <c r="AK639" i="12"/>
  <c r="AS639" i="12" s="1"/>
  <c r="AR271" i="12" a="1"/>
  <c r="AR271" i="12" s="1"/>
  <c r="AM271" i="12"/>
  <c r="AK271" i="12" s="1"/>
  <c r="AS271" i="12" s="1"/>
  <c r="AM540" i="12"/>
  <c r="AK540" i="12" s="1"/>
  <c r="AS540" i="12" s="1"/>
  <c r="AR540" i="12" a="1"/>
  <c r="AR540" i="12" s="1"/>
  <c r="AR555" i="12" a="1"/>
  <c r="AR555" i="12" s="1"/>
  <c r="AM555" i="12"/>
  <c r="AK555" i="12" s="1"/>
  <c r="AS555" i="12" s="1"/>
  <c r="AR7" i="12" a="1"/>
  <c r="AR7" i="12" s="1"/>
  <c r="AM7" i="12"/>
  <c r="AK7" i="12" s="1"/>
  <c r="AS7" i="12" s="1"/>
  <c r="AR13" i="12" a="1"/>
  <c r="AR13" i="12" s="1"/>
  <c r="AM13" i="12"/>
  <c r="AM240" i="12"/>
  <c r="AK240" i="12" s="1"/>
  <c r="AS240" i="12" s="1"/>
  <c r="AR240" i="12" a="1"/>
  <c r="AR240" i="12" s="1"/>
  <c r="AR323" i="12" a="1"/>
  <c r="AR323" i="12" s="1"/>
  <c r="AM323" i="12"/>
  <c r="AP323" i="12" s="1" a="1"/>
  <c r="AP323" i="12" s="1"/>
  <c r="AK323" i="12"/>
  <c r="AS323" i="12" s="1"/>
  <c r="AQ323" i="12" a="1"/>
  <c r="AQ323" i="12" s="1"/>
  <c r="AO323" i="12" a="1"/>
  <c r="AO323" i="12" s="1"/>
  <c r="AR574" i="12" a="1"/>
  <c r="AR574" i="12" s="1"/>
  <c r="AM574" i="12"/>
  <c r="AK574" i="12" s="1"/>
  <c r="AS574" i="12" s="1"/>
  <c r="AM635" i="12"/>
  <c r="AK635" i="12" s="1"/>
  <c r="AS635" i="12" s="1"/>
  <c r="AR635" i="12" a="1"/>
  <c r="AR635" i="12" s="1"/>
  <c r="AR79" i="12" a="1"/>
  <c r="AR79" i="12" s="1"/>
  <c r="AM79" i="12"/>
  <c r="AO79" i="12" s="1" a="1"/>
  <c r="AO79" i="12" s="1"/>
  <c r="AQ79" i="12" a="1"/>
  <c r="AQ79" i="12" s="1"/>
  <c r="AR356" i="12" a="1"/>
  <c r="AR356" i="12" s="1"/>
  <c r="AM356" i="12"/>
  <c r="AK356" i="12" s="1"/>
  <c r="AS356" i="12" s="1"/>
  <c r="AM10" i="12"/>
  <c r="AP10" i="12" s="1" a="1"/>
  <c r="AP10" i="12" s="1"/>
  <c r="AR10" i="12" a="1"/>
  <c r="AR10" i="12" s="1"/>
  <c r="AM692" i="12"/>
  <c r="AP692" i="12" s="1" a="1"/>
  <c r="AP692" i="12" s="1"/>
  <c r="AR692" i="12" a="1"/>
  <c r="AR692" i="12" s="1"/>
  <c r="AM304" i="12"/>
  <c r="AK304" i="12" s="1"/>
  <c r="AS304" i="12" s="1"/>
  <c r="AR304" i="12" a="1"/>
  <c r="AR304" i="12" s="1"/>
  <c r="AM164" i="12"/>
  <c r="AK164" i="12" s="1"/>
  <c r="AS164" i="12" s="1"/>
  <c r="AR164" i="12" a="1"/>
  <c r="AR164" i="12" s="1"/>
  <c r="AR492" i="12" a="1"/>
  <c r="AR492" i="12" s="1"/>
  <c r="AM492" i="12"/>
  <c r="AR131" i="12" a="1"/>
  <c r="AR131" i="12" s="1"/>
  <c r="AM131" i="12"/>
  <c r="AK131" i="12" s="1"/>
  <c r="AS131" i="12" s="1"/>
  <c r="AP131" i="12" a="1"/>
  <c r="AP131" i="12" s="1"/>
  <c r="AR395" i="12" a="1"/>
  <c r="AR395" i="12" s="1"/>
  <c r="AM395" i="12"/>
  <c r="AK395" i="12" s="1"/>
  <c r="AS395" i="12" s="1"/>
  <c r="AR48" i="12" a="1"/>
  <c r="AR48" i="12" s="1"/>
  <c r="AM48" i="12"/>
  <c r="AQ48" i="12" s="1" a="1"/>
  <c r="AQ48" i="12" s="1"/>
  <c r="AM334" i="12"/>
  <c r="AR334" i="12" a="1"/>
  <c r="AR334" i="12" s="1"/>
  <c r="AR230" i="12" a="1"/>
  <c r="AR230" i="12" s="1"/>
  <c r="AM230" i="12"/>
  <c r="AO230" i="12" s="1" a="1"/>
  <c r="AO230" i="12" s="1"/>
  <c r="AR465" i="12" a="1"/>
  <c r="AR465" i="12" s="1"/>
  <c r="AM465" i="12"/>
  <c r="AK465" i="12" s="1"/>
  <c r="AS465" i="12" s="1"/>
  <c r="AR113" i="12" a="1"/>
  <c r="AR113" i="12" s="1"/>
  <c r="AM113" i="12"/>
  <c r="AK113" i="12" s="1"/>
  <c r="AS113" i="12" s="1"/>
  <c r="AR467" i="12" a="1"/>
  <c r="AR467" i="12" s="1"/>
  <c r="AM467" i="12"/>
  <c r="AK467" i="12" s="1"/>
  <c r="AS467" i="12" s="1"/>
  <c r="B36" i="12" a="1"/>
  <c r="B36" i="12" s="1"/>
  <c r="O67" i="12"/>
  <c r="O68" i="12" s="1"/>
  <c r="O69" i="12" s="1"/>
  <c r="O70" i="12" s="1"/>
  <c r="O71" i="12" s="1"/>
  <c r="AR470" i="12" a="1"/>
  <c r="AR470" i="12" s="1"/>
  <c r="AM470" i="12"/>
  <c r="AK470" i="12" s="1"/>
  <c r="AS470" i="12" s="1"/>
  <c r="AR726" i="12" a="1"/>
  <c r="AR726" i="12" s="1"/>
  <c r="AM726" i="12"/>
  <c r="AP726" i="12" s="1" a="1"/>
  <c r="AP726" i="12" s="1"/>
  <c r="AR218" i="12" a="1"/>
  <c r="AR218" i="12" s="1"/>
  <c r="AM218" i="12"/>
  <c r="AP218" i="12" s="1" a="1"/>
  <c r="AP218" i="12" s="1"/>
  <c r="AK218" i="12"/>
  <c r="AS218" i="12" s="1"/>
  <c r="AM568" i="12"/>
  <c r="AQ568" i="12" s="1" a="1"/>
  <c r="AQ568" i="12" s="1"/>
  <c r="AR568" i="12" a="1"/>
  <c r="AR568" i="12" s="1"/>
  <c r="AM251" i="12"/>
  <c r="AK251" i="12" s="1"/>
  <c r="AS251" i="12" s="1"/>
  <c r="AR251" i="12" a="1"/>
  <c r="AR251" i="12" s="1"/>
  <c r="AO251" i="12" a="1"/>
  <c r="AO251" i="12" s="1"/>
  <c r="AM247" i="12"/>
  <c r="AO247" i="12" s="1" a="1"/>
  <c r="AO247" i="12" s="1"/>
  <c r="AR247" i="12" a="1"/>
  <c r="AR247" i="12" s="1"/>
  <c r="AM102" i="12"/>
  <c r="AO102" i="12" s="1" a="1"/>
  <c r="AO102" i="12" s="1"/>
  <c r="AR102" i="12" a="1"/>
  <c r="AR102" i="12" s="1"/>
  <c r="AM503" i="12"/>
  <c r="AR503" i="12" a="1"/>
  <c r="AR503" i="12" s="1"/>
  <c r="AK503" i="12"/>
  <c r="AS503" i="12" s="1"/>
  <c r="AR68" i="12" a="1"/>
  <c r="AR68" i="12" s="1"/>
  <c r="AM68" i="12"/>
  <c r="AK68" i="12" s="1"/>
  <c r="AS68" i="12" s="1"/>
  <c r="AP68" i="12" a="1"/>
  <c r="AP68" i="12" s="1"/>
  <c r="AO68" i="12" a="1"/>
  <c r="AO68" i="12" s="1"/>
  <c r="AR638" i="12" a="1"/>
  <c r="AR638" i="12" s="1"/>
  <c r="AM638" i="12"/>
  <c r="AK638" i="12" s="1"/>
  <c r="AS638" i="12" s="1"/>
  <c r="AR677" i="12" a="1"/>
  <c r="AR677" i="12" s="1"/>
  <c r="AM677" i="12"/>
  <c r="AK677" i="12" s="1"/>
  <c r="AS677" i="12" s="1"/>
  <c r="AR629" i="12" a="1"/>
  <c r="AR629" i="12" s="1"/>
  <c r="AM629" i="12"/>
  <c r="AO629" i="12" s="1" a="1"/>
  <c r="AO629" i="12" s="1"/>
  <c r="AQ629" i="12" a="1"/>
  <c r="AQ629" i="12" s="1"/>
  <c r="AR317" i="12" a="1"/>
  <c r="AR317" i="12" s="1"/>
  <c r="AM317" i="12"/>
  <c r="AP317" i="12" s="1" a="1"/>
  <c r="AP317" i="12" s="1"/>
  <c r="AR116" i="12" a="1"/>
  <c r="AR116" i="12" s="1"/>
  <c r="AM116" i="12"/>
  <c r="AQ116" i="12" s="1" a="1"/>
  <c r="AQ116" i="12" s="1"/>
  <c r="AM705" i="12"/>
  <c r="AP705" i="12" s="1" a="1"/>
  <c r="AP705" i="12" s="1"/>
  <c r="AR705" i="12" a="1"/>
  <c r="AR705" i="12" s="1"/>
  <c r="AR6" i="12" a="1"/>
  <c r="AR6" i="12" s="1"/>
  <c r="AM6" i="12"/>
  <c r="AK6" i="12" s="1"/>
  <c r="AS6" i="12" s="1"/>
  <c r="AM418" i="12"/>
  <c r="AK418" i="12" s="1"/>
  <c r="AS418" i="12" s="1"/>
  <c r="AR418" i="12" a="1"/>
  <c r="AR418" i="12" s="1"/>
  <c r="AR179" i="12" a="1"/>
  <c r="AR179" i="12" s="1"/>
  <c r="AM179" i="12"/>
  <c r="AK179" i="12" s="1"/>
  <c r="AS179" i="12" s="1"/>
  <c r="AP179" i="12" a="1"/>
  <c r="AP179" i="12" s="1"/>
  <c r="AO179" i="12" a="1"/>
  <c r="AO179" i="12" s="1"/>
  <c r="AR712" i="12" a="1"/>
  <c r="AR712" i="12" s="1"/>
  <c r="AM712" i="12"/>
  <c r="AK712" i="12" s="1"/>
  <c r="AS712" i="12" s="1"/>
  <c r="AR265" i="12" a="1"/>
  <c r="AR265" i="12" s="1"/>
  <c r="AM265" i="12"/>
  <c r="AM665" i="12"/>
  <c r="AQ665" i="12" s="1" a="1"/>
  <c r="AQ665" i="12" s="1"/>
  <c r="AR665" i="12" a="1"/>
  <c r="AR665" i="12" s="1"/>
  <c r="AM184" i="12"/>
  <c r="AQ184" i="12" s="1" a="1"/>
  <c r="AQ184" i="12" s="1"/>
  <c r="AR184" i="12" a="1"/>
  <c r="AR184" i="12" s="1"/>
  <c r="AR182" i="12" a="1"/>
  <c r="AR182" i="12" s="1"/>
  <c r="AM182" i="12"/>
  <c r="AP182" i="12" s="1" a="1"/>
  <c r="AP182" i="12" s="1"/>
  <c r="AR314" i="12" a="1"/>
  <c r="AR314" i="12" s="1"/>
  <c r="AM314" i="12"/>
  <c r="AQ314" i="12" s="1" a="1"/>
  <c r="AQ314" i="12" s="1"/>
  <c r="AM296" i="12"/>
  <c r="AK296" i="12" s="1"/>
  <c r="AS296" i="12" s="1"/>
  <c r="AR296" i="12" a="1"/>
  <c r="AR296" i="12" s="1"/>
  <c r="AR298" i="12" a="1"/>
  <c r="AR298" i="12" s="1"/>
  <c r="AM298" i="12"/>
  <c r="AP298" i="12" s="1" a="1"/>
  <c r="AP298" i="12" s="1"/>
  <c r="AR473" i="12" a="1"/>
  <c r="AR473" i="12" s="1"/>
  <c r="AK473" i="12"/>
  <c r="AS473" i="12" s="1"/>
  <c r="AM473" i="12"/>
  <c r="AM591" i="12"/>
  <c r="AK591" i="12" s="1"/>
  <c r="AS591" i="12" s="1"/>
  <c r="AR591" i="12" a="1"/>
  <c r="AR591" i="12" s="1"/>
  <c r="AR641" i="12" a="1"/>
  <c r="AR641" i="12" s="1"/>
  <c r="AM641" i="12"/>
  <c r="AK641" i="12" s="1"/>
  <c r="AS641" i="12" s="1"/>
  <c r="AR109" i="12" a="1"/>
  <c r="AR109" i="12" s="1"/>
  <c r="AM109" i="12"/>
  <c r="AO109" i="12" s="1" a="1"/>
  <c r="AO109" i="12" s="1"/>
  <c r="AM272" i="12"/>
  <c r="AO272" i="12" s="1" a="1"/>
  <c r="AO272" i="12" s="1"/>
  <c r="AR272" i="12" a="1"/>
  <c r="AR272" i="12" s="1"/>
  <c r="AP272" i="12" a="1"/>
  <c r="AP272" i="12" s="1"/>
  <c r="AR104" i="12" a="1"/>
  <c r="AR104" i="12" s="1"/>
  <c r="AM104" i="12"/>
  <c r="AK104" i="12" s="1"/>
  <c r="AS104" i="12" s="1"/>
  <c r="AM472" i="12"/>
  <c r="AO472" i="12" s="1" a="1"/>
  <c r="AO472" i="12" s="1"/>
  <c r="AR472" i="12" a="1"/>
  <c r="AR472" i="12" s="1"/>
  <c r="AM237" i="12"/>
  <c r="AO237" i="12" s="1" a="1"/>
  <c r="AO237" i="12" s="1"/>
  <c r="AR237" i="12" a="1"/>
  <c r="AR237" i="12" s="1"/>
  <c r="AQ237" i="12" a="1"/>
  <c r="AQ237" i="12" s="1"/>
  <c r="AR94" i="12" a="1"/>
  <c r="AR94" i="12" s="1"/>
  <c r="AM94" i="12"/>
  <c r="AO94" i="12" s="1" a="1"/>
  <c r="AO94" i="12" s="1"/>
  <c r="AR543" i="12" a="1"/>
  <c r="AR543" i="12" s="1"/>
  <c r="AM543" i="12"/>
  <c r="AQ543" i="12" s="1" a="1"/>
  <c r="AQ543" i="12" s="1"/>
  <c r="AR290" i="12" a="1"/>
  <c r="AR290" i="12" s="1"/>
  <c r="AM290" i="12"/>
  <c r="AO290" i="12" s="1" a="1"/>
  <c r="AO290" i="12" s="1"/>
  <c r="AR448" i="12" a="1"/>
  <c r="AR448" i="12" s="1"/>
  <c r="AM448" i="12"/>
  <c r="AK448" i="12" s="1"/>
  <c r="AS448" i="12" s="1"/>
  <c r="AR305" i="12" a="1"/>
  <c r="AR305" i="12" s="1"/>
  <c r="AM305" i="12"/>
  <c r="AK305" i="12" s="1"/>
  <c r="AS305" i="12" s="1"/>
  <c r="AP305" i="12" a="1"/>
  <c r="AP305" i="12" s="1"/>
  <c r="AQ305" i="12" a="1"/>
  <c r="AQ305" i="12" s="1"/>
  <c r="AR528" i="12" a="1"/>
  <c r="AR528" i="12" s="1"/>
  <c r="AM528" i="12"/>
  <c r="AK528" i="12" s="1"/>
  <c r="AS528" i="12" s="1"/>
  <c r="AM21" i="12"/>
  <c r="AR21" i="12" a="1"/>
  <c r="AR21" i="12" s="1"/>
  <c r="AR437" i="12" a="1"/>
  <c r="AR437" i="12" s="1"/>
  <c r="AM437" i="12"/>
  <c r="AP437" i="12" s="1" a="1"/>
  <c r="AP437" i="12" s="1"/>
  <c r="AK437" i="12"/>
  <c r="AS437" i="12" s="1"/>
  <c r="AM283" i="12"/>
  <c r="AQ283" i="12" s="1" a="1"/>
  <c r="AQ283" i="12" s="1"/>
  <c r="AR283" i="12" a="1"/>
  <c r="AR283" i="12" s="1"/>
  <c r="AP283" i="12" a="1"/>
  <c r="AP283" i="12" s="1"/>
  <c r="AR450" i="12" a="1"/>
  <c r="AR450" i="12" s="1"/>
  <c r="AM450" i="12"/>
  <c r="AO450" i="12" s="1" a="1"/>
  <c r="AO450" i="12" s="1"/>
  <c r="AQ450" i="12" a="1"/>
  <c r="AQ450" i="12" s="1"/>
  <c r="AM352" i="12"/>
  <c r="AP352" i="12" s="1" a="1"/>
  <c r="AP352" i="12" s="1"/>
  <c r="AR352" i="12" a="1"/>
  <c r="AR352" i="12" s="1"/>
  <c r="AO352" i="12" a="1"/>
  <c r="AO352" i="12" s="1"/>
  <c r="AM406" i="12"/>
  <c r="AK406" i="12" s="1"/>
  <c r="AS406" i="12" s="1"/>
  <c r="AR406" i="12" a="1"/>
  <c r="AR406" i="12" s="1"/>
  <c r="AR38" i="12" a="1"/>
  <c r="AR38" i="12" s="1"/>
  <c r="AM38" i="12"/>
  <c r="AK38" i="12" s="1"/>
  <c r="AS38" i="12" s="1"/>
  <c r="AO38" i="12" a="1"/>
  <c r="AO38" i="12" s="1"/>
  <c r="AM263" i="12"/>
  <c r="AQ263" i="12" s="1" a="1"/>
  <c r="AQ263" i="12" s="1"/>
  <c r="AR263" i="12" a="1"/>
  <c r="AR263" i="12" s="1"/>
  <c r="AR576" i="12" a="1"/>
  <c r="AR576" i="12" s="1"/>
  <c r="AM576" i="12"/>
  <c r="AO576" i="12" s="1" a="1"/>
  <c r="AO576" i="12" s="1"/>
  <c r="AM267" i="12"/>
  <c r="AP267" i="12" s="1" a="1"/>
  <c r="AP267" i="12" s="1"/>
  <c r="AR267" i="12" a="1"/>
  <c r="AR267" i="12" s="1"/>
  <c r="AM546" i="12"/>
  <c r="AP546" i="12" s="1" a="1"/>
  <c r="AP546" i="12" s="1"/>
  <c r="AR546" i="12" a="1"/>
  <c r="AR546" i="12" s="1"/>
  <c r="AO546" i="12" a="1"/>
  <c r="AO546" i="12" s="1"/>
  <c r="AR11" i="12" a="1"/>
  <c r="AR11" i="12" s="1"/>
  <c r="AM11" i="12"/>
  <c r="AP11" i="12" s="1" a="1"/>
  <c r="AP11" i="12" s="1"/>
  <c r="AM456" i="12"/>
  <c r="AQ456" i="12" s="1" a="1"/>
  <c r="AQ456" i="12" s="1"/>
  <c r="AR456" i="12" a="1"/>
  <c r="AR456" i="12" s="1"/>
  <c r="AM99" i="12"/>
  <c r="AR99" i="12" a="1"/>
  <c r="AR99" i="12" s="1"/>
  <c r="AR254" i="12" a="1"/>
  <c r="AR254" i="12" s="1"/>
  <c r="AM254" i="12"/>
  <c r="AO254" i="12" s="1" a="1"/>
  <c r="AO254" i="12" s="1"/>
  <c r="AR157" i="12" a="1"/>
  <c r="AR157" i="12" s="1"/>
  <c r="AM157" i="12"/>
  <c r="AQ157" i="12" s="1" a="1"/>
  <c r="AQ157" i="12" s="1"/>
  <c r="AP157" i="12" a="1"/>
  <c r="AP157" i="12" s="1"/>
  <c r="AR457" i="12" a="1"/>
  <c r="AR457" i="12" s="1"/>
  <c r="AM457" i="12"/>
  <c r="AR145" i="12" a="1"/>
  <c r="AR145" i="12" s="1"/>
  <c r="AM145" i="12"/>
  <c r="AO145" i="12" s="1" a="1"/>
  <c r="AO145" i="12" s="1"/>
  <c r="AP145" i="12" a="1"/>
  <c r="AP145" i="12" s="1"/>
  <c r="AR525" i="12" a="1"/>
  <c r="AR525" i="12" s="1"/>
  <c r="AM525" i="12"/>
  <c r="AK525" i="12" s="1"/>
  <c r="AS525" i="12" s="1"/>
  <c r="AR573" i="12" a="1"/>
  <c r="AR573" i="12" s="1"/>
  <c r="AM573" i="12"/>
  <c r="AQ573" i="12" s="1" a="1"/>
  <c r="AQ573" i="12" s="1"/>
  <c r="AM228" i="12"/>
  <c r="AO228" i="12" s="1" a="1"/>
  <c r="AO228" i="12" s="1"/>
  <c r="AR228" i="12" a="1"/>
  <c r="AR228" i="12" s="1"/>
  <c r="AR225" i="12" a="1"/>
  <c r="AR225" i="12" s="1"/>
  <c r="AM225" i="12"/>
  <c r="AK225" i="12" s="1"/>
  <c r="AS225" i="12" s="1"/>
  <c r="AM346" i="12"/>
  <c r="AK346" i="12" s="1"/>
  <c r="AS346" i="12" s="1"/>
  <c r="AR346" i="12" a="1"/>
  <c r="AR346" i="12" s="1"/>
  <c r="AR707" i="12" a="1"/>
  <c r="AR707" i="12" s="1"/>
  <c r="AM707" i="12"/>
  <c r="AQ707" i="12" s="1" a="1"/>
  <c r="AQ707" i="12" s="1"/>
  <c r="AM549" i="12"/>
  <c r="AK549" i="12" s="1"/>
  <c r="AS549" i="12" s="1"/>
  <c r="AR549" i="12" a="1"/>
  <c r="AR549" i="12" s="1"/>
  <c r="AM78" i="12"/>
  <c r="AK78" i="12" s="1"/>
  <c r="AS78" i="12" s="1"/>
  <c r="AR78" i="12" a="1"/>
  <c r="AR78" i="12" s="1"/>
  <c r="AR161" i="12" a="1"/>
  <c r="AR161" i="12" s="1"/>
  <c r="AM161" i="12"/>
  <c r="AO161" i="12" s="1" a="1"/>
  <c r="AO161" i="12" s="1"/>
  <c r="AR151" i="12" a="1"/>
  <c r="AR151" i="12" s="1"/>
  <c r="AM151" i="12"/>
  <c r="AO151" i="12" s="1" a="1"/>
  <c r="AO151" i="12" s="1"/>
  <c r="AQ151" i="12" a="1"/>
  <c r="AQ151" i="12" s="1"/>
  <c r="AR115" i="12" a="1"/>
  <c r="AR115" i="12" s="1"/>
  <c r="AM115" i="12"/>
  <c r="AM529" i="12"/>
  <c r="AQ529" i="12" s="1" a="1"/>
  <c r="AQ529" i="12" s="1"/>
  <c r="AR529" i="12" a="1"/>
  <c r="AR529" i="12" s="1"/>
  <c r="AR685" i="12" a="1"/>
  <c r="AR685" i="12" s="1"/>
  <c r="AM685" i="12"/>
  <c r="AK685" i="12" s="1"/>
  <c r="AS685" i="12" s="1"/>
  <c r="AR498" i="12" a="1"/>
  <c r="AR498" i="12" s="1"/>
  <c r="AM498" i="12"/>
  <c r="AP498" i="12" s="1" a="1"/>
  <c r="AP498" i="12" s="1"/>
  <c r="AM256" i="12"/>
  <c r="AK256" i="12" s="1"/>
  <c r="AS256" i="12" s="1"/>
  <c r="AR256" i="12" a="1"/>
  <c r="AR256" i="12" s="1"/>
  <c r="AR384" i="12" a="1"/>
  <c r="AR384" i="12" s="1"/>
  <c r="AM384" i="12"/>
  <c r="AM86" i="12"/>
  <c r="AP86" i="12" s="1" a="1"/>
  <c r="AP86" i="12" s="1"/>
  <c r="AR86" i="12" a="1"/>
  <c r="AR86" i="12" s="1"/>
  <c r="AO86" i="12" a="1"/>
  <c r="AO86" i="12" s="1"/>
  <c r="AM471" i="12"/>
  <c r="AR471" i="12" a="1"/>
  <c r="AR471" i="12" s="1"/>
  <c r="AK471" i="12"/>
  <c r="AS471" i="12" s="1"/>
  <c r="AR419" i="12" a="1"/>
  <c r="AR419" i="12" s="1"/>
  <c r="AM419" i="12"/>
  <c r="AO419" i="12" s="1" a="1"/>
  <c r="AO419" i="12" s="1"/>
  <c r="AQ419" i="12" a="1"/>
  <c r="AQ419" i="12" s="1"/>
  <c r="AR462" i="12" a="1"/>
  <c r="AR462" i="12" s="1"/>
  <c r="AM462" i="12"/>
  <c r="AM715" i="12"/>
  <c r="AK715" i="12" s="1"/>
  <c r="AS715" i="12" s="1"/>
  <c r="AR715" i="12" a="1"/>
  <c r="AR715" i="12" s="1"/>
  <c r="AR54" i="12" a="1"/>
  <c r="AR54" i="12" s="1"/>
  <c r="AM54" i="12"/>
  <c r="AK54" i="12" s="1"/>
  <c r="AS54" i="12" s="1"/>
  <c r="AO54" i="12" a="1"/>
  <c r="AO54" i="12" s="1"/>
  <c r="AP54" i="12" a="1"/>
  <c r="AP54" i="12" s="1"/>
  <c r="AM105" i="12"/>
  <c r="AK105" i="12" s="1"/>
  <c r="AS105" i="12" s="1"/>
  <c r="AR105" i="12" a="1"/>
  <c r="AR105" i="12" s="1"/>
  <c r="AO105" i="12" a="1"/>
  <c r="AO105" i="12" s="1"/>
  <c r="AR311" i="12" a="1"/>
  <c r="AR311" i="12" s="1"/>
  <c r="AM311" i="12"/>
  <c r="AK311" i="12" s="1"/>
  <c r="AS311" i="12" s="1"/>
  <c r="AP311" i="12" a="1"/>
  <c r="AP311" i="12" s="1"/>
  <c r="AR390" i="12" a="1"/>
  <c r="AR390" i="12" s="1"/>
  <c r="AM390" i="12"/>
  <c r="AK390" i="12" s="1"/>
  <c r="AS390" i="12" s="1"/>
  <c r="AR578" i="12" a="1"/>
  <c r="AR578" i="12" s="1"/>
  <c r="AM578" i="12"/>
  <c r="AP578" i="12" s="1" a="1"/>
  <c r="AP578" i="12" s="1"/>
  <c r="AM430" i="12"/>
  <c r="AK430" i="12" s="1"/>
  <c r="AS430" i="12" s="1"/>
  <c r="AR430" i="12" a="1"/>
  <c r="AR430" i="12" s="1"/>
  <c r="AQ430" i="12" a="1"/>
  <c r="AQ430" i="12" s="1"/>
  <c r="AO430" i="12" a="1"/>
  <c r="AO430" i="12" s="1"/>
  <c r="AM295" i="12"/>
  <c r="AQ295" i="12" s="1" a="1"/>
  <c r="AQ295" i="12" s="1"/>
  <c r="AR295" i="12" a="1"/>
  <c r="AR295" i="12" s="1"/>
  <c r="AO295" i="12" a="1"/>
  <c r="AO295" i="12" s="1"/>
  <c r="AR4" i="12" a="1"/>
  <c r="AR4" i="12" s="1"/>
  <c r="AM4" i="12"/>
  <c r="AK4" i="12" s="1"/>
  <c r="AS4" i="12" s="1"/>
  <c r="AR188" i="12" a="1"/>
  <c r="AR188" i="12" s="1"/>
  <c r="AM188" i="12"/>
  <c r="AK188" i="12" s="1"/>
  <c r="AS188" i="12" s="1"/>
  <c r="AR586" i="12" a="1"/>
  <c r="AR586" i="12" s="1"/>
  <c r="AM586" i="12"/>
  <c r="AQ586" i="12" s="1" a="1"/>
  <c r="AQ586" i="12" s="1"/>
  <c r="AR349" i="12" a="1"/>
  <c r="AR349" i="12" s="1"/>
  <c r="AM349" i="12"/>
  <c r="AK349" i="12" s="1"/>
  <c r="AS349" i="12" s="1"/>
  <c r="AM345" i="12"/>
  <c r="AK345" i="12" s="1"/>
  <c r="AS345" i="12" s="1"/>
  <c r="AR345" i="12" a="1"/>
  <c r="AR345" i="12" s="1"/>
  <c r="AM592" i="12"/>
  <c r="AQ592" i="12" s="1" a="1"/>
  <c r="AQ592" i="12" s="1"/>
  <c r="AR592" i="12" a="1"/>
  <c r="AR592" i="12" s="1"/>
  <c r="AP592" i="12" a="1"/>
  <c r="AP592" i="12" s="1"/>
  <c r="AM727" i="12"/>
  <c r="AQ727" i="12" s="1" a="1"/>
  <c r="AQ727" i="12" s="1"/>
  <c r="AR727" i="12" a="1"/>
  <c r="AR727" i="12" s="1"/>
  <c r="AO727" i="12" a="1"/>
  <c r="AO727" i="12" s="1"/>
  <c r="AM171" i="12"/>
  <c r="AO171" i="12" s="1" a="1"/>
  <c r="AO171" i="12" s="1"/>
  <c r="AR171" i="12" a="1"/>
  <c r="AR171" i="12" s="1"/>
  <c r="AQ171" i="12" a="1"/>
  <c r="AQ171" i="12" s="1"/>
  <c r="AR490" i="12" a="1"/>
  <c r="AR490" i="12" s="1"/>
  <c r="AM490" i="12"/>
  <c r="AK490" i="12" s="1"/>
  <c r="AS490" i="12" s="1"/>
  <c r="AR249" i="12" a="1"/>
  <c r="AR249" i="12" s="1"/>
  <c r="AM249" i="12"/>
  <c r="AO249" i="12" s="1" a="1"/>
  <c r="AO249" i="12" s="1"/>
  <c r="AR468" i="12" a="1"/>
  <c r="AR468" i="12" s="1"/>
  <c r="AM468" i="12"/>
  <c r="AO468" i="12" s="1" a="1"/>
  <c r="AO468" i="12" s="1"/>
  <c r="AM696" i="12"/>
  <c r="AR696" i="12" a="1"/>
  <c r="AR696" i="12" s="1"/>
  <c r="AR91" i="12" a="1"/>
  <c r="AR91" i="12" s="1"/>
  <c r="AM91" i="12"/>
  <c r="AK91" i="12" s="1"/>
  <c r="AS91" i="12" s="1"/>
  <c r="AR142" i="12" a="1"/>
  <c r="AR142" i="12" s="1"/>
  <c r="AM142" i="12"/>
  <c r="AK142" i="12" s="1"/>
  <c r="AS142" i="12" s="1"/>
  <c r="AR318" i="12" a="1"/>
  <c r="AR318" i="12" s="1"/>
  <c r="AM318" i="12"/>
  <c r="AK318" i="12" s="1"/>
  <c r="AS318" i="12" s="1"/>
  <c r="AM700" i="12"/>
  <c r="AR700" i="12" a="1"/>
  <c r="AR700" i="12" s="1"/>
  <c r="AR542" i="12" a="1"/>
  <c r="AR542" i="12" s="1"/>
  <c r="AM542" i="12"/>
  <c r="AP542" i="12" s="1" a="1"/>
  <c r="AP542" i="12" s="1"/>
  <c r="AK542" i="12"/>
  <c r="AS542" i="12" s="1"/>
  <c r="AQ542" i="12" a="1"/>
  <c r="AQ542" i="12" s="1"/>
  <c r="AR65" i="12" a="1"/>
  <c r="AR65" i="12" s="1"/>
  <c r="AM65" i="12"/>
  <c r="AP65" i="12" s="1" a="1"/>
  <c r="AP65" i="12" s="1"/>
  <c r="AM466" i="12"/>
  <c r="AR466" i="12" a="1"/>
  <c r="AR466" i="12" s="1"/>
  <c r="AR71" i="12" a="1"/>
  <c r="AR71" i="12" s="1"/>
  <c r="AM71" i="12"/>
  <c r="AP71" i="12" s="1" a="1"/>
  <c r="AP71" i="12" s="1"/>
  <c r="AR514" i="12" a="1"/>
  <c r="AR514" i="12" s="1"/>
  <c r="AM514" i="12"/>
  <c r="AP514" i="12" s="1" a="1"/>
  <c r="AP514" i="12" s="1"/>
  <c r="AK514" i="12"/>
  <c r="AS514" i="12" s="1"/>
  <c r="AM291" i="12"/>
  <c r="AQ291" i="12" s="1" a="1"/>
  <c r="AQ291" i="12" s="1"/>
  <c r="AR291" i="12" a="1"/>
  <c r="AR291" i="12" s="1"/>
  <c r="AM360" i="12"/>
  <c r="AR360" i="12" a="1"/>
  <c r="AR360" i="12" s="1"/>
  <c r="AR143" i="12" a="1"/>
  <c r="AR143" i="12" s="1"/>
  <c r="AM143" i="12"/>
  <c r="AQ143" i="12" s="1" a="1"/>
  <c r="AQ143" i="12" s="1"/>
  <c r="AM148" i="12"/>
  <c r="AK148" i="12" s="1"/>
  <c r="AS148" i="12" s="1"/>
  <c r="AR148" i="12" a="1"/>
  <c r="AR148" i="12" s="1"/>
  <c r="AM440" i="12"/>
  <c r="AO440" i="12" s="1" a="1"/>
  <c r="AO440" i="12" s="1"/>
  <c r="AR440" i="12" a="1"/>
  <c r="AR440" i="12" s="1"/>
  <c r="AQ440" i="12" a="1"/>
  <c r="AQ440" i="12" s="1"/>
  <c r="AR488" i="12" a="1"/>
  <c r="AR488" i="12" s="1"/>
  <c r="AM488" i="12"/>
  <c r="AQ488" i="12" s="1" a="1"/>
  <c r="AQ488" i="12" s="1"/>
  <c r="AR702" i="12" a="1"/>
  <c r="AR702" i="12" s="1"/>
  <c r="AM702" i="12"/>
  <c r="AQ702" i="12" s="1" a="1"/>
  <c r="AQ702" i="12" s="1"/>
  <c r="AK702" i="12"/>
  <c r="AS702" i="12" s="1"/>
  <c r="AR403" i="12" a="1"/>
  <c r="AR403" i="12" s="1"/>
  <c r="AM403" i="12"/>
  <c r="AK403" i="12" s="1"/>
  <c r="AS403" i="12" s="1"/>
  <c r="AR679" i="12" a="1"/>
  <c r="AR679" i="12" s="1"/>
  <c r="AM679" i="12"/>
  <c r="AQ679" i="12" s="1" a="1"/>
  <c r="AQ679" i="12" s="1"/>
  <c r="AO679" i="12" a="1"/>
  <c r="AO679" i="12" s="1"/>
  <c r="AR710" i="12" a="1"/>
  <c r="AR710" i="12" s="1"/>
  <c r="AM710" i="12"/>
  <c r="AR316" i="12" a="1"/>
  <c r="AR316" i="12" s="1"/>
  <c r="AM316" i="12"/>
  <c r="AK316" i="12" s="1"/>
  <c r="AS316" i="12" s="1"/>
  <c r="AR504" i="12" a="1"/>
  <c r="AR504" i="12" s="1"/>
  <c r="AM504" i="12"/>
  <c r="AK504" i="12" s="1"/>
  <c r="AS504" i="12" s="1"/>
  <c r="AR8" i="12" a="1"/>
  <c r="AR8" i="12" s="1"/>
  <c r="AM8" i="12"/>
  <c r="AP8" i="12" s="1" a="1"/>
  <c r="AP8" i="12" s="1"/>
  <c r="AM138" i="12"/>
  <c r="AK138" i="12" s="1"/>
  <c r="AS138" i="12" s="1"/>
  <c r="AR138" i="12" a="1"/>
  <c r="AR138" i="12" s="1"/>
  <c r="AR535" i="12" a="1"/>
  <c r="AR535" i="12" s="1"/>
  <c r="AM535" i="12"/>
  <c r="AK535" i="12" s="1"/>
  <c r="AS535" i="12" s="1"/>
  <c r="AR544" i="12" a="1"/>
  <c r="AR544" i="12" s="1"/>
  <c r="AM544" i="12"/>
  <c r="AP544" i="12" s="1" a="1"/>
  <c r="AP544" i="12" s="1"/>
  <c r="AK544" i="12"/>
  <c r="AS544" i="12" s="1"/>
  <c r="AO544" i="12" a="1"/>
  <c r="AO544" i="12" s="1"/>
  <c r="AM216" i="12"/>
  <c r="AO216" i="12" s="1" a="1"/>
  <c r="AO216" i="12" s="1"/>
  <c r="AR216" i="12" a="1"/>
  <c r="AR216" i="12" s="1"/>
  <c r="AR238" i="12" a="1"/>
  <c r="AR238" i="12" s="1"/>
  <c r="AM238" i="12"/>
  <c r="AK238" i="12" s="1"/>
  <c r="AS238" i="12" s="1"/>
  <c r="AR329" i="12" a="1"/>
  <c r="AR329" i="12" s="1"/>
  <c r="AM329" i="12"/>
  <c r="AK329" i="12" s="1"/>
  <c r="AS329" i="12" s="1"/>
  <c r="AM325" i="12"/>
  <c r="AK325" i="12" s="1"/>
  <c r="AS325" i="12" s="1"/>
  <c r="AR325" i="12" a="1"/>
  <c r="AR325" i="12" s="1"/>
  <c r="AR173" i="12" a="1"/>
  <c r="AR173" i="12" s="1"/>
  <c r="AM173" i="12"/>
  <c r="AP173" i="12" s="1" a="1"/>
  <c r="AP173" i="12" s="1"/>
  <c r="AM243" i="12"/>
  <c r="AK243" i="12" s="1"/>
  <c r="AS243" i="12" s="1"/>
  <c r="AR243" i="12" a="1"/>
  <c r="AR243" i="12" s="1"/>
  <c r="AR484" i="12" a="1"/>
  <c r="AR484" i="12" s="1"/>
  <c r="AM484" i="12"/>
  <c r="AK484" i="12" s="1"/>
  <c r="AS484" i="12" s="1"/>
  <c r="AM421" i="12"/>
  <c r="AQ421" i="12" s="1" a="1"/>
  <c r="AQ421" i="12" s="1"/>
  <c r="AR421" i="12" a="1"/>
  <c r="AR421" i="12" s="1"/>
  <c r="AM159" i="12"/>
  <c r="AK159" i="12" s="1"/>
  <c r="AS159" i="12" s="1"/>
  <c r="AR159" i="12" a="1"/>
  <c r="AR159" i="12" s="1"/>
  <c r="AM118" i="12"/>
  <c r="AK118" i="12" s="1"/>
  <c r="AS118" i="12" s="1"/>
  <c r="AR118" i="12" a="1"/>
  <c r="AR118" i="12" s="1"/>
  <c r="AR224" i="12" a="1"/>
  <c r="AR224" i="12" s="1"/>
  <c r="AM224" i="12"/>
  <c r="AO224" i="12" s="1" a="1"/>
  <c r="AO224" i="12" s="1"/>
  <c r="AR452" i="12" a="1"/>
  <c r="AR452" i="12" s="1"/>
  <c r="AM452" i="12"/>
  <c r="AP452" i="12" s="1" a="1"/>
  <c r="AP452" i="12" s="1"/>
  <c r="AQ452" i="12" a="1"/>
  <c r="AQ452" i="12" s="1"/>
  <c r="AR682" i="12" a="1"/>
  <c r="AR682" i="12" s="1"/>
  <c r="AM682" i="12"/>
  <c r="AM288" i="12"/>
  <c r="AK288" i="12" s="1"/>
  <c r="AS288" i="12" s="1"/>
  <c r="AR288" i="12" a="1"/>
  <c r="AR288" i="12" s="1"/>
  <c r="AR483" i="12" a="1"/>
  <c r="AR483" i="12" s="1"/>
  <c r="AM483" i="12"/>
  <c r="AK483" i="12" s="1"/>
  <c r="AS483" i="12" s="1"/>
  <c r="AP483" i="12" a="1"/>
  <c r="AP483" i="12" s="1"/>
  <c r="AO483" i="12" a="1"/>
  <c r="AO483" i="12" s="1"/>
  <c r="AM616" i="12"/>
  <c r="AR616" i="12" a="1"/>
  <c r="AR616" i="12" s="1"/>
  <c r="AM328" i="12"/>
  <c r="AK328" i="12" s="1"/>
  <c r="AS328" i="12" s="1"/>
  <c r="AR328" i="12" a="1"/>
  <c r="AR328" i="12" s="1"/>
  <c r="AR517" i="12" a="1"/>
  <c r="AR517" i="12" s="1"/>
  <c r="AM517" i="12"/>
  <c r="AK517" i="12" s="1"/>
  <c r="AS517" i="12" s="1"/>
  <c r="AM486" i="12"/>
  <c r="AO486" i="12" s="1" a="1"/>
  <c r="AO486" i="12" s="1"/>
  <c r="AR486" i="12" a="1"/>
  <c r="AR486" i="12" s="1"/>
  <c r="AM375" i="12"/>
  <c r="AK375" i="12" s="1"/>
  <c r="AS375" i="12" s="1"/>
  <c r="AR375" i="12" a="1"/>
  <c r="AR375" i="12" s="1"/>
  <c r="AR706" i="12" a="1"/>
  <c r="AR706" i="12" s="1"/>
  <c r="AM706" i="12"/>
  <c r="AK706" i="12" s="1"/>
  <c r="AS706" i="12" s="1"/>
  <c r="AR59" i="12" a="1"/>
  <c r="AR59" i="12" s="1"/>
  <c r="AM59" i="12"/>
  <c r="AO59" i="12" s="1" a="1"/>
  <c r="AO59" i="12" s="1"/>
  <c r="AR441" i="12" a="1"/>
  <c r="AR441" i="12" s="1"/>
  <c r="AM441" i="12"/>
  <c r="AO441" i="12" s="1" a="1"/>
  <c r="AO441" i="12" s="1"/>
  <c r="AM489" i="12"/>
  <c r="AR489" i="12" a="1"/>
  <c r="AR489" i="12" s="1"/>
  <c r="AM120" i="12"/>
  <c r="AQ120" i="12" s="1" a="1"/>
  <c r="AQ120" i="12" s="1"/>
  <c r="AR120" i="12" a="1"/>
  <c r="AR120" i="12" s="1"/>
  <c r="AP120" i="12" a="1"/>
  <c r="AP120" i="12" s="1"/>
  <c r="AK120" i="12"/>
  <c r="AS120" i="12" s="1"/>
  <c r="AR374" i="12" a="1"/>
  <c r="AR374" i="12" s="1"/>
  <c r="AM374" i="12"/>
  <c r="AK374" i="12" s="1"/>
  <c r="AS374" i="12" s="1"/>
  <c r="AR422" i="12" a="1"/>
  <c r="AR422" i="12" s="1"/>
  <c r="AM422" i="12"/>
  <c r="AP422" i="12" s="1" a="1"/>
  <c r="AP422" i="12" s="1"/>
  <c r="AR379" i="12" a="1"/>
  <c r="AR379" i="12" s="1"/>
  <c r="AM379" i="12"/>
  <c r="AK379" i="12" s="1"/>
  <c r="AS379" i="12" s="1"/>
  <c r="AR594" i="12" a="1"/>
  <c r="AR594" i="12" s="1"/>
  <c r="AM594" i="12"/>
  <c r="AQ594" i="12" s="1" a="1"/>
  <c r="AQ594" i="12" s="1"/>
  <c r="AM628" i="12"/>
  <c r="AP628" i="12" s="1" a="1"/>
  <c r="AP628" i="12" s="1"/>
  <c r="AR628" i="12" a="1"/>
  <c r="AR628" i="12" s="1"/>
  <c r="AK628" i="12"/>
  <c r="AS628" i="12" s="1"/>
  <c r="AR716" i="12" a="1"/>
  <c r="AR716" i="12" s="1"/>
  <c r="AM716" i="12"/>
  <c r="AQ716" i="12" s="1" a="1"/>
  <c r="AQ716" i="12" s="1"/>
  <c r="AR714" i="12" a="1"/>
  <c r="AR714" i="12" s="1"/>
  <c r="AM714" i="12"/>
  <c r="AK714" i="12" s="1"/>
  <c r="AS714" i="12" s="1"/>
  <c r="AM309" i="12"/>
  <c r="AQ309" i="12" s="1" a="1"/>
  <c r="AQ309" i="12" s="1"/>
  <c r="AR309" i="12" a="1"/>
  <c r="AR309" i="12" s="1"/>
  <c r="AR581" i="12" a="1"/>
  <c r="AR581" i="12" s="1"/>
  <c r="AM581" i="12"/>
  <c r="AK581" i="12" s="1"/>
  <c r="AS581" i="12" s="1"/>
  <c r="AQ581" i="12" a="1"/>
  <c r="AQ581" i="12" s="1"/>
  <c r="AO581" i="12" a="1"/>
  <c r="AO581" i="12" s="1"/>
  <c r="AR474" i="12" a="1"/>
  <c r="AR474" i="12" s="1"/>
  <c r="AM474" i="12"/>
  <c r="AK474" i="12" s="1"/>
  <c r="AS474" i="12" s="1"/>
  <c r="AO474" i="12" a="1"/>
  <c r="AO474" i="12" s="1"/>
  <c r="AR51" i="12" a="1"/>
  <c r="AR51" i="12" s="1"/>
  <c r="AM51" i="12"/>
  <c r="AK51" i="12" s="1"/>
  <c r="AS51" i="12" s="1"/>
  <c r="AR664" i="12" a="1"/>
  <c r="AR664" i="12" s="1"/>
  <c r="AM664" i="12"/>
  <c r="AK664" i="12" s="1"/>
  <c r="AS664" i="12" s="1"/>
  <c r="AM408" i="12"/>
  <c r="AQ408" i="12" s="1" a="1"/>
  <c r="AQ408" i="12" s="1"/>
  <c r="AR408" i="12" a="1"/>
  <c r="AR408" i="12" s="1"/>
  <c r="AK408" i="12"/>
  <c r="AS408" i="12" s="1"/>
  <c r="AP408" i="12" a="1"/>
  <c r="AP408" i="12" s="1"/>
  <c r="AM512" i="12"/>
  <c r="AK512" i="12" s="1"/>
  <c r="AS512" i="12" s="1"/>
  <c r="AR512" i="12" a="1"/>
  <c r="AR512" i="12" s="1"/>
  <c r="AR699" i="12" a="1"/>
  <c r="AR699" i="12" s="1"/>
  <c r="AM699" i="12"/>
  <c r="AK699" i="12" s="1"/>
  <c r="AS699" i="12" s="1"/>
  <c r="AM39" i="12"/>
  <c r="AQ39" i="12" s="1" a="1"/>
  <c r="AQ39" i="12" s="1"/>
  <c r="AR39" i="12" a="1"/>
  <c r="AR39" i="12" s="1"/>
  <c r="AM669" i="12"/>
  <c r="AR669" i="12" a="1"/>
  <c r="AR669" i="12" s="1"/>
  <c r="AO669" i="12" a="1"/>
  <c r="AO669" i="12" s="1"/>
  <c r="AP669" i="12" a="1"/>
  <c r="AP669" i="12" s="1"/>
  <c r="AR321" i="12" a="1"/>
  <c r="AR321" i="12" s="1"/>
  <c r="AM321" i="12"/>
  <c r="AK321" i="12" s="1"/>
  <c r="AS321" i="12" s="1"/>
  <c r="AM135" i="12"/>
  <c r="AP135" i="12" s="1" a="1"/>
  <c r="AP135" i="12" s="1"/>
  <c r="AR135" i="12" a="1"/>
  <c r="AR135" i="12" s="1"/>
  <c r="AO135" i="12" a="1"/>
  <c r="AO135" i="12" s="1"/>
  <c r="AM37" i="12"/>
  <c r="AK37" i="12" s="1"/>
  <c r="AS37" i="12" s="1"/>
  <c r="AR37" i="12" a="1"/>
  <c r="AR37" i="12" s="1"/>
  <c r="AR570" i="12" a="1"/>
  <c r="AR570" i="12" s="1"/>
  <c r="AM570" i="12"/>
  <c r="AM413" i="12"/>
  <c r="AP413" i="12" s="1" a="1"/>
  <c r="AP413" i="12" s="1"/>
  <c r="AR413" i="12" a="1"/>
  <c r="AR413" i="12" s="1"/>
  <c r="AQ413" i="12" a="1"/>
  <c r="AQ413" i="12" s="1"/>
  <c r="AM73" i="12"/>
  <c r="AO73" i="12" s="1" a="1"/>
  <c r="AO73" i="12" s="1"/>
  <c r="AR73" i="12" a="1"/>
  <c r="AR73" i="12" s="1"/>
  <c r="AR75" i="12" a="1"/>
  <c r="AR75" i="12" s="1"/>
  <c r="AM75" i="12"/>
  <c r="AK75" i="12" s="1"/>
  <c r="AS75" i="12" s="1"/>
  <c r="AM433" i="12"/>
  <c r="AQ433" i="12" s="1" a="1"/>
  <c r="AQ433" i="12" s="1"/>
  <c r="AR433" i="12" a="1"/>
  <c r="AR433" i="12" s="1"/>
  <c r="AM626" i="12"/>
  <c r="AO626" i="12" s="1" a="1"/>
  <c r="AO626" i="12" s="1"/>
  <c r="AR626" i="12" a="1"/>
  <c r="AR626" i="12" s="1"/>
  <c r="AR487" i="12" a="1"/>
  <c r="AR487" i="12" s="1"/>
  <c r="AM487" i="12"/>
  <c r="AQ487" i="12" s="1" a="1"/>
  <c r="AQ487" i="12" s="1"/>
  <c r="AR127" i="12" a="1"/>
  <c r="AR127" i="12" s="1"/>
  <c r="AM127" i="12"/>
  <c r="AO127" i="12" s="1" a="1"/>
  <c r="AO127" i="12" s="1"/>
  <c r="AK127" i="12"/>
  <c r="AS127" i="12" s="1"/>
  <c r="AQ127" i="12" a="1"/>
  <c r="AQ127" i="12" s="1"/>
  <c r="AM126" i="12"/>
  <c r="AR126" i="12" a="1"/>
  <c r="AR126" i="12" s="1"/>
  <c r="AR268" i="12" a="1"/>
  <c r="AR268" i="12" s="1"/>
  <c r="AM268" i="12"/>
  <c r="AO268" i="12" s="1" a="1"/>
  <c r="AO268" i="12" s="1"/>
  <c r="AR684" i="12" a="1"/>
  <c r="AR684" i="12" s="1"/>
  <c r="AM684" i="12"/>
  <c r="AK684" i="12" s="1"/>
  <c r="AS684" i="12" s="1"/>
  <c r="AR85" i="12" a="1"/>
  <c r="AR85" i="12" s="1"/>
  <c r="AM85" i="12"/>
  <c r="AK85" i="12" s="1"/>
  <c r="AS85" i="12" s="1"/>
  <c r="AM191" i="12"/>
  <c r="AQ191" i="12" s="1" a="1"/>
  <c r="AQ191" i="12" s="1"/>
  <c r="AR191" i="12" a="1"/>
  <c r="AR191" i="12" s="1"/>
  <c r="AK191" i="12"/>
  <c r="AS191" i="12" s="1"/>
  <c r="AR114" i="12" a="1"/>
  <c r="AR114" i="12" s="1"/>
  <c r="AM114" i="12"/>
  <c r="AK114" i="12" s="1"/>
  <c r="AS114" i="12" s="1"/>
  <c r="AR14" i="12" a="1"/>
  <c r="AR14" i="12" s="1"/>
  <c r="AM14" i="12"/>
  <c r="AO14" i="12" s="1" a="1"/>
  <c r="AO14" i="12" s="1"/>
  <c r="AQ14" i="12" a="1"/>
  <c r="AQ14" i="12" s="1"/>
  <c r="AM434" i="12"/>
  <c r="AP434" i="12" s="1" a="1"/>
  <c r="AP434" i="12" s="1"/>
  <c r="AR434" i="12" a="1"/>
  <c r="AR434" i="12" s="1"/>
  <c r="AR150" i="12" a="1"/>
  <c r="AR150" i="12" s="1"/>
  <c r="AM150" i="12"/>
  <c r="AM411" i="12"/>
  <c r="AK411" i="12" s="1"/>
  <c r="AS411" i="12" s="1"/>
  <c r="AR411" i="12" a="1"/>
  <c r="AR411" i="12" s="1"/>
  <c r="AP411" i="12" a="1"/>
  <c r="AP411" i="12" s="1"/>
  <c r="AR137" i="12" a="1"/>
  <c r="AR137" i="12" s="1"/>
  <c r="AM137" i="12"/>
  <c r="AK137" i="12" s="1"/>
  <c r="AS137" i="12" s="1"/>
  <c r="AO137" i="12" a="1"/>
  <c r="AO137" i="12" s="1"/>
  <c r="AR204" i="12" a="1"/>
  <c r="AR204" i="12" s="1"/>
  <c r="AM204" i="12"/>
  <c r="AK204" i="12" s="1"/>
  <c r="AS204" i="12" s="1"/>
  <c r="AO204" i="12" a="1"/>
  <c r="AO204" i="12" s="1"/>
  <c r="AQ204" i="12" a="1"/>
  <c r="AQ204" i="12" s="1"/>
  <c r="AR293" i="12" a="1"/>
  <c r="AR293" i="12" s="1"/>
  <c r="AM293" i="12"/>
  <c r="AO293" i="12" a="1"/>
  <c r="AO293" i="12" s="1"/>
  <c r="AP293" i="12" a="1"/>
  <c r="AP293" i="12" s="1"/>
  <c r="AR506" i="12" a="1"/>
  <c r="AR506" i="12" s="1"/>
  <c r="AM506" i="12"/>
  <c r="AR326" i="12" a="1"/>
  <c r="AR326" i="12" s="1"/>
  <c r="AM326" i="12"/>
  <c r="AQ326" i="12" s="1" a="1"/>
  <c r="AQ326" i="12" s="1"/>
  <c r="AK326" i="12"/>
  <c r="AS326" i="12" s="1"/>
  <c r="AR587" i="12" a="1"/>
  <c r="AR587" i="12" s="1"/>
  <c r="AM587" i="12"/>
  <c r="AQ587" i="12" s="1" a="1"/>
  <c r="AQ587" i="12" s="1"/>
  <c r="AM264" i="12"/>
  <c r="AR264" i="12" a="1"/>
  <c r="AR264" i="12" s="1"/>
  <c r="AR603" i="12" a="1"/>
  <c r="AR603" i="12" s="1"/>
  <c r="AM603" i="12"/>
  <c r="AK603" i="12" s="1"/>
  <c r="AS603" i="12" s="1"/>
  <c r="AR61" i="12" a="1"/>
  <c r="AR61" i="12" s="1"/>
  <c r="AM61" i="12"/>
  <c r="AK61" i="12" s="1"/>
  <c r="AS61" i="12" s="1"/>
  <c r="AO61" i="12" a="1"/>
  <c r="AO61" i="12" s="1"/>
  <c r="AR636" i="12" a="1"/>
  <c r="AR636" i="12" s="1"/>
  <c r="AM636" i="12"/>
  <c r="AO636" i="12" s="1" a="1"/>
  <c r="AO636" i="12" s="1"/>
  <c r="AM516" i="12"/>
  <c r="AP516" i="12" s="1" a="1"/>
  <c r="AP516" i="12" s="1"/>
  <c r="AR516" i="12" a="1"/>
  <c r="AR516" i="12" s="1"/>
  <c r="AM397" i="12"/>
  <c r="AP397" i="12" s="1" a="1"/>
  <c r="AP397" i="12" s="1"/>
  <c r="AR397" i="12" a="1"/>
  <c r="AR397" i="12" s="1"/>
  <c r="AR458" i="12" a="1"/>
  <c r="AR458" i="12" s="1"/>
  <c r="AM458" i="12"/>
  <c r="AK458" i="12" s="1"/>
  <c r="AS458" i="12" s="1"/>
  <c r="AM357" i="12"/>
  <c r="AO357" i="12" s="1" a="1"/>
  <c r="AO357" i="12" s="1"/>
  <c r="AR357" i="12" a="1"/>
  <c r="AR357" i="12" s="1"/>
  <c r="AR270" i="12" a="1"/>
  <c r="AR270" i="12" s="1"/>
  <c r="AM270" i="12"/>
  <c r="AM89" i="12"/>
  <c r="AR89" i="12" a="1"/>
  <c r="AR89" i="12" s="1"/>
  <c r="AM183" i="12"/>
  <c r="AQ183" i="12" s="1" a="1"/>
  <c r="AQ183" i="12" s="1"/>
  <c r="AR183" i="12" a="1"/>
  <c r="AR183" i="12" s="1"/>
  <c r="AM387" i="12"/>
  <c r="AR387" i="12" a="1"/>
  <c r="AR387" i="12" s="1"/>
  <c r="AR169" i="12" a="1"/>
  <c r="AR169" i="12" s="1"/>
  <c r="AM169" i="12"/>
  <c r="AQ169" i="12" s="1" a="1"/>
  <c r="AQ169" i="12" s="1"/>
  <c r="AK169" i="12"/>
  <c r="AS169" i="12" s="1"/>
  <c r="AR140" i="12" a="1"/>
  <c r="AR140" i="12" s="1"/>
  <c r="AM140" i="12"/>
  <c r="AM631" i="12"/>
  <c r="AP631" i="12" s="1" a="1"/>
  <c r="AP631" i="12" s="1"/>
  <c r="AR631" i="12" a="1"/>
  <c r="AR631" i="12" s="1"/>
  <c r="AM376" i="12"/>
  <c r="AP376" i="12" s="1" a="1"/>
  <c r="AP376" i="12" s="1"/>
  <c r="AR376" i="12" a="1"/>
  <c r="AR376" i="12" s="1"/>
  <c r="AR630" i="12" a="1"/>
  <c r="AR630" i="12" s="1"/>
  <c r="AM630" i="12"/>
  <c r="AM57" i="12"/>
  <c r="AQ57" i="12" s="1" a="1"/>
  <c r="AQ57" i="12" s="1"/>
  <c r="AR57" i="12" a="1"/>
  <c r="AR57" i="12" s="1"/>
  <c r="AR23" i="12" a="1"/>
  <c r="AR23" i="12" s="1"/>
  <c r="AM23" i="12"/>
  <c r="AO23" i="12" s="1" a="1"/>
  <c r="AO23" i="12" s="1"/>
  <c r="AM195" i="12"/>
  <c r="AR195" i="12" a="1"/>
  <c r="AR195" i="12" s="1"/>
  <c r="AM319" i="12"/>
  <c r="AK319" i="12" s="1"/>
  <c r="AS319" i="12" s="1"/>
  <c r="AR319" i="12" a="1"/>
  <c r="AR319" i="12" s="1"/>
  <c r="AR52" i="12" a="1"/>
  <c r="AR52" i="12" s="1"/>
  <c r="AM52" i="12"/>
  <c r="AK52" i="12" s="1"/>
  <c r="AS52" i="12" s="1"/>
  <c r="AR200" i="12" a="1"/>
  <c r="AR200" i="12" s="1"/>
  <c r="AM200" i="12"/>
  <c r="AK200" i="12" s="1"/>
  <c r="AS200" i="12" s="1"/>
  <c r="AR575" i="12" a="1"/>
  <c r="AR575" i="12" s="1"/>
  <c r="AM575" i="12"/>
  <c r="AO575" i="12" s="1" a="1"/>
  <c r="AO575" i="12" s="1"/>
  <c r="AP575" i="12" a="1"/>
  <c r="AP575" i="12" s="1"/>
  <c r="AK575" i="12"/>
  <c r="AS575" i="12" s="1"/>
  <c r="AR569" i="12" a="1"/>
  <c r="AR569" i="12" s="1"/>
  <c r="AM569" i="12"/>
  <c r="AK569" i="12" s="1"/>
  <c r="AS569" i="12" s="1"/>
  <c r="AR410" i="12" a="1"/>
  <c r="AR410" i="12" s="1"/>
  <c r="AM410" i="12"/>
  <c r="AP410" i="12" s="1" a="1"/>
  <c r="AP410" i="12" s="1"/>
  <c r="AM558" i="12"/>
  <c r="AP558" i="12" s="1" a="1"/>
  <c r="AP558" i="12" s="1"/>
  <c r="AR558" i="12" a="1"/>
  <c r="AR558" i="12" s="1"/>
  <c r="AR495" i="12" a="1"/>
  <c r="AR495" i="12" s="1"/>
  <c r="AM495" i="12"/>
  <c r="AK495" i="12" s="1"/>
  <c r="AS495" i="12" s="1"/>
  <c r="AR45" i="12" a="1"/>
  <c r="AR45" i="12" s="1"/>
  <c r="AM45" i="12"/>
  <c r="AK45" i="12" s="1"/>
  <c r="AS45" i="12" s="1"/>
  <c r="AR449" i="12" a="1"/>
  <c r="AR449" i="12" s="1"/>
  <c r="AM449" i="12"/>
  <c r="AR454" i="12" a="1"/>
  <c r="AR454" i="12" s="1"/>
  <c r="AM454" i="12"/>
  <c r="AP454" i="12" s="1" a="1"/>
  <c r="AP454" i="12" s="1"/>
  <c r="AR107" i="12" a="1"/>
  <c r="AR107" i="12" s="1"/>
  <c r="AM107" i="12"/>
  <c r="AO107" i="12" s="1" a="1"/>
  <c r="AO107" i="12" s="1"/>
  <c r="AQ107" i="12" a="1"/>
  <c r="AQ107" i="12" s="1"/>
  <c r="AR92" i="12" a="1"/>
  <c r="AR92" i="12" s="1"/>
  <c r="AM92" i="12"/>
  <c r="AP92" i="12" s="1" a="1"/>
  <c r="AP92" i="12" s="1"/>
  <c r="AR478" i="12" a="1"/>
  <c r="AR478" i="12" s="1"/>
  <c r="AM478" i="12"/>
  <c r="AK478" i="12" s="1"/>
  <c r="AS478" i="12" s="1"/>
  <c r="AM178" i="12"/>
  <c r="AO178" i="12" s="1" a="1"/>
  <c r="AO178" i="12" s="1"/>
  <c r="AR178" i="12" a="1"/>
  <c r="AR178" i="12" s="1"/>
  <c r="AR723" i="12" a="1"/>
  <c r="AR723" i="12" s="1"/>
  <c r="AM723" i="12"/>
  <c r="AK723" i="12" s="1"/>
  <c r="AS723" i="12" s="1"/>
  <c r="AR232" i="12" a="1"/>
  <c r="AR232" i="12" s="1"/>
  <c r="AM232" i="12"/>
  <c r="AQ232" i="12" s="1" a="1"/>
  <c r="AQ232" i="12" s="1"/>
  <c r="AR725" i="12" a="1"/>
  <c r="AR725" i="12" s="1"/>
  <c r="AM725" i="12"/>
  <c r="AQ725" i="12" s="1" a="1"/>
  <c r="AQ725" i="12" s="1"/>
  <c r="AK725" i="12"/>
  <c r="AS725" i="12" s="1"/>
  <c r="AM49" i="12"/>
  <c r="AR49" i="12" a="1"/>
  <c r="AR49" i="12" s="1"/>
  <c r="AM231" i="12"/>
  <c r="AK231" i="12" s="1"/>
  <c r="AS231" i="12" s="1"/>
  <c r="AR231" i="12" a="1"/>
  <c r="AR231" i="12" s="1"/>
  <c r="AM46" i="12"/>
  <c r="AK46" i="12" s="1"/>
  <c r="AS46" i="12" s="1"/>
  <c r="AR46" i="12" a="1"/>
  <c r="AR46" i="12" s="1"/>
  <c r="AM502" i="12"/>
  <c r="AO502" i="12" s="1" a="1"/>
  <c r="AO502" i="12" s="1"/>
  <c r="AR502" i="12" a="1"/>
  <c r="AR502" i="12" s="1"/>
  <c r="AR19" i="12" a="1"/>
  <c r="AR19" i="12" s="1"/>
  <c r="AM19" i="12"/>
  <c r="AM205" i="12"/>
  <c r="AP205" i="12" s="1" a="1"/>
  <c r="AP205" i="12" s="1"/>
  <c r="AR205" i="12" a="1"/>
  <c r="AR205" i="12" s="1"/>
  <c r="AM380" i="12"/>
  <c r="AP380" i="12" s="1" a="1"/>
  <c r="AP380" i="12" s="1"/>
  <c r="AR380" i="12" a="1"/>
  <c r="AR380" i="12" s="1"/>
  <c r="AQ380" i="12" a="1"/>
  <c r="AQ380" i="12" s="1"/>
  <c r="AM96" i="12"/>
  <c r="AQ96" i="12" s="1" a="1"/>
  <c r="AQ96" i="12" s="1"/>
  <c r="AR96" i="12" a="1"/>
  <c r="AR96" i="12" s="1"/>
  <c r="AR30" i="12" a="1"/>
  <c r="AR30" i="12" s="1"/>
  <c r="AM30" i="12"/>
  <c r="AQ30" i="12" a="1"/>
  <c r="AQ30" i="12" s="1"/>
  <c r="AR221" i="12" a="1"/>
  <c r="AR221" i="12" s="1"/>
  <c r="AM221" i="12"/>
  <c r="AO221" i="12" s="1" a="1"/>
  <c r="AO221" i="12" s="1"/>
  <c r="AR210" i="12" a="1"/>
  <c r="AR210" i="12" s="1"/>
  <c r="AM210" i="12"/>
  <c r="AK210" i="12" s="1"/>
  <c r="AS210" i="12" s="1"/>
  <c r="AM276" i="12"/>
  <c r="AQ276" i="12" s="1" a="1"/>
  <c r="AQ276" i="12" s="1"/>
  <c r="AR276" i="12" a="1"/>
  <c r="AR276" i="12" s="1"/>
  <c r="AR310" i="12" a="1"/>
  <c r="AR310" i="12" s="1"/>
  <c r="AM310" i="12"/>
  <c r="AO310" i="12" s="1" a="1"/>
  <c r="AO310" i="12" s="1"/>
  <c r="AQ310" i="12" a="1"/>
  <c r="AQ310" i="12" s="1"/>
  <c r="AM27" i="12"/>
  <c r="AR27" i="12" a="1"/>
  <c r="AR27" i="12" s="1"/>
  <c r="AM69" i="12"/>
  <c r="AP69" i="12" s="1" a="1"/>
  <c r="AP69" i="12" s="1"/>
  <c r="AR69" i="12" a="1"/>
  <c r="AR69" i="12" s="1"/>
  <c r="AM428" i="12"/>
  <c r="AO428" i="12" s="1" a="1"/>
  <c r="AO428" i="12" s="1"/>
  <c r="AR428" i="12" a="1"/>
  <c r="AR428" i="12" s="1"/>
  <c r="AQ428" i="12" a="1"/>
  <c r="AQ428" i="12" s="1"/>
  <c r="AR713" i="12" a="1"/>
  <c r="AR713" i="12" s="1"/>
  <c r="AM713" i="12"/>
  <c r="AP713" i="12" s="1" a="1"/>
  <c r="AP713" i="12" s="1"/>
  <c r="AM139" i="12"/>
  <c r="AO139" i="12" s="1" a="1"/>
  <c r="AO139" i="12" s="1"/>
  <c r="AR139" i="12" a="1"/>
  <c r="AR139" i="12" s="1"/>
  <c r="AR362" i="12" a="1"/>
  <c r="AR362" i="12" s="1"/>
  <c r="AM362" i="12"/>
  <c r="AK362" i="12" s="1"/>
  <c r="AS362" i="12" s="1"/>
  <c r="AR5" i="12" a="1"/>
  <c r="AR5" i="12" s="1"/>
  <c r="AM5" i="12"/>
  <c r="AR534" i="12" a="1"/>
  <c r="AR534" i="12" s="1"/>
  <c r="AM534" i="12"/>
  <c r="AQ534" i="12" s="1" a="1"/>
  <c r="AQ534" i="12" s="1"/>
  <c r="AR186" i="12" a="1"/>
  <c r="AR186" i="12" s="1"/>
  <c r="AM186" i="12"/>
  <c r="AP186" i="12" s="1" a="1"/>
  <c r="AP186" i="12" s="1"/>
  <c r="AO186" i="12" a="1"/>
  <c r="AO186" i="12" s="1"/>
  <c r="AQ186" i="12" a="1"/>
  <c r="AQ186" i="12" s="1"/>
  <c r="AR610" i="12" a="1"/>
  <c r="AR610" i="12" s="1"/>
  <c r="AM610" i="12"/>
  <c r="AP610" i="12" s="1" a="1"/>
  <c r="AP610" i="12" s="1"/>
  <c r="AR526" i="12" a="1"/>
  <c r="AR526" i="12" s="1"/>
  <c r="AM526" i="12"/>
  <c r="AO526" i="12" s="1" a="1"/>
  <c r="AO526" i="12" s="1"/>
  <c r="AR40" i="12" a="1"/>
  <c r="AR40" i="12" s="1"/>
  <c r="AM40" i="12"/>
  <c r="AK40" i="12" s="1"/>
  <c r="AS40" i="12" s="1"/>
  <c r="AM16" i="12"/>
  <c r="AK16" i="12" s="1"/>
  <c r="AS16" i="12" s="1"/>
  <c r="AR16" i="12" a="1"/>
  <c r="AR16" i="12" s="1"/>
  <c r="AR274" i="12" a="1"/>
  <c r="AR274" i="12" s="1"/>
  <c r="AM274" i="12"/>
  <c r="AO274" i="12" s="1" a="1"/>
  <c r="AO274" i="12" s="1"/>
  <c r="AM424" i="12"/>
  <c r="AK424" i="12" s="1"/>
  <c r="AS424" i="12" s="1"/>
  <c r="AR424" i="12" a="1"/>
  <c r="AR424" i="12" s="1"/>
  <c r="AM701" i="12"/>
  <c r="AK701" i="12" s="1"/>
  <c r="AS701" i="12" s="1"/>
  <c r="AR701" i="12" a="1"/>
  <c r="AR701" i="12" s="1"/>
  <c r="AM650" i="12"/>
  <c r="AQ650" i="12" s="1" a="1"/>
  <c r="AQ650" i="12" s="1"/>
  <c r="AR650" i="12" a="1"/>
  <c r="AR650" i="12" s="1"/>
  <c r="AO650" i="12" a="1"/>
  <c r="AO650" i="12" s="1"/>
  <c r="AM656" i="12"/>
  <c r="AR656" i="12" a="1"/>
  <c r="AR656" i="12" s="1"/>
  <c r="AM370" i="12"/>
  <c r="AK370" i="12" s="1"/>
  <c r="AS370" i="12" s="1"/>
  <c r="AR370" i="12" a="1"/>
  <c r="AR370" i="12" s="1"/>
  <c r="AR354" i="12" a="1"/>
  <c r="AR354" i="12" s="1"/>
  <c r="AM354" i="12"/>
  <c r="AQ354" i="12" s="1" a="1"/>
  <c r="AQ354" i="12" s="1"/>
  <c r="AR595" i="12" a="1"/>
  <c r="AR595" i="12" s="1"/>
  <c r="AM595" i="12"/>
  <c r="AQ595" i="12" s="1" a="1"/>
  <c r="AQ595" i="12" s="1"/>
  <c r="AO595" i="12" a="1"/>
  <c r="AO595" i="12" s="1"/>
  <c r="AP595" i="12" a="1"/>
  <c r="AP595" i="12" s="1"/>
  <c r="AR510" i="12" a="1"/>
  <c r="AR510" i="12" s="1"/>
  <c r="AM510" i="12"/>
  <c r="AP510" i="12" s="1" a="1"/>
  <c r="AP510" i="12" s="1"/>
  <c r="AR657" i="12" a="1"/>
  <c r="AR657" i="12" s="1"/>
  <c r="AM657" i="12"/>
  <c r="AK657" i="12" s="1"/>
  <c r="AS657" i="12" s="1"/>
  <c r="AR66" i="12" a="1"/>
  <c r="AR66" i="12" s="1"/>
  <c r="AM66" i="12"/>
  <c r="AP66" i="12" s="1" a="1"/>
  <c r="AP66" i="12" s="1"/>
  <c r="AR217" i="12" a="1"/>
  <c r="AR217" i="12" s="1"/>
  <c r="AM217" i="12"/>
  <c r="AO217" i="12" s="1" a="1"/>
  <c r="AO217" i="12" s="1"/>
  <c r="AR175" i="12" a="1"/>
  <c r="AR175" i="12" s="1"/>
  <c r="AM175" i="12"/>
  <c r="AM493" i="12"/>
  <c r="AR493" i="12" a="1"/>
  <c r="AR493" i="12" s="1"/>
  <c r="AR520" i="12" a="1"/>
  <c r="AR520" i="12" s="1"/>
  <c r="AM520" i="12"/>
  <c r="AP520" i="12" s="1" a="1"/>
  <c r="AP520" i="12" s="1"/>
  <c r="AR259" i="12" a="1"/>
  <c r="AR259" i="12" s="1"/>
  <c r="AM259" i="12"/>
  <c r="AK259" i="12" s="1"/>
  <c r="AS259" i="12" s="1"/>
  <c r="AR80" i="12" a="1"/>
  <c r="AR80" i="12" s="1"/>
  <c r="AM80" i="12"/>
  <c r="AO80" i="12" s="1" a="1"/>
  <c r="AO80" i="12" s="1"/>
  <c r="AM614" i="12"/>
  <c r="AR614" i="12" a="1"/>
  <c r="AR614" i="12" s="1"/>
  <c r="AR382" i="12" a="1"/>
  <c r="AR382" i="12" s="1"/>
  <c r="AM382" i="12"/>
  <c r="AQ382" i="12" s="1" a="1"/>
  <c r="AQ382" i="12" s="1"/>
  <c r="AK382" i="12"/>
  <c r="AS382" i="12" s="1"/>
  <c r="AP382" i="12" a="1"/>
  <c r="AP382" i="12" s="1"/>
  <c r="AM475" i="12"/>
  <c r="AK475" i="12" s="1"/>
  <c r="AS475" i="12" s="1"/>
  <c r="AR475" i="12" a="1"/>
  <c r="AR475" i="12" s="1"/>
  <c r="AR409" i="12" a="1"/>
  <c r="AR409" i="12" s="1"/>
  <c r="AM409" i="12"/>
  <c r="AP409" i="12" s="1" a="1"/>
  <c r="AP409" i="12" s="1"/>
  <c r="AM341" i="12"/>
  <c r="AP341" i="12" s="1" a="1"/>
  <c r="AP341" i="12" s="1"/>
  <c r="AR341" i="12" a="1"/>
  <c r="AR341" i="12" s="1"/>
  <c r="AR698" i="12" a="1"/>
  <c r="AR698" i="12" s="1"/>
  <c r="AM698" i="12"/>
  <c r="AP698" i="12" s="1" a="1"/>
  <c r="AP698" i="12" s="1"/>
  <c r="AO698" i="12" a="1"/>
  <c r="AO698" i="12" s="1"/>
  <c r="AQ698" i="12" a="1"/>
  <c r="AQ698" i="12" s="1"/>
  <c r="AM286" i="12"/>
  <c r="AR286" i="12" a="1"/>
  <c r="AR286" i="12" s="1"/>
  <c r="AO286" i="12" a="1"/>
  <c r="AO286" i="12" s="1"/>
  <c r="AR554" i="12" a="1"/>
  <c r="AR554" i="12" s="1"/>
  <c r="AM554" i="12"/>
  <c r="AP554" i="12" s="1" a="1"/>
  <c r="AP554" i="12" s="1"/>
  <c r="AR22" i="12" a="1"/>
  <c r="AR22" i="12" s="1"/>
  <c r="AM22" i="12"/>
  <c r="AO22" i="12" s="1" a="1"/>
  <c r="AO22" i="12" s="1"/>
  <c r="AM255" i="12"/>
  <c r="AO255" i="12" s="1" a="1"/>
  <c r="AO255" i="12" s="1"/>
  <c r="AR255" i="12" a="1"/>
  <c r="AR255" i="12" s="1"/>
  <c r="AM284" i="12"/>
  <c r="AK284" i="12" s="1"/>
  <c r="AS284" i="12" s="1"/>
  <c r="AR284" i="12" a="1"/>
  <c r="AR284" i="12" s="1"/>
  <c r="AM31" i="12"/>
  <c r="AR31" i="12" a="1"/>
  <c r="AR31" i="12" s="1"/>
  <c r="AK31" i="12"/>
  <c r="AS31" i="12" s="1"/>
  <c r="AR353" i="12" a="1"/>
  <c r="AR353" i="12" s="1"/>
  <c r="AM353" i="12"/>
  <c r="AP353" i="12" s="1" a="1"/>
  <c r="AP353" i="12" s="1"/>
  <c r="AM88" i="12"/>
  <c r="AP88" i="12" s="1" a="1"/>
  <c r="AP88" i="12" s="1"/>
  <c r="AR88" i="12" a="1"/>
  <c r="AR88" i="12" s="1"/>
  <c r="AM82" i="12"/>
  <c r="AO82" i="12" s="1" a="1"/>
  <c r="AO82" i="12" s="1"/>
  <c r="AR82" i="12" a="1"/>
  <c r="AR82" i="12" s="1"/>
  <c r="AM294" i="12"/>
  <c r="AR294" i="12" a="1"/>
  <c r="AR294" i="12" s="1"/>
  <c r="AR423" i="12" a="1"/>
  <c r="AR423" i="12" s="1"/>
  <c r="AM423" i="12"/>
  <c r="AQ423" i="12" s="1" a="1"/>
  <c r="AQ423" i="12" s="1"/>
  <c r="AR176" i="12" a="1"/>
  <c r="AR176" i="12" s="1"/>
  <c r="AM176" i="12"/>
  <c r="AQ176" i="12" s="1" a="1"/>
  <c r="AQ176" i="12" s="1"/>
  <c r="AM371" i="12"/>
  <c r="AK371" i="12" s="1"/>
  <c r="AS371" i="12" s="1"/>
  <c r="AR371" i="12" a="1"/>
  <c r="AR371" i="12" s="1"/>
  <c r="AM464" i="12"/>
  <c r="AO464" i="12" s="1" a="1"/>
  <c r="AO464" i="12" s="1"/>
  <c r="AR464" i="12" a="1"/>
  <c r="AR464" i="12" s="1"/>
  <c r="AR602" i="12" a="1"/>
  <c r="AR602" i="12" s="1"/>
  <c r="AM602" i="12"/>
  <c r="AM394" i="12"/>
  <c r="AK394" i="12" s="1"/>
  <c r="AS394" i="12" s="1"/>
  <c r="AR394" i="12" a="1"/>
  <c r="AR394" i="12" s="1"/>
  <c r="AR651" i="12" a="1"/>
  <c r="AR651" i="12" s="1"/>
  <c r="AM651" i="12"/>
  <c r="AQ651" i="12" s="1" a="1"/>
  <c r="AQ651" i="12" s="1"/>
  <c r="AR393" i="12" a="1"/>
  <c r="AR393" i="12" s="1"/>
  <c r="AM393" i="12"/>
  <c r="AR649" i="12" a="1"/>
  <c r="AR649" i="12" s="1"/>
  <c r="AM649" i="12"/>
  <c r="AK649" i="12" s="1"/>
  <c r="AS649" i="12" s="1"/>
  <c r="AP649" i="12" a="1"/>
  <c r="AP649" i="12" s="1"/>
  <c r="AM154" i="12"/>
  <c r="AK154" i="12" s="1"/>
  <c r="AS154" i="12" s="1"/>
  <c r="AR154" i="12" a="1"/>
  <c r="AR154" i="12" s="1"/>
  <c r="AR509" i="12" a="1"/>
  <c r="AR509" i="12" s="1"/>
  <c r="AM509" i="12"/>
  <c r="AK509" i="12" s="1"/>
  <c r="AS509" i="12" s="1"/>
  <c r="AR25" i="12" a="1"/>
  <c r="AR25" i="12" s="1"/>
  <c r="AM25" i="12"/>
  <c r="AK25" i="12" s="1"/>
  <c r="AS25" i="12" s="1"/>
  <c r="AR369" i="12" a="1"/>
  <c r="AR369" i="12" s="1"/>
  <c r="AM369" i="12"/>
  <c r="AO369" i="12" s="1" a="1"/>
  <c r="AO369" i="12" s="1"/>
  <c r="AM599" i="12"/>
  <c r="AK599" i="12" s="1"/>
  <c r="AS599" i="12" s="1"/>
  <c r="AR599" i="12" a="1"/>
  <c r="AR599" i="12" s="1"/>
  <c r="AR32" i="12" a="1"/>
  <c r="AR32" i="12" s="1"/>
  <c r="AM32" i="12"/>
  <c r="AQ32" i="12" s="1" a="1"/>
  <c r="AQ32" i="12" s="1"/>
  <c r="AK32" i="12"/>
  <c r="AS32" i="12" s="1"/>
  <c r="AM624" i="12"/>
  <c r="AK624" i="12" s="1"/>
  <c r="AS624" i="12" s="1"/>
  <c r="AR624" i="12" a="1"/>
  <c r="AR624" i="12" s="1"/>
  <c r="AR459" i="12" a="1"/>
  <c r="AR459" i="12" s="1"/>
  <c r="AM459" i="12"/>
  <c r="AR425" i="12" a="1"/>
  <c r="AR425" i="12" s="1"/>
  <c r="AM425" i="12"/>
  <c r="AO425" i="12" s="1" a="1"/>
  <c r="AO425" i="12" s="1"/>
  <c r="AR436" i="12" a="1"/>
  <c r="AR436" i="12" s="1"/>
  <c r="AM436" i="12"/>
  <c r="AK436" i="12" s="1"/>
  <c r="AS436" i="12" s="1"/>
  <c r="AM704" i="12"/>
  <c r="AP704" i="12" s="1" a="1"/>
  <c r="AP704" i="12" s="1"/>
  <c r="AR704" i="12" a="1"/>
  <c r="AR704" i="12" s="1"/>
  <c r="AR322" i="12" a="1"/>
  <c r="AR322" i="12" s="1"/>
  <c r="AM322" i="12"/>
  <c r="AQ322" i="12" s="1" a="1"/>
  <c r="AQ322" i="12" s="1"/>
  <c r="AM563" i="12"/>
  <c r="AK563" i="12" s="1"/>
  <c r="AS563" i="12" s="1"/>
  <c r="AR563" i="12" a="1"/>
  <c r="AR563" i="12" s="1"/>
  <c r="AQ563" i="12" a="1"/>
  <c r="AQ563" i="12" s="1"/>
  <c r="AM496" i="12"/>
  <c r="AQ496" i="12" s="1" a="1"/>
  <c r="AQ496" i="12" s="1"/>
  <c r="AR496" i="12" a="1"/>
  <c r="AR496" i="12" s="1"/>
  <c r="AR330" i="12" a="1"/>
  <c r="AR330" i="12" s="1"/>
  <c r="AM330" i="12"/>
  <c r="AQ330" i="12" s="1" a="1"/>
  <c r="AQ330" i="12" s="1"/>
  <c r="AM451" i="12"/>
  <c r="AQ451" i="12" s="1" a="1"/>
  <c r="AQ451" i="12" s="1"/>
  <c r="AR451" i="12" a="1"/>
  <c r="AR451" i="12" s="1"/>
  <c r="AR257" i="12" a="1"/>
  <c r="AR257" i="12" s="1"/>
  <c r="AM257" i="12"/>
  <c r="AQ257" i="12" s="1" a="1"/>
  <c r="AQ257" i="12" s="1"/>
  <c r="AM674" i="12"/>
  <c r="AO674" i="12" s="1" a="1"/>
  <c r="AO674" i="12" s="1"/>
  <c r="AR674" i="12" a="1"/>
  <c r="AR674" i="12" s="1"/>
  <c r="AM414" i="12"/>
  <c r="AR414" i="12" a="1"/>
  <c r="AR414" i="12" s="1"/>
  <c r="AR640" i="12" a="1"/>
  <c r="AR640" i="12" s="1"/>
  <c r="AM640" i="12"/>
  <c r="AK640" i="12" s="1"/>
  <c r="AS640" i="12" s="1"/>
  <c r="AO640" i="12" a="1"/>
  <c r="AO640" i="12" s="1"/>
  <c r="AR708" i="12" a="1"/>
  <c r="AR708" i="12" s="1"/>
  <c r="AM708" i="12"/>
  <c r="AK708" i="12" s="1"/>
  <c r="AS708" i="12" s="1"/>
  <c r="AQ708" i="12" a="1"/>
  <c r="AQ708" i="12" s="1"/>
  <c r="AR551" i="12" a="1"/>
  <c r="AR551" i="12" s="1"/>
  <c r="AM551" i="12"/>
  <c r="AP551" i="12" s="1" a="1"/>
  <c r="AP551" i="12" s="1"/>
  <c r="AR252" i="12" a="1"/>
  <c r="AR252" i="12" s="1"/>
  <c r="AM252" i="12"/>
  <c r="AK252" i="12" s="1"/>
  <c r="AS252" i="12" s="1"/>
  <c r="AR389" i="12" a="1"/>
  <c r="AR389" i="12" s="1"/>
  <c r="AM389" i="12"/>
  <c r="AR676" i="12" a="1"/>
  <c r="AR676" i="12" s="1"/>
  <c r="AM676" i="12"/>
  <c r="AQ676" i="12" s="1" a="1"/>
  <c r="AQ676" i="12" s="1"/>
  <c r="AP676" i="12" a="1"/>
  <c r="AP676" i="12" s="1"/>
  <c r="AR461" i="12" a="1"/>
  <c r="AR461" i="12" s="1"/>
  <c r="AM461" i="12"/>
  <c r="AM3" i="12"/>
  <c r="AP3" i="12" s="1" a="1"/>
  <c r="AP3" i="12" s="1"/>
  <c r="AR3" i="12" a="1"/>
  <c r="AR3" i="12" s="1"/>
  <c r="AR83" i="12" a="1"/>
  <c r="AR83" i="12" s="1"/>
  <c r="AM83" i="12"/>
  <c r="AK83" i="12" s="1"/>
  <c r="AS83" i="12" s="1"/>
  <c r="AO83" i="12" a="1"/>
  <c r="AO83" i="12" s="1"/>
  <c r="AQ83" i="12" a="1"/>
  <c r="AQ83" i="12" s="1"/>
  <c r="AR601" i="12" a="1"/>
  <c r="AR601" i="12" s="1"/>
  <c r="AM601" i="12"/>
  <c r="AQ601" i="12" s="1" a="1"/>
  <c r="AQ601" i="12" s="1"/>
  <c r="AO601" i="12" a="1"/>
  <c r="AO601" i="12" s="1"/>
  <c r="AK601" i="12"/>
  <c r="AS601" i="12" s="1"/>
  <c r="AR43" i="12" a="1"/>
  <c r="AR43" i="12" s="1"/>
  <c r="AM43" i="12"/>
  <c r="AM621" i="12"/>
  <c r="AO621" i="12" s="1" a="1"/>
  <c r="AO621" i="12" s="1"/>
  <c r="AR621" i="12" a="1"/>
  <c r="AR621" i="12" s="1"/>
  <c r="AP621" i="12" a="1"/>
  <c r="AP621" i="12" s="1"/>
  <c r="AR690" i="12" a="1"/>
  <c r="AR690" i="12" s="1"/>
  <c r="AM690" i="12"/>
  <c r="AQ690" i="12" s="1" a="1"/>
  <c r="AQ690" i="12" s="1"/>
  <c r="AK690" i="12"/>
  <c r="AS690" i="12" s="1"/>
  <c r="AR165" i="12" a="1"/>
  <c r="AR165" i="12" s="1"/>
  <c r="AM165" i="12"/>
  <c r="AM511" i="12"/>
  <c r="AQ511" i="12" s="1" a="1"/>
  <c r="AQ511" i="12" s="1"/>
  <c r="AR511" i="12" a="1"/>
  <c r="AR511" i="12" s="1"/>
  <c r="AR367" i="12" a="1"/>
  <c r="AR367" i="12" s="1"/>
  <c r="AM367" i="12"/>
  <c r="AK367" i="12" s="1"/>
  <c r="AS367" i="12" s="1"/>
  <c r="AR144" i="12" a="1"/>
  <c r="AR144" i="12" s="1"/>
  <c r="AM144" i="12"/>
  <c r="AP144" i="12" s="1" a="1"/>
  <c r="AP144" i="12" s="1"/>
  <c r="AM442" i="12"/>
  <c r="AP442" i="12" s="1" a="1"/>
  <c r="AP442" i="12" s="1"/>
  <c r="AR442" i="12" a="1"/>
  <c r="AR442" i="12" s="1"/>
  <c r="AQ442" i="12" a="1"/>
  <c r="AQ442" i="12" s="1"/>
  <c r="AO442" i="12" a="1"/>
  <c r="AO442" i="12" s="1"/>
  <c r="AR313" i="12" a="1"/>
  <c r="AR313" i="12" s="1"/>
  <c r="AM313" i="12"/>
  <c r="AK313" i="12" s="1"/>
  <c r="AS313" i="12" s="1"/>
  <c r="C36" i="12" a="1"/>
  <c r="C36" i="12" s="1"/>
  <c r="W67" i="12"/>
  <c r="W68" i="12" s="1"/>
  <c r="W69" i="12" s="1"/>
  <c r="W70" i="12" s="1"/>
  <c r="W71" i="12" s="1"/>
  <c r="AM162" i="12"/>
  <c r="AQ162" i="12" s="1" a="1"/>
  <c r="AQ162" i="12" s="1"/>
  <c r="AR162" i="12" a="1"/>
  <c r="AR162" i="12" s="1"/>
  <c r="AR301" i="12" a="1"/>
  <c r="AR301" i="12" s="1"/>
  <c r="AM301" i="12"/>
  <c r="AK301" i="12" s="1"/>
  <c r="AS301" i="12" s="1"/>
  <c r="AM407" i="12"/>
  <c r="AQ407" i="12" s="1" a="1"/>
  <c r="AQ407" i="12" s="1"/>
  <c r="AR407" i="12" a="1"/>
  <c r="AR407" i="12" s="1"/>
  <c r="AR627" i="12" a="1"/>
  <c r="AR627" i="12" s="1"/>
  <c r="AM627" i="12"/>
  <c r="AK627" i="12" s="1"/>
  <c r="AS627" i="12" s="1"/>
  <c r="AR17" i="12" a="1"/>
  <c r="AR17" i="12" s="1"/>
  <c r="AM17" i="12"/>
  <c r="AP17" i="12" s="1" a="1"/>
  <c r="AP17" i="12" s="1"/>
  <c r="AR327" i="12" a="1"/>
  <c r="AR327" i="12" s="1"/>
  <c r="AM327" i="12"/>
  <c r="AQ327" i="12" s="1" a="1"/>
  <c r="AQ327" i="12" s="1"/>
  <c r="AO327" i="12" a="1"/>
  <c r="AO327" i="12" s="1"/>
  <c r="AR398" i="12" a="1"/>
  <c r="AR398" i="12" s="1"/>
  <c r="AM398" i="12"/>
  <c r="AM26" i="12"/>
  <c r="AP26" i="12" s="1" a="1"/>
  <c r="AP26" i="12" s="1"/>
  <c r="AR26" i="12" a="1"/>
  <c r="AR26" i="12" s="1"/>
  <c r="AR74" i="12" a="1"/>
  <c r="AR74" i="12" s="1"/>
  <c r="AM74" i="12"/>
  <c r="AQ74" i="12" s="1" a="1"/>
  <c r="AQ74" i="12" s="1"/>
  <c r="AR460" i="12" a="1"/>
  <c r="AR460" i="12" s="1"/>
  <c r="AM460" i="12"/>
  <c r="AQ460" i="12" s="1" a="1"/>
  <c r="AQ460" i="12" s="1"/>
  <c r="AR262" i="12" a="1"/>
  <c r="AR262" i="12" s="1"/>
  <c r="AM262" i="12"/>
  <c r="AR112" i="12" a="1"/>
  <c r="AR112" i="12" s="1"/>
  <c r="AM112" i="12"/>
  <c r="AQ112" i="12" s="1" a="1"/>
  <c r="AQ112" i="12" s="1"/>
  <c r="AR177" i="12" a="1"/>
  <c r="AR177" i="12" s="1"/>
  <c r="AM177" i="12"/>
  <c r="AO177" i="12" s="1" a="1"/>
  <c r="AO177" i="12" s="1"/>
  <c r="AK177" i="12"/>
  <c r="AS177" i="12" s="1"/>
  <c r="AR565" i="12" a="1"/>
  <c r="AR565" i="12" s="1"/>
  <c r="AM565" i="12"/>
  <c r="AK565" i="12" s="1"/>
  <c r="AS565" i="12" s="1"/>
  <c r="AP565" i="12" a="1"/>
  <c r="AP565" i="12" s="1"/>
  <c r="AR505" i="12" a="1"/>
  <c r="AR505" i="12" s="1"/>
  <c r="AM505" i="12"/>
  <c r="AO505" i="12" s="1" a="1"/>
  <c r="AO505" i="12" s="1"/>
  <c r="AR287" i="12" a="1"/>
  <c r="AR287" i="12" s="1"/>
  <c r="AM287" i="12"/>
  <c r="AQ287" i="12" s="1" a="1"/>
  <c r="AQ287" i="12" s="1"/>
  <c r="AR261" i="12" a="1"/>
  <c r="AR261" i="12" s="1"/>
  <c r="AM261" i="12"/>
  <c r="AO261" i="12" s="1" a="1"/>
  <c r="AO261" i="12" s="1"/>
  <c r="AK261" i="12"/>
  <c r="AS261" i="12" s="1"/>
  <c r="AR338" i="12" a="1"/>
  <c r="AR338" i="12" s="1"/>
  <c r="AM338" i="12"/>
  <c r="AK338" i="12" s="1"/>
  <c r="AS338" i="12" s="1"/>
  <c r="AO338" i="12" a="1"/>
  <c r="AO338" i="12" s="1"/>
  <c r="AP338" i="12" a="1"/>
  <c r="AP338" i="12" s="1"/>
  <c r="AR556" i="12" a="1"/>
  <c r="AR556" i="12" s="1"/>
  <c r="AM556" i="12"/>
  <c r="AK556" i="12" s="1"/>
  <c r="AS556" i="12" s="1"/>
  <c r="AP556" i="12" a="1"/>
  <c r="AP556" i="12" s="1"/>
  <c r="AR619" i="12" a="1"/>
  <c r="AR619" i="12" s="1"/>
  <c r="AM619" i="12"/>
  <c r="AO619" i="12" s="1" a="1"/>
  <c r="AO619" i="12" s="1"/>
  <c r="AK619" i="12"/>
  <c r="AS619" i="12" s="1"/>
  <c r="AR545" i="12" a="1"/>
  <c r="AR545" i="12" s="1"/>
  <c r="AM545" i="12"/>
  <c r="AQ545" i="12" s="1" a="1"/>
  <c r="AQ545" i="12" s="1"/>
  <c r="AR155" i="12" a="1"/>
  <c r="AR155" i="12" s="1"/>
  <c r="AM155" i="12"/>
  <c r="AK155" i="12" s="1"/>
  <c r="AS155" i="12" s="1"/>
  <c r="AR583" i="12" a="1"/>
  <c r="AR583" i="12" s="1"/>
  <c r="AM583" i="12"/>
  <c r="AK583" i="12" s="1"/>
  <c r="AS583" i="12" s="1"/>
  <c r="AP583" i="12" a="1"/>
  <c r="AP583" i="12" s="1"/>
  <c r="AO583" i="12" a="1"/>
  <c r="AO583" i="12" s="1"/>
  <c r="AR215" i="12" a="1"/>
  <c r="AR215" i="12" s="1"/>
  <c r="AM215" i="12"/>
  <c r="AP215" i="12" s="1" a="1"/>
  <c r="AP215" i="12" s="1"/>
  <c r="AR560" i="12" a="1"/>
  <c r="AR560" i="12" s="1"/>
  <c r="AM560" i="12"/>
  <c r="AM133" i="12"/>
  <c r="AK133" i="12" s="1"/>
  <c r="AS133" i="12" s="1"/>
  <c r="AR133" i="12" a="1"/>
  <c r="AR133" i="12" s="1"/>
  <c r="AR160" i="12" a="1"/>
  <c r="AR160" i="12" s="1"/>
  <c r="AM160" i="12"/>
  <c r="AQ160" i="12" s="1" a="1"/>
  <c r="AQ160" i="12" s="1"/>
  <c r="AR564" i="12" a="1"/>
  <c r="AR564" i="12" s="1"/>
  <c r="AM564" i="12"/>
  <c r="AP564" i="12" s="1" a="1"/>
  <c r="AP564" i="12" s="1"/>
  <c r="AM491" i="12"/>
  <c r="AR491" i="12" a="1"/>
  <c r="AR491" i="12" s="1"/>
  <c r="AO491" i="12" a="1"/>
  <c r="AO491" i="12" s="1"/>
  <c r="AR28" i="12" a="1"/>
  <c r="AR28" i="12" s="1"/>
  <c r="AM28" i="12"/>
  <c r="AR494" i="12" a="1"/>
  <c r="AR494" i="12" s="1"/>
  <c r="AM494" i="12"/>
  <c r="AR655" i="12" a="1"/>
  <c r="AR655" i="12" s="1"/>
  <c r="AM655" i="12"/>
  <c r="AQ655" i="12" s="1" a="1"/>
  <c r="AQ655" i="12" s="1"/>
  <c r="AR400" i="12" a="1"/>
  <c r="AR400" i="12" s="1"/>
  <c r="AM400" i="12"/>
  <c r="AK400" i="12" s="1"/>
  <c r="AS400" i="12" s="1"/>
  <c r="AR552" i="12" a="1"/>
  <c r="AR552" i="12" s="1"/>
  <c r="AM552" i="12"/>
  <c r="AQ552" i="12" s="1" a="1"/>
  <c r="AQ552" i="12" s="1"/>
  <c r="AO552" i="12" a="1"/>
  <c r="AO552" i="12" s="1"/>
  <c r="AR600" i="12" a="1"/>
  <c r="AR600" i="12" s="1"/>
  <c r="AM600" i="12"/>
  <c r="AK600" i="12" s="1"/>
  <c r="AS600" i="12" s="1"/>
  <c r="AR36" i="12" a="1"/>
  <c r="AR36" i="12" s="1"/>
  <c r="AM36" i="12"/>
  <c r="AK36" i="12" s="1"/>
  <c r="AS36" i="12" s="1"/>
  <c r="AM60" i="12"/>
  <c r="AP60" i="12" s="1" a="1"/>
  <c r="AP60" i="12" s="1"/>
  <c r="AR60" i="12" a="1"/>
  <c r="AR60" i="12" s="1"/>
  <c r="AR81" i="12" a="1"/>
  <c r="AR81" i="12" s="1"/>
  <c r="AM81" i="12"/>
  <c r="AP81" i="12" s="1" a="1"/>
  <c r="AP81" i="12" s="1"/>
  <c r="AK81" i="12"/>
  <c r="AS81" i="12" s="1"/>
  <c r="AO81" i="12" a="1"/>
  <c r="AO81" i="12" s="1"/>
  <c r="AQ81" i="12" a="1"/>
  <c r="AQ81" i="12" s="1"/>
  <c r="AM280" i="12"/>
  <c r="AQ280" i="12" s="1" a="1"/>
  <c r="AQ280" i="12" s="1"/>
  <c r="AR280" i="12" a="1"/>
  <c r="AR280" i="12" s="1"/>
  <c r="AR388" i="12" a="1"/>
  <c r="AR388" i="12" s="1"/>
  <c r="AM388" i="12"/>
  <c r="AO388" i="12" s="1" a="1"/>
  <c r="AO388" i="12" s="1"/>
  <c r="AR163" i="12" a="1"/>
  <c r="AR163" i="12" s="1"/>
  <c r="AM163" i="12"/>
  <c r="AR307" i="12" a="1"/>
  <c r="AR307" i="12" s="1"/>
  <c r="AM307" i="12"/>
  <c r="AQ307" i="12" s="1" a="1"/>
  <c r="AQ307" i="12" s="1"/>
  <c r="AK307" i="12"/>
  <c r="AS307" i="12" s="1"/>
  <c r="AR444" i="12" a="1"/>
  <c r="AR444" i="12" s="1"/>
  <c r="AM444" i="12"/>
  <c r="AQ444" i="12" s="1" a="1"/>
  <c r="AQ444" i="12" s="1"/>
  <c r="AR213" i="12" a="1"/>
  <c r="AR213" i="12" s="1"/>
  <c r="AM213" i="12"/>
  <c r="AP213" i="12" s="1" a="1"/>
  <c r="AP213" i="12" s="1"/>
  <c r="AM339" i="12"/>
  <c r="AQ339" i="12" s="1" a="1"/>
  <c r="AQ339" i="12" s="1"/>
  <c r="AR339" i="12" a="1"/>
  <c r="AR339" i="12" s="1"/>
  <c r="AM515" i="12"/>
  <c r="AR515" i="12" a="1"/>
  <c r="AR515" i="12" s="1"/>
  <c r="AR235" i="12" a="1"/>
  <c r="AR235" i="12" s="1"/>
  <c r="AM235" i="12"/>
  <c r="AP235" i="12" s="1" a="1"/>
  <c r="AP235" i="12" s="1"/>
  <c r="AR351" i="12" a="1"/>
  <c r="AR351" i="12" s="1"/>
  <c r="AM351" i="12"/>
  <c r="AO351" i="12" s="1" a="1"/>
  <c r="AO351" i="12" s="1"/>
  <c r="AR332" i="12" a="1"/>
  <c r="AR332" i="12" s="1"/>
  <c r="AM332" i="12"/>
  <c r="AQ332" i="12" s="1" a="1"/>
  <c r="AQ332" i="12" s="1"/>
  <c r="AP332" i="12" a="1"/>
  <c r="AP332" i="12" s="1"/>
  <c r="AR258" i="12" a="1"/>
  <c r="AR258" i="12" s="1"/>
  <c r="AM258" i="12"/>
  <c r="AK258" i="12" s="1"/>
  <c r="AS258" i="12" s="1"/>
  <c r="AR299" i="12" a="1"/>
  <c r="AR299" i="12" s="1"/>
  <c r="AM299" i="12"/>
  <c r="AP299" i="12" s="1" a="1"/>
  <c r="AP299" i="12" s="1"/>
  <c r="AR446" i="12" a="1"/>
  <c r="AR446" i="12" s="1"/>
  <c r="AM446" i="12"/>
  <c r="AP446" i="12" s="1" a="1"/>
  <c r="AP446" i="12" s="1"/>
  <c r="AM152" i="12"/>
  <c r="AK152" i="12" s="1"/>
  <c r="AS152" i="12" s="1"/>
  <c r="AR152" i="12" a="1"/>
  <c r="AR152" i="12" s="1"/>
  <c r="AQ152" i="12" a="1"/>
  <c r="AQ152" i="12" s="1"/>
  <c r="AO152" i="12" a="1"/>
  <c r="AO152" i="12" s="1"/>
  <c r="AR344" i="12" a="1"/>
  <c r="AR344" i="12" s="1"/>
  <c r="AM344" i="12"/>
  <c r="AP344" i="12" s="1" a="1"/>
  <c r="AP344" i="12" s="1"/>
  <c r="AR645" i="12" a="1"/>
  <c r="AR645" i="12" s="1"/>
  <c r="AM645" i="12"/>
  <c r="AQ645" i="12" s="1" a="1"/>
  <c r="AQ645" i="12" s="1"/>
  <c r="AM497" i="12"/>
  <c r="AK497" i="12" s="1"/>
  <c r="AS497" i="12" s="1"/>
  <c r="AR497" i="12" a="1"/>
  <c r="AR497" i="12" s="1"/>
  <c r="AM55" i="12"/>
  <c r="AR55" i="12" a="1"/>
  <c r="AR55" i="12" s="1"/>
  <c r="AO55" i="12" a="1"/>
  <c r="AO55" i="12" s="1"/>
  <c r="AR106" i="12" a="1"/>
  <c r="AR106" i="12" s="1"/>
  <c r="AM106" i="12"/>
  <c r="AK106" i="12" s="1"/>
  <c r="AS106" i="12" s="1"/>
  <c r="AQ106" i="12" a="1"/>
  <c r="AQ106" i="12" s="1"/>
  <c r="AR615" i="12" a="1"/>
  <c r="AR615" i="12" s="1"/>
  <c r="AM615" i="12"/>
  <c r="AK615" i="12" s="1"/>
  <c r="AS615" i="12" s="1"/>
  <c r="AP615" i="12" a="1"/>
  <c r="AP615" i="12" s="1"/>
  <c r="AR372" i="12" a="1"/>
  <c r="AR372" i="12" s="1"/>
  <c r="AM372" i="12"/>
  <c r="AQ372" i="12" s="1" a="1"/>
  <c r="AQ372" i="12" s="1"/>
  <c r="AR623" i="12" a="1"/>
  <c r="AR623" i="12" s="1"/>
  <c r="AM623" i="12"/>
  <c r="AK623" i="12" s="1"/>
  <c r="AS623" i="12" s="1"/>
  <c r="AR533" i="12" a="1"/>
  <c r="AR533" i="12" s="1"/>
  <c r="AM533" i="12"/>
  <c r="AM121" i="12"/>
  <c r="AK121" i="12" s="1"/>
  <c r="AS121" i="12" s="1"/>
  <c r="AR121" i="12" a="1"/>
  <c r="AR121" i="12" s="1"/>
  <c r="AM431" i="12"/>
  <c r="AP431" i="12" s="1" a="1"/>
  <c r="AP431" i="12" s="1"/>
  <c r="AR431" i="12" a="1"/>
  <c r="AR431" i="12" s="1"/>
  <c r="AR522" i="12" a="1"/>
  <c r="AR522" i="12" s="1"/>
  <c r="AM522" i="12"/>
  <c r="AO522" i="12" s="1" a="1"/>
  <c r="AO522" i="12" s="1"/>
  <c r="AR359" i="12" a="1"/>
  <c r="AR359" i="12" s="1"/>
  <c r="AM359" i="12"/>
  <c r="AP359" i="12" s="1" a="1"/>
  <c r="AP359" i="12" s="1"/>
  <c r="AR507" i="12" a="1"/>
  <c r="AR507" i="12" s="1"/>
  <c r="AM507" i="12"/>
  <c r="AP507" i="12" s="1" a="1"/>
  <c r="AP507" i="12" s="1"/>
  <c r="AR273" i="12" a="1"/>
  <c r="AR273" i="12" s="1"/>
  <c r="AM273" i="12"/>
  <c r="AO273" i="12" s="1" a="1"/>
  <c r="AO273" i="12" s="1"/>
  <c r="AM108" i="12"/>
  <c r="AR108" i="12" a="1"/>
  <c r="AR108" i="12" s="1"/>
  <c r="AR242" i="12" a="1"/>
  <c r="AR242" i="12" s="1"/>
  <c r="AM242" i="12"/>
  <c r="AO242" i="12" s="1" a="1"/>
  <c r="AO242" i="12" s="1"/>
  <c r="AR347" i="12" a="1"/>
  <c r="AR347" i="12" s="1"/>
  <c r="AM347" i="12"/>
  <c r="AQ347" i="12" s="1" a="1"/>
  <c r="AQ347" i="12" s="1"/>
  <c r="AR100" i="12" a="1"/>
  <c r="AR100" i="12" s="1"/>
  <c r="AM100" i="12"/>
  <c r="AQ100" i="12" s="1" a="1"/>
  <c r="AQ100" i="12" s="1"/>
  <c r="AR447" i="12" a="1"/>
  <c r="AR447" i="12" s="1"/>
  <c r="AM447" i="12"/>
  <c r="AP447" i="12" s="1" a="1"/>
  <c r="AP447" i="12" s="1"/>
  <c r="AR662" i="12" a="1"/>
  <c r="AR662" i="12" s="1"/>
  <c r="AM662" i="12"/>
  <c r="AR666" i="12" a="1"/>
  <c r="AR666" i="12" s="1"/>
  <c r="AM666" i="12"/>
  <c r="AK666" i="12" s="1"/>
  <c r="AS666" i="12" s="1"/>
  <c r="AR292" i="12" a="1"/>
  <c r="AR292" i="12" s="1"/>
  <c r="AM292" i="12"/>
  <c r="AK292" i="12" s="1"/>
  <c r="AS292" i="12" s="1"/>
  <c r="AR222" i="12" a="1"/>
  <c r="AR222" i="12" s="1"/>
  <c r="AM222" i="12"/>
  <c r="AQ222" i="12" a="1"/>
  <c r="AQ222" i="12" s="1"/>
  <c r="AM385" i="12"/>
  <c r="AQ385" i="12" s="1" a="1"/>
  <c r="AQ385" i="12" s="1"/>
  <c r="AK385" i="12"/>
  <c r="AS385" i="12" s="1"/>
  <c r="AR385" i="12" a="1"/>
  <c r="AR385" i="12" s="1"/>
  <c r="D36" i="12" a="1"/>
  <c r="D36" i="12" s="1"/>
  <c r="AE67" i="12"/>
  <c r="AE68" i="12" s="1"/>
  <c r="AE69" i="12" s="1"/>
  <c r="AE70" i="12" s="1"/>
  <c r="AE71" i="12" s="1"/>
  <c r="AM720" i="12"/>
  <c r="AO720" i="12" s="1" a="1"/>
  <c r="AO720" i="12" s="1"/>
  <c r="AR720" i="12" a="1"/>
  <c r="AR720" i="12" s="1"/>
  <c r="AR365" i="12" a="1"/>
  <c r="AR365" i="12" s="1"/>
  <c r="AM365" i="12"/>
  <c r="AK365" i="12" s="1"/>
  <c r="AS365" i="12" s="1"/>
  <c r="AQ365" i="12" a="1"/>
  <c r="AQ365" i="12" s="1"/>
  <c r="AR596" i="12" a="1"/>
  <c r="AR596" i="12" s="1"/>
  <c r="AM596" i="12"/>
  <c r="AO596" i="12" s="1" a="1"/>
  <c r="AO596" i="12" s="1"/>
  <c r="AK596" i="12"/>
  <c r="AS596" i="12" s="1"/>
  <c r="AR245" i="12" a="1"/>
  <c r="AR245" i="12" s="1"/>
  <c r="AM245" i="12"/>
  <c r="AO245" i="12" s="1" a="1"/>
  <c r="AO245" i="12" s="1"/>
  <c r="AR721" i="12" a="1"/>
  <c r="AR721" i="12" s="1"/>
  <c r="AM721" i="12"/>
  <c r="AR391" i="12" a="1"/>
  <c r="AR391" i="12" s="1"/>
  <c r="AM391" i="12"/>
  <c r="AP391" i="12" s="1" a="1"/>
  <c r="AP391" i="12" s="1"/>
  <c r="AR253" i="12" a="1"/>
  <c r="AR253" i="12" s="1"/>
  <c r="AM253" i="12"/>
  <c r="AO253" i="12" s="1" a="1"/>
  <c r="AO253" i="12" s="1"/>
  <c r="AQ253" i="12" a="1"/>
  <c r="AQ253" i="12" s="1"/>
  <c r="AR653" i="12" a="1"/>
  <c r="AR653" i="12" s="1"/>
  <c r="AM653" i="12"/>
  <c r="AK653" i="12" s="1"/>
  <c r="AS653" i="12" s="1"/>
  <c r="AO653" i="12" a="1"/>
  <c r="AO653" i="12" s="1"/>
  <c r="AM111" i="12"/>
  <c r="AR111" i="12" a="1"/>
  <c r="AR111" i="12" s="1"/>
  <c r="AR536" i="12" a="1"/>
  <c r="AR536" i="12" s="1"/>
  <c r="AM536" i="12"/>
  <c r="AM383" i="12"/>
  <c r="AQ383" i="12" s="1" a="1"/>
  <c r="AQ383" i="12" s="1"/>
  <c r="AR383" i="12" a="1"/>
  <c r="AR383" i="12" s="1"/>
  <c r="AR168" i="12" a="1"/>
  <c r="AR168" i="12" s="1"/>
  <c r="AM168" i="12"/>
  <c r="AQ168" i="12" s="1" a="1"/>
  <c r="AQ168" i="12" s="1"/>
  <c r="AR606" i="12" a="1"/>
  <c r="AR606" i="12" s="1"/>
  <c r="AM606" i="12"/>
  <c r="AK606" i="12" s="1"/>
  <c r="AS606" i="12" s="1"/>
  <c r="AP606" i="12" a="1"/>
  <c r="AP606" i="12" s="1"/>
  <c r="AM499" i="12"/>
  <c r="AR499" i="12" a="1"/>
  <c r="AR499" i="12" s="1"/>
  <c r="AR34" i="12" a="1"/>
  <c r="AR34" i="12" s="1"/>
  <c r="AM34" i="12"/>
  <c r="AO34" i="12" s="1" a="1"/>
  <c r="AO34" i="12" s="1"/>
  <c r="AR312" i="12" a="1"/>
  <c r="AR312" i="12" s="1"/>
  <c r="AM312" i="12"/>
  <c r="AK312" i="12"/>
  <c r="AS312" i="12" s="1"/>
  <c r="AO312" i="12" a="1"/>
  <c r="AO312" i="12" s="1"/>
  <c r="AM667" i="12"/>
  <c r="AP667" i="12" s="1" a="1"/>
  <c r="AP667" i="12" s="1"/>
  <c r="AR667" i="12" a="1"/>
  <c r="AR667" i="12" s="1"/>
  <c r="AM42" i="12"/>
  <c r="AQ42" i="12" s="1" a="1"/>
  <c r="AQ42" i="12" s="1"/>
  <c r="AR42" i="12" a="1"/>
  <c r="AR42" i="12" s="1"/>
  <c r="AM226" i="12"/>
  <c r="AR226" i="12" a="1"/>
  <c r="AR226" i="12" s="1"/>
  <c r="AR355" i="12" a="1"/>
  <c r="AR355" i="12" s="1"/>
  <c r="AM355" i="12"/>
  <c r="AO355" i="12" s="1" a="1"/>
  <c r="AO355" i="12" s="1"/>
  <c r="AK355" i="12"/>
  <c r="AS355" i="12" s="1"/>
  <c r="AQ355" i="12" a="1"/>
  <c r="AQ355" i="12" s="1"/>
  <c r="AM550" i="12"/>
  <c r="AR550" i="12" a="1"/>
  <c r="AR550" i="12" s="1"/>
  <c r="AQ550" i="12" a="1"/>
  <c r="AQ550" i="12" s="1"/>
  <c r="AR439" i="12" a="1"/>
  <c r="AR439" i="12" s="1"/>
  <c r="AM439" i="12"/>
  <c r="AK147" i="12"/>
  <c r="AS147" i="12" s="1"/>
  <c r="AM147" i="12"/>
  <c r="AR147" i="12" a="1"/>
  <c r="AR147" i="12" s="1"/>
  <c r="AP147" i="12" a="1"/>
  <c r="AP147" i="12" s="1"/>
  <c r="AM336" i="12"/>
  <c r="AR336" i="12" a="1"/>
  <c r="AR336" i="12" s="1"/>
  <c r="AR281" i="12" a="1"/>
  <c r="AR281" i="12" s="1"/>
  <c r="AM281" i="12"/>
  <c r="AM35" i="12"/>
  <c r="AP35" i="12" s="1" a="1"/>
  <c r="AP35" i="12" s="1"/>
  <c r="AR35" i="12" a="1"/>
  <c r="AR35" i="12" s="1"/>
  <c r="AR724" i="12" a="1"/>
  <c r="AR724" i="12" s="1"/>
  <c r="AM724" i="12"/>
  <c r="AQ724" i="12" s="1" a="1"/>
  <c r="AQ724" i="12" s="1"/>
  <c r="AK724" i="12"/>
  <c r="AS724" i="12" s="1"/>
  <c r="AR101" i="12" a="1"/>
  <c r="AR101" i="12" s="1"/>
  <c r="AM101" i="12"/>
  <c r="AO101" i="12" s="1" a="1"/>
  <c r="AO101" i="12" s="1"/>
  <c r="AR654" i="12" a="1"/>
  <c r="AR654" i="12" s="1"/>
  <c r="AM654" i="12"/>
  <c r="AQ654" i="12" s="1" a="1"/>
  <c r="AQ654" i="12" s="1"/>
  <c r="AR561" i="12" a="1"/>
  <c r="AR561" i="12" s="1"/>
  <c r="AM561" i="12"/>
  <c r="AK561" i="12" s="1"/>
  <c r="AS561" i="12" s="1"/>
  <c r="AR582" i="12" a="1"/>
  <c r="AR582" i="12" s="1"/>
  <c r="AM582" i="12"/>
  <c r="AR680" i="12" a="1"/>
  <c r="AR680" i="12" s="1"/>
  <c r="AM680" i="12"/>
  <c r="AO680" i="12" s="1" a="1"/>
  <c r="AO680" i="12" s="1"/>
  <c r="AK680" i="12"/>
  <c r="AS680" i="12" s="1"/>
  <c r="AQ680" i="12" a="1"/>
  <c r="AQ680" i="12" s="1"/>
  <c r="AM647" i="12"/>
  <c r="AP647" i="12" s="1" a="1"/>
  <c r="AP647" i="12" s="1"/>
  <c r="AR647" i="12" a="1"/>
  <c r="AR647" i="12" s="1"/>
  <c r="AR668" i="12" a="1"/>
  <c r="AR668" i="12" s="1"/>
  <c r="AM668" i="12"/>
  <c r="AO668" i="12" s="1" a="1"/>
  <c r="AO668" i="12" s="1"/>
  <c r="AR658" i="12" a="1"/>
  <c r="AR658" i="12" s="1"/>
  <c r="AM658" i="12"/>
  <c r="AK658" i="12"/>
  <c r="AS658" i="12" s="1"/>
  <c r="AO658" i="12" a="1"/>
  <c r="AO658" i="12" s="1"/>
  <c r="AM562" i="12"/>
  <c r="AK562" i="12" s="1"/>
  <c r="AS562" i="12" s="1"/>
  <c r="AR562" i="12" a="1"/>
  <c r="AR562" i="12" s="1"/>
  <c r="AP562" i="12" a="1"/>
  <c r="AP562" i="12" s="1"/>
  <c r="AQ562" i="12" a="1"/>
  <c r="AQ562" i="12" s="1"/>
  <c r="AO562" i="12" a="1"/>
  <c r="AO562" i="12" s="1"/>
  <c r="AR50" i="12" a="1"/>
  <c r="AR50" i="12" s="1"/>
  <c r="AM50" i="12"/>
  <c r="AQ50" i="12" s="1" a="1"/>
  <c r="AQ50" i="12" s="1"/>
  <c r="AO50" i="12" a="1"/>
  <c r="AO50" i="12" s="1"/>
  <c r="AR98" i="12" a="1"/>
  <c r="AR98" i="12" s="1"/>
  <c r="AM98" i="12"/>
  <c r="AR633" i="12" a="1"/>
  <c r="AR633" i="12" s="1"/>
  <c r="AM633" i="12"/>
  <c r="AK633" i="12" s="1"/>
  <c r="AS633" i="12" s="1"/>
  <c r="AQ633" i="12" a="1"/>
  <c r="AQ633" i="12" s="1"/>
  <c r="AP633" i="12" a="1"/>
  <c r="AP633" i="12" s="1"/>
  <c r="AR673" i="12" a="1"/>
  <c r="AR673" i="12" s="1"/>
  <c r="AM673" i="12"/>
  <c r="AK673" i="12" s="1"/>
  <c r="AS673" i="12" s="1"/>
  <c r="AP673" i="12" a="1"/>
  <c r="AP673" i="12" s="1"/>
  <c r="AR193" i="12" a="1"/>
  <c r="AR193" i="12" s="1"/>
  <c r="AM193" i="12"/>
  <c r="AP193" i="12" s="1" a="1"/>
  <c r="AP193" i="12" s="1"/>
  <c r="AK193" i="12"/>
  <c r="AS193" i="12" s="1"/>
  <c r="AM214" i="12"/>
  <c r="AR214" i="12" a="1"/>
  <c r="AR214" i="12" s="1"/>
  <c r="AR124" i="12" a="1"/>
  <c r="AR124" i="12" s="1"/>
  <c r="AM124" i="12"/>
  <c r="AM53" i="12"/>
  <c r="AK53" i="12" s="1"/>
  <c r="AS53" i="12" s="1"/>
  <c r="AR53" i="12" a="1"/>
  <c r="AR53" i="12" s="1"/>
  <c r="AR279" i="12" a="1"/>
  <c r="AR279" i="12" s="1"/>
  <c r="AM279" i="12"/>
  <c r="AQ279" i="12" s="1" a="1"/>
  <c r="AQ279" i="12" s="1"/>
  <c r="AO279" i="12" a="1"/>
  <c r="AO279" i="12" s="1"/>
  <c r="AR282" i="12" a="1"/>
  <c r="AR282" i="12" s="1"/>
  <c r="AM282" i="12"/>
  <c r="AQ282" i="12" s="1" a="1"/>
  <c r="AQ282" i="12" s="1"/>
  <c r="AP282" i="12" a="1"/>
  <c r="AP282" i="12" s="1"/>
  <c r="AO282" i="12" a="1"/>
  <c r="AO282" i="12" s="1"/>
  <c r="AR500" i="12" a="1"/>
  <c r="AR500" i="12" s="1"/>
  <c r="AM500" i="12"/>
  <c r="AQ500" i="12" s="1" a="1"/>
  <c r="AQ500" i="12" s="1"/>
  <c r="AR589" i="12" a="1"/>
  <c r="AR589" i="12" s="1"/>
  <c r="AM589" i="12"/>
  <c r="AR689" i="12" a="1"/>
  <c r="AR689" i="12" s="1"/>
  <c r="AM689" i="12"/>
  <c r="AK689" i="12" s="1"/>
  <c r="AS689" i="12" s="1"/>
  <c r="AR691" i="12" a="1"/>
  <c r="AR691" i="12" s="1"/>
  <c r="AM691" i="12"/>
  <c r="AK691" i="12" s="1"/>
  <c r="AS691" i="12" s="1"/>
  <c r="AR241" i="12" a="1"/>
  <c r="AR241" i="12" s="1"/>
  <c r="AM241" i="12"/>
  <c r="AK241" i="12" s="1"/>
  <c r="AS241" i="12" s="1"/>
  <c r="AO241" i="12" a="1"/>
  <c r="AO241" i="12" s="1"/>
  <c r="AR415" i="12" a="1"/>
  <c r="AR415" i="12" s="1"/>
  <c r="AM415" i="12"/>
  <c r="AP415" i="12" s="1" a="1"/>
  <c r="AP415" i="12" s="1"/>
  <c r="AK415" i="12"/>
  <c r="AS415" i="12" s="1"/>
  <c r="AR429" i="12" a="1"/>
  <c r="AR429" i="12" s="1"/>
  <c r="AM429" i="12"/>
  <c r="AO429" i="12" s="1" a="1"/>
  <c r="AO429" i="12" s="1"/>
  <c r="AR634" i="12" a="1"/>
  <c r="AR634" i="12" s="1"/>
  <c r="AM634" i="12"/>
  <c r="AK634" i="12" s="1"/>
  <c r="AS634" i="12" s="1"/>
  <c r="AR416" i="12" a="1"/>
  <c r="AR416" i="12" s="1"/>
  <c r="AM416" i="12"/>
  <c r="AQ416" i="12" s="1" a="1"/>
  <c r="AQ416" i="12" s="1"/>
  <c r="AR333" i="12" a="1"/>
  <c r="AR333" i="12" s="1"/>
  <c r="AM333" i="12"/>
  <c r="AQ333" i="12" s="1" a="1"/>
  <c r="AQ333" i="12" s="1"/>
  <c r="AR103" i="12" a="1"/>
  <c r="AR103" i="12" s="1"/>
  <c r="AM103" i="12"/>
  <c r="AK103" i="12" s="1"/>
  <c r="AS103" i="12" s="1"/>
  <c r="AO103" i="12" a="1"/>
  <c r="AO103" i="12" s="1"/>
  <c r="AM532" i="12"/>
  <c r="AQ532" i="12" s="1" a="1"/>
  <c r="AQ532" i="12" s="1"/>
  <c r="AR532" i="12" a="1"/>
  <c r="AR532" i="12" s="1"/>
  <c r="AR469" i="12" a="1"/>
  <c r="AR469" i="12" s="1"/>
  <c r="AM469" i="12"/>
  <c r="AQ469" i="12" s="1" a="1"/>
  <c r="AQ469" i="12" s="1"/>
  <c r="AR670" i="12" a="1"/>
  <c r="AR670" i="12" s="1"/>
  <c r="AM670" i="12"/>
  <c r="AO670" i="12" s="1" a="1"/>
  <c r="AO670" i="12" s="1"/>
  <c r="AM187" i="12"/>
  <c r="AQ187" i="12" s="1" a="1"/>
  <c r="AQ187" i="12" s="1"/>
  <c r="AK187" i="12"/>
  <c r="AS187" i="12" s="1"/>
  <c r="AR187" i="12" a="1"/>
  <c r="AR187" i="12" s="1"/>
  <c r="AO187" i="12" a="1"/>
  <c r="AO187" i="12" s="1"/>
  <c r="AP187" i="12" a="1"/>
  <c r="AP187" i="12" s="1"/>
  <c r="AR605" i="12" a="1"/>
  <c r="AR605" i="12" s="1"/>
  <c r="AM605" i="12"/>
  <c r="AK605" i="12" s="1"/>
  <c r="AS605" i="12" s="1"/>
  <c r="AP605" i="12" a="1"/>
  <c r="AP605" i="12" s="1"/>
  <c r="AR15" i="12" a="1"/>
  <c r="AR15" i="12" s="1"/>
  <c r="AM15" i="12"/>
  <c r="AQ15" i="12" s="1" a="1"/>
  <c r="AQ15" i="12" s="1"/>
  <c r="AM76" i="12"/>
  <c r="AK76" i="12" s="1"/>
  <c r="AS76" i="12" s="1"/>
  <c r="AR76" i="12" a="1"/>
  <c r="AR76" i="12" s="1"/>
  <c r="AR20" i="12" a="1"/>
  <c r="AR20" i="12" s="1"/>
  <c r="AM20" i="12"/>
  <c r="AK20" i="12" s="1"/>
  <c r="AS20" i="12" s="1"/>
  <c r="AO20" i="12" a="1"/>
  <c r="AO20" i="12" s="1"/>
  <c r="AR206" i="12" a="1"/>
  <c r="AR206" i="12" s="1"/>
  <c r="AM206" i="12"/>
  <c r="AQ206" i="12" s="1" a="1"/>
  <c r="AQ206" i="12" s="1"/>
  <c r="AP206" i="12" a="1"/>
  <c r="AP206" i="12" s="1"/>
  <c r="AR438" i="12" a="1"/>
  <c r="AR438" i="12" s="1"/>
  <c r="AM438" i="12"/>
  <c r="AK438" i="12" s="1"/>
  <c r="AS438" i="12" s="1"/>
  <c r="AR524" i="12" a="1"/>
  <c r="AR524" i="12" s="1"/>
  <c r="AM524" i="12"/>
  <c r="AK524" i="12" s="1"/>
  <c r="AS524" i="12" s="1"/>
  <c r="AR233" i="12" a="1"/>
  <c r="AR233" i="12" s="1"/>
  <c r="AM233" i="12"/>
  <c r="AP233" i="12" s="1" a="1"/>
  <c r="AP233" i="12" s="1"/>
  <c r="AO233" i="12" a="1"/>
  <c r="AO233" i="12" s="1"/>
  <c r="AR609" i="12" a="1"/>
  <c r="AR609" i="12" s="1"/>
  <c r="AM609" i="12"/>
  <c r="AP609" i="12" s="1" a="1"/>
  <c r="AP609" i="12" s="1"/>
  <c r="AM246" i="12"/>
  <c r="AQ246" i="12" s="1" a="1"/>
  <c r="AQ246" i="12" s="1"/>
  <c r="AR246" i="12" a="1"/>
  <c r="AR246" i="12" s="1"/>
  <c r="AR33" i="12" a="1"/>
  <c r="AR33" i="12" s="1"/>
  <c r="AM33" i="12"/>
  <c r="AP33" i="12" s="1" a="1"/>
  <c r="AP33" i="12" s="1"/>
  <c r="AM29" i="12"/>
  <c r="AO29" i="12" s="1" a="1"/>
  <c r="AO29" i="12" s="1"/>
  <c r="AR29" i="12" a="1"/>
  <c r="AR29" i="12" s="1"/>
  <c r="AR289" i="12" a="1"/>
  <c r="AR289" i="12" s="1"/>
  <c r="AM289" i="12"/>
  <c r="AQ289" i="12" s="1" a="1"/>
  <c r="AQ289" i="12" s="1"/>
  <c r="AR476" i="12" a="1"/>
  <c r="AR476" i="12" s="1"/>
  <c r="AM476" i="12"/>
  <c r="AK476" i="12" s="1"/>
  <c r="AS476" i="12" s="1"/>
  <c r="AR435" i="12" a="1"/>
  <c r="AR435" i="12" s="1"/>
  <c r="AM435" i="12"/>
  <c r="AQ435" i="12" s="1" a="1"/>
  <c r="AQ435" i="12" s="1"/>
  <c r="AR694" i="12" a="1"/>
  <c r="AR694" i="12" s="1"/>
  <c r="AM694" i="12"/>
  <c r="AP694" i="12" s="1" a="1"/>
  <c r="AP694" i="12" s="1"/>
  <c r="AO694" i="12" a="1"/>
  <c r="AO694" i="12" s="1"/>
  <c r="AR278" i="12" a="1"/>
  <c r="AR278" i="12" s="1"/>
  <c r="AM278" i="12"/>
  <c r="AK278" i="12" s="1"/>
  <c r="AS278" i="12" s="1"/>
  <c r="AP278" i="12" a="1"/>
  <c r="AP278" i="12" s="1"/>
  <c r="AQ278" i="12" a="1"/>
  <c r="AQ278" i="12" s="1"/>
  <c r="AO278" i="12" a="1"/>
  <c r="AO278" i="12" s="1"/>
  <c r="AR519" i="12" a="1"/>
  <c r="AR519" i="12" s="1"/>
  <c r="AM519" i="12"/>
  <c r="AK519" i="12" s="1"/>
  <c r="AS519" i="12" s="1"/>
  <c r="AO519" i="12" a="1"/>
  <c r="AO519" i="12" s="1"/>
  <c r="AM402" i="12"/>
  <c r="AK402" i="12" s="1"/>
  <c r="AS402" i="12" s="1"/>
  <c r="AR402" i="12" a="1"/>
  <c r="AR402" i="12" s="1"/>
  <c r="AM303" i="12"/>
  <c r="AR303" i="12" a="1"/>
  <c r="AR303" i="12" s="1"/>
  <c r="AK303" i="12"/>
  <c r="AS303" i="12" s="1"/>
  <c r="AQ303" i="12" a="1"/>
  <c r="AQ303" i="12" s="1"/>
  <c r="AO303" i="12" a="1"/>
  <c r="AO303" i="12" s="1"/>
  <c r="AP303" i="12" a="1"/>
  <c r="AP303" i="12" s="1"/>
  <c r="AM683" i="12"/>
  <c r="AP683" i="12" s="1" a="1"/>
  <c r="AP683" i="12" s="1"/>
  <c r="AR683" i="12" a="1"/>
  <c r="AR683" i="12" s="1"/>
  <c r="AR331" i="12" a="1"/>
  <c r="AR331" i="12" s="1"/>
  <c r="AM331" i="12"/>
  <c r="AQ331" i="12" s="1" a="1"/>
  <c r="AQ331" i="12" s="1"/>
  <c r="AR364" i="12" a="1"/>
  <c r="AR364" i="12" s="1"/>
  <c r="AM364" i="12"/>
  <c r="AO364" i="12" s="1" a="1"/>
  <c r="AO364" i="12" s="1"/>
  <c r="AM593" i="12"/>
  <c r="AO593" i="12" s="1" a="1"/>
  <c r="AO593" i="12" s="1"/>
  <c r="AR593" i="12" a="1"/>
  <c r="AR593" i="12" s="1"/>
  <c r="AR625" i="12" a="1"/>
  <c r="AR625" i="12" s="1"/>
  <c r="AM625" i="12"/>
  <c r="AK625" i="12" s="1"/>
  <c r="AS625" i="12" s="1"/>
  <c r="AM174" i="12"/>
  <c r="AK174" i="12" s="1"/>
  <c r="AS174" i="12" s="1"/>
  <c r="AR174" i="12" a="1"/>
  <c r="AR174" i="12" s="1"/>
  <c r="AP174" i="12" a="1"/>
  <c r="AP174" i="12" s="1"/>
  <c r="AQ174" i="12" a="1"/>
  <c r="AQ174" i="12" s="1"/>
  <c r="AM401" i="12"/>
  <c r="AP401" i="12" s="1" a="1"/>
  <c r="AP401" i="12" s="1"/>
  <c r="AR401" i="12" a="1"/>
  <c r="AR401" i="12" s="1"/>
  <c r="AR136" i="12" a="1"/>
  <c r="AR136" i="12" s="1"/>
  <c r="AM136" i="12"/>
  <c r="AP136" i="12" s="1" a="1"/>
  <c r="AP136" i="12" s="1"/>
  <c r="AQ136" i="12" a="1"/>
  <c r="AQ136" i="12" s="1"/>
  <c r="AR9" i="12" a="1"/>
  <c r="AR9" i="12" s="1"/>
  <c r="AM9" i="12"/>
  <c r="AP9" i="12" s="1" a="1"/>
  <c r="AP9" i="12" s="1"/>
  <c r="AR134" i="12" a="1"/>
  <c r="AR134" i="12" s="1"/>
  <c r="AM134" i="12"/>
  <c r="AP134" i="12" s="1" a="1"/>
  <c r="AP134" i="12" s="1"/>
  <c r="AM659" i="12"/>
  <c r="AR659" i="12" a="1"/>
  <c r="AR659" i="12" s="1"/>
  <c r="AR117" i="12" a="1"/>
  <c r="AR117" i="12" s="1"/>
  <c r="AM117" i="12"/>
  <c r="AK117" i="12" s="1"/>
  <c r="AS117" i="12" s="1"/>
  <c r="AR197" i="12" a="1"/>
  <c r="AR197" i="12" s="1"/>
  <c r="AM197" i="12"/>
  <c r="AQ197" i="12" s="1" a="1"/>
  <c r="AQ197" i="12" s="1"/>
  <c r="AR590" i="12" a="1"/>
  <c r="AR590" i="12" s="1"/>
  <c r="AM590" i="12"/>
  <c r="AO590" i="12" s="1" a="1"/>
  <c r="AO590" i="12" s="1"/>
  <c r="AK590" i="12"/>
  <c r="AS590" i="12" s="1"/>
  <c r="AR396" i="12" a="1"/>
  <c r="AR396" i="12" s="1"/>
  <c r="AM396" i="12"/>
  <c r="AQ396" i="12" s="1" a="1"/>
  <c r="AQ396" i="12" s="1"/>
  <c r="AK396" i="12"/>
  <c r="AS396" i="12" s="1"/>
  <c r="AM620" i="12"/>
  <c r="AK620" i="12" s="1"/>
  <c r="AS620" i="12" s="1"/>
  <c r="AR620" i="12" a="1"/>
  <c r="AR620" i="12" s="1"/>
  <c r="AR547" i="12" a="1"/>
  <c r="AR547" i="12" s="1"/>
  <c r="AM547" i="12"/>
  <c r="AP547" i="12" s="1" a="1"/>
  <c r="AP547" i="12" s="1"/>
  <c r="AR612" i="12" a="1"/>
  <c r="AR612" i="12" s="1"/>
  <c r="AM612" i="12"/>
  <c r="AP612" i="12" s="1" a="1"/>
  <c r="AP612" i="12" s="1"/>
  <c r="AO612" i="12" a="1"/>
  <c r="AO612" i="12" s="1"/>
  <c r="AM208" i="12"/>
  <c r="AP208" i="12" s="1" a="1"/>
  <c r="AP208" i="12" s="1"/>
  <c r="AR208" i="12" a="1"/>
  <c r="AR208" i="12" s="1"/>
  <c r="AO208" i="12" a="1"/>
  <c r="AO208" i="12" s="1"/>
  <c r="AM156" i="12"/>
  <c r="AQ156" i="12" s="1" a="1"/>
  <c r="AQ156" i="12" s="1"/>
  <c r="AR156" i="12" a="1"/>
  <c r="AR156" i="12" s="1"/>
  <c r="AM207" i="12"/>
  <c r="AP207" i="12" s="1" a="1"/>
  <c r="AP207" i="12" s="1"/>
  <c r="AR207" i="12" a="1"/>
  <c r="AR207" i="12" s="1"/>
  <c r="AM93" i="12"/>
  <c r="AK93" i="12" s="1"/>
  <c r="AS93" i="12" s="1"/>
  <c r="AR93" i="12" a="1"/>
  <c r="AR93" i="12" s="1"/>
  <c r="AR47" i="12" a="1"/>
  <c r="AR47" i="12" s="1"/>
  <c r="AM47" i="12"/>
  <c r="AQ47" i="12" s="1" a="1"/>
  <c r="AQ47" i="12" s="1"/>
  <c r="AK47" i="12"/>
  <c r="AS47" i="12" s="1"/>
  <c r="AP47" i="12" a="1"/>
  <c r="AP47" i="12" s="1"/>
  <c r="AR501" i="12" a="1"/>
  <c r="AR501" i="12" s="1"/>
  <c r="AM501" i="12"/>
  <c r="AQ501" i="12" s="1" a="1"/>
  <c r="AQ501" i="12" s="1"/>
  <c r="AM598" i="12"/>
  <c r="AK598" i="12" s="1"/>
  <c r="AS598" i="12" s="1"/>
  <c r="AR598" i="12" a="1"/>
  <c r="AR598" i="12" s="1"/>
  <c r="AP598" i="12" a="1"/>
  <c r="AP598" i="12" s="1"/>
  <c r="AR266" i="12" a="1"/>
  <c r="AR266" i="12" s="1"/>
  <c r="AM266" i="12"/>
  <c r="AP266" i="12" s="1" a="1"/>
  <c r="AP266" i="12" s="1"/>
  <c r="AR2" i="12" a="1"/>
  <c r="AR2" i="12" s="1"/>
  <c r="AM2" i="12"/>
  <c r="AQ2" i="12" s="1" a="1"/>
  <c r="AQ2" i="12" s="1"/>
  <c r="AK2" i="12"/>
  <c r="AS2" i="12" s="1"/>
  <c r="AP2" i="12" a="1"/>
  <c r="AP2" i="12" s="1"/>
  <c r="AM531" i="12"/>
  <c r="AO531" i="12" s="1" a="1"/>
  <c r="AO531" i="12" s="1"/>
  <c r="AR531" i="12" a="1"/>
  <c r="AR531" i="12" s="1"/>
  <c r="AP531" i="12" a="1"/>
  <c r="AP531" i="12" s="1"/>
  <c r="AR642" i="12" a="1"/>
  <c r="AR642" i="12" s="1"/>
  <c r="AM642" i="12"/>
  <c r="AP642" i="12" s="1" a="1"/>
  <c r="AP642" i="12" s="1"/>
  <c r="AM77" i="12"/>
  <c r="AP77" i="12" s="1" a="1"/>
  <c r="AP77" i="12" s="1"/>
  <c r="AR77" i="12" a="1"/>
  <c r="AR77" i="12" s="1"/>
  <c r="AK77" i="12"/>
  <c r="AS77" i="12" s="1"/>
  <c r="AO77" i="12" a="1"/>
  <c r="AO77" i="12" s="1"/>
  <c r="AQ77" i="12" a="1"/>
  <c r="AQ77" i="12" s="1"/>
  <c r="AR548" i="12" a="1"/>
  <c r="AR548" i="12" s="1"/>
  <c r="AM548" i="12"/>
  <c r="AP548" i="12" s="1" a="1"/>
  <c r="AP548" i="12" s="1"/>
  <c r="AR302" i="12" a="1"/>
  <c r="AR302" i="12" s="1"/>
  <c r="AM302" i="12"/>
  <c r="AK302" i="12" s="1"/>
  <c r="AS302" i="12" s="1"/>
  <c r="AR404" i="12" a="1"/>
  <c r="AR404" i="12" s="1"/>
  <c r="AM404" i="12"/>
  <c r="AK404" i="12" s="1"/>
  <c r="AS404" i="12" s="1"/>
  <c r="AM153" i="12"/>
  <c r="AP153" i="12" s="1" a="1"/>
  <c r="AP153" i="12" s="1"/>
  <c r="AR153" i="12" a="1"/>
  <c r="AR153" i="12" s="1"/>
  <c r="AR234" i="12" a="1"/>
  <c r="AR234" i="12" s="1"/>
  <c r="AM234" i="12"/>
  <c r="AK234" i="12" s="1"/>
  <c r="AS234" i="12" s="1"/>
  <c r="AR585" i="12" a="1"/>
  <c r="AR585" i="12" s="1"/>
  <c r="AM585" i="12"/>
  <c r="AR181" i="12" a="1"/>
  <c r="AR181" i="12" s="1"/>
  <c r="AM181" i="12"/>
  <c r="AK181" i="12" s="1"/>
  <c r="AS181" i="12" s="1"/>
  <c r="AQ181" i="12" a="1"/>
  <c r="AQ181" i="12" s="1"/>
  <c r="AM64" i="12"/>
  <c r="AK64" i="12" s="1"/>
  <c r="AS64" i="12" s="1"/>
  <c r="AR64" i="12" a="1"/>
  <c r="AR64" i="12" s="1"/>
  <c r="AQ64" i="12" a="1"/>
  <c r="AQ64" i="12" s="1"/>
  <c r="AM308" i="12"/>
  <c r="AR308" i="12" a="1"/>
  <c r="AR308" i="12" s="1"/>
  <c r="AR180" i="12" a="1"/>
  <c r="AR180" i="12" s="1"/>
  <c r="AM180" i="12"/>
  <c r="AQ180" i="12" s="1" a="1"/>
  <c r="AQ180" i="12" s="1"/>
  <c r="AK180" i="12"/>
  <c r="AS180" i="12" s="1"/>
  <c r="AM455" i="12"/>
  <c r="AP455" i="12" s="1" a="1"/>
  <c r="AP455" i="12" s="1"/>
  <c r="AR455" i="12" a="1"/>
  <c r="AR455" i="12" s="1"/>
  <c r="AM709" i="12"/>
  <c r="AK709" i="12" s="1"/>
  <c r="AS709" i="12" s="1"/>
  <c r="AR709" i="12" a="1"/>
  <c r="AR709" i="12" s="1"/>
  <c r="AR445" i="12" a="1"/>
  <c r="AR445" i="12" s="1"/>
  <c r="AM445" i="12"/>
  <c r="AO445" i="12" s="1" a="1"/>
  <c r="AO445" i="12" s="1"/>
  <c r="AM622" i="12"/>
  <c r="AO622" i="12" s="1" a="1"/>
  <c r="AO622" i="12" s="1"/>
  <c r="AR622" i="12" a="1"/>
  <c r="AR622" i="12" s="1"/>
  <c r="AR361" i="12" a="1"/>
  <c r="AR361" i="12" s="1"/>
  <c r="AM361" i="12"/>
  <c r="AP361" i="12" s="1" a="1"/>
  <c r="AP361" i="12" s="1"/>
  <c r="AR523" i="12" a="1"/>
  <c r="AR523" i="12" s="1"/>
  <c r="AM523" i="12"/>
  <c r="AO523" i="12" s="1" a="1"/>
  <c r="AO523" i="12" s="1"/>
  <c r="AM350" i="12"/>
  <c r="AK350" i="12" s="1"/>
  <c r="AS350" i="12" s="1"/>
  <c r="AR350" i="12" a="1"/>
  <c r="AR350" i="12" s="1"/>
  <c r="AR250" i="12" a="1"/>
  <c r="AR250" i="12" s="1"/>
  <c r="AM250" i="12"/>
  <c r="AP250" i="12" s="1" a="1"/>
  <c r="AP250" i="12" s="1"/>
  <c r="AR377" i="12" a="1"/>
  <c r="AR377" i="12" s="1"/>
  <c r="AM377" i="12"/>
  <c r="AK377" i="12" s="1"/>
  <c r="AS377" i="12" s="1"/>
  <c r="AR681" i="12" a="1"/>
  <c r="AR681" i="12" s="1"/>
  <c r="AM681" i="12"/>
  <c r="AO681" i="12" s="1" a="1"/>
  <c r="AO681" i="12" s="1"/>
  <c r="AR306" i="12" a="1"/>
  <c r="AR306" i="12" s="1"/>
  <c r="AM306" i="12"/>
  <c r="AP306" i="12" a="1"/>
  <c r="AP306" i="12" s="1"/>
  <c r="AO306" i="12" a="1"/>
  <c r="AO306" i="12" s="1"/>
  <c r="AR711" i="12" a="1"/>
  <c r="AR711" i="12" s="1"/>
  <c r="AM711" i="12"/>
  <c r="AK711" i="12" s="1"/>
  <c r="AS711" i="12" s="1"/>
  <c r="AQ711" i="12" a="1"/>
  <c r="AQ711" i="12" s="1"/>
  <c r="AO711" i="12" a="1"/>
  <c r="AO711" i="12" s="1"/>
  <c r="AM420" i="12"/>
  <c r="AR420" i="12" a="1"/>
  <c r="AR420" i="12" s="1"/>
  <c r="AR219" i="12" a="1"/>
  <c r="AR219" i="12" s="1"/>
  <c r="AM219" i="12"/>
  <c r="AK219" i="12" s="1"/>
  <c r="AS219" i="12" s="1"/>
  <c r="AM110" i="12"/>
  <c r="AR110" i="12" a="1"/>
  <c r="AR110" i="12" s="1"/>
  <c r="AP110" i="12" a="1"/>
  <c r="AP110" i="12" s="1"/>
  <c r="AR132" i="12" a="1"/>
  <c r="AR132" i="12" s="1"/>
  <c r="AM132" i="12"/>
  <c r="AO132" i="12" s="1" a="1"/>
  <c r="AO132" i="12" s="1"/>
  <c r="AM220" i="12"/>
  <c r="AP220" i="12" s="1" a="1"/>
  <c r="AP220" i="12" s="1"/>
  <c r="AR220" i="12" a="1"/>
  <c r="AR220" i="12" s="1"/>
  <c r="AQ220" i="12" a="1"/>
  <c r="AQ220" i="12" s="1"/>
  <c r="AR62" i="12" a="1"/>
  <c r="AR62" i="12" s="1"/>
  <c r="AM62" i="12"/>
  <c r="AQ62" i="12" s="1" a="1"/>
  <c r="AQ62" i="12" s="1"/>
  <c r="AR572" i="12" a="1"/>
  <c r="AR572" i="12" s="1"/>
  <c r="AM572" i="12"/>
  <c r="AP572" i="12" s="1" a="1"/>
  <c r="AP572" i="12" s="1"/>
  <c r="AR611" i="12" a="1"/>
  <c r="AR611" i="12" s="1"/>
  <c r="AM611" i="12"/>
  <c r="AK611" i="12" s="1"/>
  <c r="AS611" i="12" s="1"/>
  <c r="AR285" i="12" a="1"/>
  <c r="AR285" i="12" s="1"/>
  <c r="AM285" i="12"/>
  <c r="AP285" i="12" s="1" a="1"/>
  <c r="AP285" i="12" s="1"/>
  <c r="AK285" i="12"/>
  <c r="AS285" i="12" s="1"/>
  <c r="AR72" i="12" a="1"/>
  <c r="AR72" i="12" s="1"/>
  <c r="AM72" i="12"/>
  <c r="AK72" i="12" s="1"/>
  <c r="AS72" i="12" s="1"/>
  <c r="AM392" i="12"/>
  <c r="AK392" i="12" s="1"/>
  <c r="AS392" i="12" s="1"/>
  <c r="AR392" i="12" a="1"/>
  <c r="AR392" i="12" s="1"/>
  <c r="AM342" i="12"/>
  <c r="AK342" i="12" s="1"/>
  <c r="AS342" i="12" s="1"/>
  <c r="AR342" i="12" a="1"/>
  <c r="AR342" i="12" s="1"/>
  <c r="AM337" i="12"/>
  <c r="AK337" i="12" s="1"/>
  <c r="AS337" i="12" s="1"/>
  <c r="AR337" i="12" a="1"/>
  <c r="AR337" i="12" s="1"/>
  <c r="AP337" i="12" a="1"/>
  <c r="AP337" i="12" s="1"/>
  <c r="AR244" i="12" a="1"/>
  <c r="AR244" i="12" s="1"/>
  <c r="AM244" i="12"/>
  <c r="AO244" i="12" s="1" a="1"/>
  <c r="AO244" i="12" s="1"/>
  <c r="AM297" i="12"/>
  <c r="AQ297" i="12" s="1" a="1"/>
  <c r="AQ297" i="12" s="1"/>
  <c r="AR297" i="12" a="1"/>
  <c r="AR297" i="12" s="1"/>
  <c r="AO297" i="12" a="1"/>
  <c r="AO297" i="12" s="1"/>
  <c r="AR70" i="12" a="1"/>
  <c r="AR70" i="12" s="1"/>
  <c r="AM70" i="12"/>
  <c r="AQ70" i="12" s="1" a="1"/>
  <c r="AQ70" i="12" s="1"/>
  <c r="AR553" i="12" a="1"/>
  <c r="AR553" i="12" s="1"/>
  <c r="AM553" i="12"/>
  <c r="AK553" i="12" s="1"/>
  <c r="AS553" i="12" s="1"/>
  <c r="AR719" i="12" a="1"/>
  <c r="AR719" i="12" s="1"/>
  <c r="AM719" i="12"/>
  <c r="AO719" i="12" s="1" a="1"/>
  <c r="AO719" i="12" s="1"/>
  <c r="AM644" i="12"/>
  <c r="AP644" i="12" s="1" a="1"/>
  <c r="AP644" i="12" s="1"/>
  <c r="AR644" i="12" a="1"/>
  <c r="AR644" i="12" s="1"/>
  <c r="AR538" i="12" a="1"/>
  <c r="AR538" i="12" s="1"/>
  <c r="AM538" i="12"/>
  <c r="AP538" i="12" s="1" a="1"/>
  <c r="AP538" i="12" s="1"/>
  <c r="AR613" i="12" a="1"/>
  <c r="AR613" i="12" s="1"/>
  <c r="AM613" i="12"/>
  <c r="AO613" i="12" s="1" a="1"/>
  <c r="AO613" i="12" s="1"/>
  <c r="AR125" i="12" a="1"/>
  <c r="AR125" i="12" s="1"/>
  <c r="AM125" i="12"/>
  <c r="AK125" i="12" s="1"/>
  <c r="AS125" i="12" s="1"/>
  <c r="AP125" i="12" a="1"/>
  <c r="AP125" i="12" s="1"/>
  <c r="AR518" i="12" a="1"/>
  <c r="AR518" i="12" s="1"/>
  <c r="AM518" i="12"/>
  <c r="AR300" i="12" a="1"/>
  <c r="AR300" i="12" s="1"/>
  <c r="AM300" i="12"/>
  <c r="AK300" i="12" s="1"/>
  <c r="AS300" i="12" s="1"/>
  <c r="AR366" i="12" a="1"/>
  <c r="AR366" i="12" s="1"/>
  <c r="AM366" i="12"/>
  <c r="AQ366" i="12" s="1" a="1"/>
  <c r="AQ366" i="12" s="1"/>
  <c r="AR426" i="12" a="1"/>
  <c r="AR426" i="12" s="1"/>
  <c r="AM426" i="12"/>
  <c r="AK426" i="12" s="1"/>
  <c r="AS426" i="12" s="1"/>
  <c r="AO426" i="12" a="1"/>
  <c r="AO426" i="12" s="1"/>
  <c r="AP426" i="12" a="1"/>
  <c r="AP426" i="12" s="1"/>
  <c r="AM580" i="12"/>
  <c r="AQ580" i="12" s="1" a="1"/>
  <c r="AQ580" i="12" s="1"/>
  <c r="AR580" i="12" a="1"/>
  <c r="AR580" i="12" s="1"/>
  <c r="AM477" i="12"/>
  <c r="AQ477" i="12" s="1" a="1"/>
  <c r="AQ477" i="12" s="1"/>
  <c r="AR477" i="12" a="1"/>
  <c r="AR477" i="12" s="1"/>
  <c r="AK477" i="12"/>
  <c r="AS477" i="12" s="1"/>
  <c r="AR189" i="12" a="1"/>
  <c r="AR189" i="12" s="1"/>
  <c r="AM189" i="12"/>
  <c r="AK189" i="12" s="1"/>
  <c r="AS189" i="12" s="1"/>
  <c r="AO189" i="12" a="1"/>
  <c r="AO189" i="12" s="1"/>
  <c r="AR141" i="12" a="1"/>
  <c r="AR141" i="12" s="1"/>
  <c r="AM141" i="12"/>
  <c r="AQ141" i="12" s="1" a="1"/>
  <c r="AQ141" i="12" s="1"/>
  <c r="AP141" i="12" a="1"/>
  <c r="AP141" i="12" s="1"/>
  <c r="AR513" i="12" a="1"/>
  <c r="AR513" i="12" s="1"/>
  <c r="AM513" i="12"/>
  <c r="AK513" i="12" s="1"/>
  <c r="AS513" i="12" s="1"/>
  <c r="AR324" i="12" a="1"/>
  <c r="AR324" i="12" s="1"/>
  <c r="AM324" i="12"/>
  <c r="AK324" i="12" s="1"/>
  <c r="AS324" i="12" s="1"/>
  <c r="AP324" i="12" a="1"/>
  <c r="AP324" i="12" s="1"/>
  <c r="AR693" i="12" a="1"/>
  <c r="AR693" i="12" s="1"/>
  <c r="AM693" i="12"/>
  <c r="AP693" i="12" s="1" a="1"/>
  <c r="AP693" i="12" s="1"/>
  <c r="AQ693" i="12" a="1"/>
  <c r="AQ693" i="12" s="1"/>
  <c r="AO693" i="12" a="1"/>
  <c r="AO693" i="12" s="1"/>
  <c r="AR97" i="12" a="1"/>
  <c r="AR97" i="12" s="1"/>
  <c r="AM97" i="12"/>
  <c r="AO97" i="12" s="1" a="1"/>
  <c r="AO97" i="12" s="1"/>
  <c r="AR521" i="12" a="1"/>
  <c r="AR521" i="12" s="1"/>
  <c r="AM521" i="12"/>
  <c r="AK521" i="12" s="1"/>
  <c r="AS521" i="12" s="1"/>
  <c r="AR373" i="12" a="1"/>
  <c r="AR373" i="12" s="1"/>
  <c r="AM373" i="12"/>
  <c r="AQ373" i="12" s="1" a="1"/>
  <c r="AQ373" i="12" s="1"/>
  <c r="AR722" i="12" a="1"/>
  <c r="AR722" i="12" s="1"/>
  <c r="AM722" i="12"/>
  <c r="AO722" i="12" s="1" a="1"/>
  <c r="AO722" i="12" s="1"/>
  <c r="AM348" i="12"/>
  <c r="AQ348" i="12" s="1" a="1"/>
  <c r="AQ348" i="12" s="1"/>
  <c r="AR348" i="12" a="1"/>
  <c r="AR348" i="12" s="1"/>
  <c r="AR44" i="12" a="1"/>
  <c r="AR44" i="12" s="1"/>
  <c r="AM44" i="12"/>
  <c r="AK44" i="12" s="1"/>
  <c r="AS44" i="12" s="1"/>
  <c r="AR530" i="12" a="1"/>
  <c r="AR530" i="12" s="1"/>
  <c r="AM530" i="12"/>
  <c r="AP530" i="12" s="1" a="1"/>
  <c r="AP530" i="12" s="1"/>
  <c r="AR482" i="12" a="1"/>
  <c r="AR482" i="12" s="1"/>
  <c r="AM482" i="12"/>
  <c r="AK482" i="12" s="1"/>
  <c r="AS482" i="12" s="1"/>
  <c r="AR343" i="12" a="1"/>
  <c r="AR343" i="12" s="1"/>
  <c r="AM343" i="12"/>
  <c r="AK343" i="12" s="1"/>
  <c r="AS343" i="12" s="1"/>
  <c r="AR87" i="12" a="1"/>
  <c r="AR87" i="12" s="1"/>
  <c r="AM87" i="12"/>
  <c r="AK87" i="12" s="1"/>
  <c r="AS87" i="12" s="1"/>
  <c r="AR661" i="12" a="1"/>
  <c r="AR661" i="12" s="1"/>
  <c r="AM661" i="12"/>
  <c r="AO661" i="12" s="1" a="1"/>
  <c r="AO661" i="12" s="1"/>
  <c r="AM417" i="12"/>
  <c r="AQ417" i="12" s="1" a="1"/>
  <c r="AQ417" i="12" s="1"/>
  <c r="AR417" i="12" a="1"/>
  <c r="AR417" i="12" s="1"/>
  <c r="AR604" i="12" a="1"/>
  <c r="AR604" i="12" s="1"/>
  <c r="AM604" i="12"/>
  <c r="AQ604" i="12" s="1" a="1"/>
  <c r="AQ604" i="12" s="1"/>
  <c r="AR201" i="12" a="1"/>
  <c r="AR201" i="12" s="1"/>
  <c r="AM201" i="12"/>
  <c r="AK201" i="12" s="1"/>
  <c r="AS201" i="12" s="1"/>
  <c r="AR405" i="12" a="1"/>
  <c r="AR405" i="12" s="1"/>
  <c r="AM405" i="12"/>
  <c r="AP405" i="12" s="1" a="1"/>
  <c r="AP405" i="12" s="1"/>
  <c r="AM646" i="12"/>
  <c r="AQ646" i="12" s="1" a="1"/>
  <c r="AQ646" i="12" s="1"/>
  <c r="AR646" i="12" a="1"/>
  <c r="AR646" i="12" s="1"/>
  <c r="AK646" i="12"/>
  <c r="AS646" i="12" s="1"/>
  <c r="AR130" i="12" a="1"/>
  <c r="AR130" i="12" s="1"/>
  <c r="AM130" i="12"/>
  <c r="AK130" i="12" s="1"/>
  <c r="AS130" i="12" s="1"/>
  <c r="AQ130" i="12" a="1"/>
  <c r="AQ130" i="12" s="1"/>
  <c r="AM480" i="12"/>
  <c r="AO480" i="12" s="1" a="1"/>
  <c r="AO480" i="12" s="1"/>
  <c r="AR480" i="12" a="1"/>
  <c r="AR480" i="12" s="1"/>
  <c r="AK480" i="12"/>
  <c r="AS480" i="12" s="1"/>
  <c r="AR597" i="12" a="1"/>
  <c r="AR597" i="12" s="1"/>
  <c r="AM597" i="12"/>
  <c r="AK597" i="12" s="1"/>
  <c r="AS597" i="12" s="1"/>
  <c r="AM432" i="12"/>
  <c r="AP432" i="12" s="1" a="1"/>
  <c r="AP432" i="12" s="1"/>
  <c r="AR432" i="12" a="1"/>
  <c r="AR432" i="12" s="1"/>
  <c r="AM67" i="12"/>
  <c r="AQ67" i="12" s="1" a="1"/>
  <c r="AQ67" i="12" s="1"/>
  <c r="AR67" i="12" a="1"/>
  <c r="AR67" i="12" s="1"/>
  <c r="AM579" i="12"/>
  <c r="AK579" i="12" s="1"/>
  <c r="AS579" i="12" s="1"/>
  <c r="AR579" i="12" a="1"/>
  <c r="AR579" i="12" s="1"/>
  <c r="AR663" i="12" a="1"/>
  <c r="AR663" i="12" s="1"/>
  <c r="AM663" i="12"/>
  <c r="AK663" i="12" s="1"/>
  <c r="AS663" i="12" s="1"/>
  <c r="AM378" i="12"/>
  <c r="AK378" i="12" s="1"/>
  <c r="AS378" i="12" s="1"/>
  <c r="AR378" i="12" a="1"/>
  <c r="AR378" i="12" s="1"/>
  <c r="AM90" i="12"/>
  <c r="AK90" i="12" s="1"/>
  <c r="AS90" i="12" s="1"/>
  <c r="AR90" i="12" a="1"/>
  <c r="AR90" i="12" s="1"/>
  <c r="AM588" i="12"/>
  <c r="AP588" i="12" s="1" a="1"/>
  <c r="AP588" i="12" s="1"/>
  <c r="AR588" i="12" a="1"/>
  <c r="AR588" i="12" s="1"/>
  <c r="AK588" i="12"/>
  <c r="AS588" i="12" s="1"/>
  <c r="AR537" i="12" a="1"/>
  <c r="AR537" i="12" s="1"/>
  <c r="AM537" i="12"/>
  <c r="AK537" i="12" s="1"/>
  <c r="AS537" i="12" s="1"/>
  <c r="AR686" i="12" a="1"/>
  <c r="AR686" i="12" s="1"/>
  <c r="AM686" i="12"/>
  <c r="AK686" i="12" s="1"/>
  <c r="AS686" i="12" s="1"/>
  <c r="AQ686" i="12" a="1"/>
  <c r="AQ686" i="12" s="1"/>
  <c r="AR648" i="12" a="1"/>
  <c r="AR648" i="12" s="1"/>
  <c r="AM648" i="12"/>
  <c r="AP648" i="12" s="1" a="1"/>
  <c r="AP648" i="12" s="1"/>
  <c r="AM223" i="12"/>
  <c r="AK223" i="12" s="1"/>
  <c r="AS223" i="12" s="1"/>
  <c r="AR223" i="12" a="1"/>
  <c r="AR223" i="12" s="1"/>
  <c r="AP223" i="12" a="1"/>
  <c r="AP223" i="12" s="1"/>
  <c r="AR617" i="12" a="1"/>
  <c r="AR617" i="12" s="1"/>
  <c r="AM617" i="12"/>
  <c r="AO617" i="12" s="1" a="1"/>
  <c r="AO617" i="12" s="1"/>
  <c r="AQ617" i="12" a="1"/>
  <c r="AQ617" i="12" s="1"/>
  <c r="AM236" i="12"/>
  <c r="AO236" i="12" s="1" a="1"/>
  <c r="AO236" i="12" s="1"/>
  <c r="AR236" i="12" a="1"/>
  <c r="AR236" i="12" s="1"/>
  <c r="AK236" i="12"/>
  <c r="AS236" i="12" s="1"/>
  <c r="AR269" i="12" a="1"/>
  <c r="AR269" i="12" s="1"/>
  <c r="AM269" i="12"/>
  <c r="AK269" i="12" s="1"/>
  <c r="AS269" i="12" s="1"/>
  <c r="AQ269" i="12" a="1"/>
  <c r="AQ269" i="12" s="1"/>
  <c r="AP269" i="12" a="1"/>
  <c r="AP269" i="12" s="1"/>
  <c r="AR248" i="12" a="1"/>
  <c r="AR248" i="12" s="1"/>
  <c r="AM248" i="12"/>
  <c r="AQ248" i="12" s="1" a="1"/>
  <c r="AQ248" i="12" s="1"/>
  <c r="AM637" i="12"/>
  <c r="AP637" i="12" s="1" a="1"/>
  <c r="AP637" i="12" s="1"/>
  <c r="AR637" i="12" a="1"/>
  <c r="AR637" i="12" s="1"/>
  <c r="AQ637" i="12" a="1"/>
  <c r="AQ637" i="12" s="1"/>
  <c r="AR95" i="12" a="1"/>
  <c r="AR95" i="12" s="1"/>
  <c r="AM95" i="12"/>
  <c r="AO95" i="12" s="1" a="1"/>
  <c r="AO95" i="12" s="1"/>
  <c r="AM198" i="12"/>
  <c r="AQ198" i="12" s="1" a="1"/>
  <c r="AQ198" i="12" s="1"/>
  <c r="AR198" i="12" a="1"/>
  <c r="AR198" i="12" s="1"/>
  <c r="AR577" i="12" a="1"/>
  <c r="AR577" i="12" s="1"/>
  <c r="AM577" i="12"/>
  <c r="AP577" i="12" s="1" a="1"/>
  <c r="AP577" i="12" s="1"/>
  <c r="AR678" i="12" a="1"/>
  <c r="AR678" i="12" s="1"/>
  <c r="AM678" i="12"/>
  <c r="AO678" i="12" s="1" a="1"/>
  <c r="AO678" i="12" s="1"/>
  <c r="AR18" i="12" a="1"/>
  <c r="AR18" i="12" s="1"/>
  <c r="AM18" i="12"/>
  <c r="AK18" i="12" s="1"/>
  <c r="AS18" i="12" s="1"/>
  <c r="AR202" i="12" a="1"/>
  <c r="AR202" i="12" s="1"/>
  <c r="AM202" i="12"/>
  <c r="AK202" i="12" s="1"/>
  <c r="AS202" i="12" s="1"/>
  <c r="AQ202" i="12" a="1"/>
  <c r="AQ202" i="12" s="1"/>
  <c r="AP202" i="12" a="1"/>
  <c r="AP202" i="12" s="1"/>
  <c r="AO202" i="12" a="1"/>
  <c r="AO202" i="12" s="1"/>
  <c r="AM229" i="12"/>
  <c r="AK229" i="12" s="1"/>
  <c r="AS229" i="12" s="1"/>
  <c r="AR229" i="12" a="1"/>
  <c r="AR229" i="12" s="1"/>
  <c r="AO229" i="12" a="1"/>
  <c r="AO229" i="12" s="1"/>
  <c r="AP229" i="12" a="1"/>
  <c r="AP229" i="12" s="1"/>
  <c r="AM149" i="12"/>
  <c r="AK149" i="12" s="1"/>
  <c r="AS149" i="12" s="1"/>
  <c r="AR149" i="12" a="1"/>
  <c r="AR149" i="12" s="1"/>
  <c r="AR340" i="12" a="1"/>
  <c r="AR340" i="12" s="1"/>
  <c r="AM340" i="12"/>
  <c r="AP340" i="12" s="1" a="1"/>
  <c r="AP340" i="12" s="1"/>
  <c r="AO340" i="12" a="1"/>
  <c r="AO340" i="12" s="1"/>
  <c r="AQ340" i="12" a="1"/>
  <c r="AQ340" i="12" s="1"/>
  <c r="AR192" i="12" a="1"/>
  <c r="AR192" i="12" s="1"/>
  <c r="AM192" i="12"/>
  <c r="AO192" i="12" s="1" a="1"/>
  <c r="AO192" i="12" s="1"/>
  <c r="AK192" i="12"/>
  <c r="AS192" i="12" s="1"/>
  <c r="AQ192" i="12" a="1"/>
  <c r="AQ192" i="12" s="1"/>
  <c r="AR453" i="12" a="1"/>
  <c r="AR453" i="12" s="1"/>
  <c r="AM453" i="12"/>
  <c r="AO453" i="12" s="1" a="1"/>
  <c r="AO453" i="12" s="1"/>
  <c r="AR277" i="12" a="1"/>
  <c r="AR277" i="12" s="1"/>
  <c r="AM277" i="12"/>
  <c r="AK277" i="12" s="1"/>
  <c r="AS277" i="12" s="1"/>
  <c r="AR170" i="12" a="1"/>
  <c r="AR170" i="12" s="1"/>
  <c r="AM170" i="12"/>
  <c r="AK170" i="12" s="1"/>
  <c r="AS170" i="12" s="1"/>
  <c r="AR557" i="12" a="1"/>
  <c r="AR557" i="12" s="1"/>
  <c r="AM557" i="12"/>
  <c r="AK557" i="12" s="1"/>
  <c r="AS557" i="12" s="1"/>
  <c r="AO557" i="12" a="1"/>
  <c r="AO557" i="12" s="1"/>
  <c r="AM368" i="12"/>
  <c r="AP368" i="12" s="1" a="1"/>
  <c r="AP368" i="12" s="1"/>
  <c r="AR368" i="12" a="1"/>
  <c r="AR368" i="12" s="1"/>
  <c r="AK368" i="12"/>
  <c r="AS368" i="12" s="1"/>
  <c r="AR695" i="12" a="1"/>
  <c r="AR695" i="12" s="1"/>
  <c r="AM695" i="12"/>
  <c r="AQ695" i="12" s="1" a="1"/>
  <c r="AQ695" i="12" s="1"/>
  <c r="AR567" i="12" a="1"/>
  <c r="AR567" i="12" s="1"/>
  <c r="AM567" i="12"/>
  <c r="AO567" i="12" s="1" a="1"/>
  <c r="AO567" i="12" s="1"/>
  <c r="AR260" i="12" a="1"/>
  <c r="AR260" i="12" s="1"/>
  <c r="AM260" i="12"/>
  <c r="AQ260" i="12" s="1" a="1"/>
  <c r="AQ260" i="12" s="1"/>
  <c r="AK260" i="12"/>
  <c r="AS260" i="12" s="1"/>
  <c r="AM688" i="12"/>
  <c r="AK688" i="12" s="1"/>
  <c r="AS688" i="12" s="1"/>
  <c r="AR688" i="12" a="1"/>
  <c r="AR688" i="12" s="1"/>
  <c r="AM718" i="12"/>
  <c r="AK718" i="12" s="1"/>
  <c r="AS718" i="12" s="1"/>
  <c r="AR718" i="12" a="1"/>
  <c r="AR718" i="12" s="1"/>
  <c r="AR123" i="12" a="1"/>
  <c r="AR123" i="12" s="1"/>
  <c r="AM123" i="12"/>
  <c r="AQ123" i="12" s="1" a="1"/>
  <c r="AQ123" i="12" s="1"/>
  <c r="AM671" i="12"/>
  <c r="AP671" i="12" s="1" a="1"/>
  <c r="AP671" i="12" s="1"/>
  <c r="AR671" i="12" a="1"/>
  <c r="AR671" i="12" s="1"/>
  <c r="AM584" i="12"/>
  <c r="AK584" i="12" s="1"/>
  <c r="AS584" i="12" s="1"/>
  <c r="AR584" i="12" a="1"/>
  <c r="AR584" i="12" s="1"/>
  <c r="AO584" i="12" a="1"/>
  <c r="AO584" i="12" s="1"/>
  <c r="AR84" i="12" a="1"/>
  <c r="AR84" i="12" s="1"/>
  <c r="AM84" i="12"/>
  <c r="AK84" i="12" s="1"/>
  <c r="AS84" i="12" s="1"/>
  <c r="AO84" i="12" a="1"/>
  <c r="AO84" i="12" s="1"/>
  <c r="AR158" i="12" a="1"/>
  <c r="AR158" i="12" s="1"/>
  <c r="AM158" i="12"/>
  <c r="AK158" i="12" s="1"/>
  <c r="AS158" i="12" s="1"/>
  <c r="AO158" i="12" a="1"/>
  <c r="AO158" i="12" s="1"/>
  <c r="AR363" i="12" a="1"/>
  <c r="AR363" i="12" s="1"/>
  <c r="AM363" i="12"/>
  <c r="AQ363" i="12" s="1" a="1"/>
  <c r="AQ363" i="12" s="1"/>
  <c r="AK363" i="12"/>
  <c r="AS363" i="12" s="1"/>
  <c r="AR632" i="12" a="1"/>
  <c r="AR632" i="12" s="1"/>
  <c r="AM632" i="12"/>
  <c r="AP632" i="12" s="1" a="1"/>
  <c r="AP632" i="12" s="1"/>
  <c r="AR566" i="12" a="1"/>
  <c r="AR566" i="12" s="1"/>
  <c r="AM566" i="12"/>
  <c r="AP566" i="12" s="1" a="1"/>
  <c r="AP566" i="12" s="1"/>
  <c r="AR687" i="12" a="1"/>
  <c r="AR687" i="12" s="1"/>
  <c r="AM687" i="12"/>
  <c r="AP687" i="12" s="1" a="1"/>
  <c r="AP687" i="12" s="1"/>
  <c r="AR146" i="12" a="1"/>
  <c r="AR146" i="12" s="1"/>
  <c r="AM146" i="12"/>
  <c r="AK146" i="12" s="1"/>
  <c r="AS146" i="12" s="1"/>
  <c r="AM335" i="12"/>
  <c r="AK335" i="12" s="1"/>
  <c r="AS335" i="12" s="1"/>
  <c r="AR335" i="12" a="1"/>
  <c r="AR335" i="12" s="1"/>
  <c r="AR12" i="12" a="1"/>
  <c r="AR12" i="12" s="1"/>
  <c r="AM12" i="12"/>
  <c r="AK12" i="12" s="1"/>
  <c r="AS12" i="12" s="1"/>
  <c r="AR209" i="12" a="1"/>
  <c r="AR209" i="12" s="1"/>
  <c r="AM209" i="12"/>
  <c r="AK209" i="12"/>
  <c r="AS209" i="12" s="1"/>
  <c r="AQ209" i="12" a="1"/>
  <c r="AQ209" i="12" s="1"/>
  <c r="AP209" i="12" a="1"/>
  <c r="AP209" i="12" s="1"/>
  <c r="AO209" i="12" a="1"/>
  <c r="AO209" i="12" s="1"/>
  <c r="AM190" i="12"/>
  <c r="AK190" i="12" s="1"/>
  <c r="AS190" i="12" s="1"/>
  <c r="AR190" i="12" a="1"/>
  <c r="AR190" i="12" s="1"/>
  <c r="AR508" i="12" a="1"/>
  <c r="AR508" i="12" s="1"/>
  <c r="AM508" i="12"/>
  <c r="AQ508" i="12" s="1" a="1"/>
  <c r="AQ508" i="12" s="1"/>
  <c r="AR358" i="12" a="1"/>
  <c r="AR358" i="12" s="1"/>
  <c r="AM358" i="12"/>
  <c r="AP358" i="12" s="1" a="1"/>
  <c r="AP358" i="12" s="1"/>
  <c r="AK358" i="12"/>
  <c r="AS358" i="12" s="1"/>
  <c r="AQ358" i="12" a="1"/>
  <c r="AQ358" i="12" s="1"/>
  <c r="AR485" i="12" a="1"/>
  <c r="AR485" i="12" s="1"/>
  <c r="AM485" i="12"/>
  <c r="AP485" i="12" s="1" a="1"/>
  <c r="AP485" i="12" s="1"/>
  <c r="AK485" i="12"/>
  <c r="AS485" i="12" s="1"/>
  <c r="AM56" i="12"/>
  <c r="AQ56" i="12" s="1" a="1"/>
  <c r="AQ56" i="12" s="1"/>
  <c r="AR56" i="12" a="1"/>
  <c r="AR56" i="12" s="1"/>
  <c r="AK56" i="12"/>
  <c r="AS56" i="12" s="1"/>
  <c r="AR275" i="12" a="1"/>
  <c r="AR275" i="12" s="1"/>
  <c r="AM275" i="12"/>
  <c r="AP275" i="12" s="1" a="1"/>
  <c r="AP275" i="12" s="1"/>
  <c r="AM320" i="12"/>
  <c r="AK320" i="12" s="1"/>
  <c r="AS320" i="12" s="1"/>
  <c r="AR320" i="12" a="1"/>
  <c r="AR320" i="12" s="1"/>
  <c r="AM227" i="12"/>
  <c r="AP227" i="12" s="1" a="1"/>
  <c r="AP227" i="12" s="1"/>
  <c r="AR227" i="12" a="1"/>
  <c r="AR227" i="12" s="1"/>
  <c r="AM194" i="12"/>
  <c r="AK194" i="12" s="1"/>
  <c r="AS194" i="12" s="1"/>
  <c r="AR194" i="12" a="1"/>
  <c r="AR194" i="12" s="1"/>
  <c r="AR608" i="12" a="1"/>
  <c r="AR608" i="12" s="1"/>
  <c r="AM608" i="12"/>
  <c r="AP608" i="12" s="1" a="1"/>
  <c r="AP608" i="12" s="1"/>
  <c r="AQ608" i="12" a="1"/>
  <c r="AQ608" i="12" s="1"/>
  <c r="AO608" i="12" a="1"/>
  <c r="AO608" i="12" s="1"/>
  <c r="AM559" i="12"/>
  <c r="AQ559" i="12" s="1" a="1"/>
  <c r="AQ559" i="12" s="1"/>
  <c r="AR559" i="12" a="1"/>
  <c r="AR559" i="12" s="1"/>
  <c r="AM618" i="12"/>
  <c r="AK618" i="12" s="1"/>
  <c r="AS618" i="12" s="1"/>
  <c r="AR618" i="12" a="1"/>
  <c r="AR618" i="12" s="1"/>
  <c r="AM185" i="12"/>
  <c r="AK185" i="12" s="1"/>
  <c r="AS185" i="12" s="1"/>
  <c r="AR185" i="12" a="1"/>
  <c r="AR185" i="12" s="1"/>
  <c r="AO185" i="12" a="1"/>
  <c r="AO185" i="12" s="1"/>
  <c r="AR315" i="12" a="1"/>
  <c r="AR315" i="12" s="1"/>
  <c r="AM315" i="12"/>
  <c r="AP315" i="12" s="1" a="1"/>
  <c r="AP315" i="12" s="1"/>
  <c r="AK315" i="12"/>
  <c r="AS315" i="12" s="1"/>
  <c r="AO315" i="12" a="1"/>
  <c r="AO315" i="12" s="1"/>
  <c r="AR675" i="12" a="1"/>
  <c r="AR675" i="12" s="1"/>
  <c r="AM675" i="12"/>
  <c r="AK675" i="12" s="1"/>
  <c r="AS675" i="12" s="1"/>
  <c r="AP675" i="12" a="1"/>
  <c r="AP675" i="12" s="1"/>
  <c r="AQ675" i="12" a="1"/>
  <c r="AQ675" i="12" s="1"/>
  <c r="D17" i="14"/>
  <c r="D18" i="14" s="1"/>
  <c r="D19" i="14" s="1"/>
  <c r="D20" i="14" s="1"/>
  <c r="D22" i="14" s="1"/>
  <c r="D32" i="14" s="1"/>
  <c r="D24" i="14"/>
  <c r="D39" i="14"/>
  <c r="E67" i="14"/>
  <c r="I64" i="14"/>
  <c r="G57" i="14"/>
  <c r="F60" i="14"/>
  <c r="B19" i="10"/>
  <c r="C19" i="10" s="1"/>
  <c r="AQ520" i="12" l="1" a="1"/>
  <c r="AQ520" i="12" s="1"/>
  <c r="AK221" i="12"/>
  <c r="AS221" i="12" s="1"/>
  <c r="AQ478" i="12" a="1"/>
  <c r="AQ478" i="12" s="1"/>
  <c r="AP603" i="12" a="1"/>
  <c r="AP603" i="12" s="1"/>
  <c r="AP664" i="12" a="1"/>
  <c r="AP664" i="12" s="1"/>
  <c r="AK203" i="12"/>
  <c r="AS203" i="12" s="1"/>
  <c r="AQ527" i="12" a="1"/>
  <c r="AQ527" i="12" s="1"/>
  <c r="AQ607" i="12" a="1"/>
  <c r="AQ607" i="12" s="1"/>
  <c r="AQ319" i="12" a="1"/>
  <c r="AQ319" i="12" s="1"/>
  <c r="AP322" i="12" a="1"/>
  <c r="AP322" i="12" s="1"/>
  <c r="AQ315" i="12" a="1"/>
  <c r="AQ315" i="12" s="1"/>
  <c r="AQ236" i="12" a="1"/>
  <c r="AQ236" i="12" s="1"/>
  <c r="AO125" i="12" a="1"/>
  <c r="AO125" i="12" s="1"/>
  <c r="AO413" i="12" a="1"/>
  <c r="AO413" i="12" s="1"/>
  <c r="AP53" i="12" a="1"/>
  <c r="AP53" i="12" s="1"/>
  <c r="AO322" i="12" a="1"/>
  <c r="AO322" i="12" s="1"/>
  <c r="AP319" i="12" a="1"/>
  <c r="AP319" i="12" s="1"/>
  <c r="AK413" i="12"/>
  <c r="AS413" i="12" s="1"/>
  <c r="AO51" i="12" a="1"/>
  <c r="AO51" i="12" s="1"/>
  <c r="AK419" i="12"/>
  <c r="AS419" i="12" s="1"/>
  <c r="AP529" i="12" a="1"/>
  <c r="AP529" i="12" s="1"/>
  <c r="AK546" i="12"/>
  <c r="AS546" i="12" s="1"/>
  <c r="AQ352" i="12" a="1"/>
  <c r="AQ352" i="12" s="1"/>
  <c r="AP591" i="12" a="1"/>
  <c r="AP591" i="12" s="1"/>
  <c r="AP146" i="12" a="1"/>
  <c r="AP146" i="12" s="1"/>
  <c r="AQ229" i="12" a="1"/>
  <c r="AQ229" i="12" s="1"/>
  <c r="AK198" i="12"/>
  <c r="AS198" i="12" s="1"/>
  <c r="AP236" i="12" a="1"/>
  <c r="AP236" i="12" s="1"/>
  <c r="AQ125" i="12" a="1"/>
  <c r="AQ125" i="12" s="1"/>
  <c r="AP297" i="12" a="1"/>
  <c r="AP297" i="12" s="1"/>
  <c r="AP501" i="12" a="1"/>
  <c r="AP501" i="12" s="1"/>
  <c r="AP152" i="12" a="1"/>
  <c r="AP152" i="12" s="1"/>
  <c r="AQ627" i="12" a="1"/>
  <c r="AQ627" i="12" s="1"/>
  <c r="AK322" i="12"/>
  <c r="AS322" i="12" s="1"/>
  <c r="AQ599" i="12" a="1"/>
  <c r="AQ599" i="12" s="1"/>
  <c r="AO382" i="12" a="1"/>
  <c r="AO382" i="12" s="1"/>
  <c r="AK595" i="12"/>
  <c r="AS595" i="12" s="1"/>
  <c r="AK186" i="12"/>
  <c r="AS186" i="12" s="1"/>
  <c r="AP137" i="12" a="1"/>
  <c r="AP137" i="12" s="1"/>
  <c r="AP114" i="12" a="1"/>
  <c r="AP114" i="12" s="1"/>
  <c r="AK39" i="12"/>
  <c r="AS39" i="12" s="1"/>
  <c r="AP51" i="12" a="1"/>
  <c r="AP51" i="12" s="1"/>
  <c r="AO628" i="12" a="1"/>
  <c r="AO628" i="12" s="1"/>
  <c r="AO329" i="12" a="1"/>
  <c r="AO329" i="12" s="1"/>
  <c r="AK8" i="12"/>
  <c r="AS8" i="12" s="1"/>
  <c r="AK727" i="12"/>
  <c r="AS727" i="12" s="1"/>
  <c r="AO157" i="12" a="1"/>
  <c r="AO157" i="12" s="1"/>
  <c r="AP472" i="12" a="1"/>
  <c r="AP472" i="12" s="1"/>
  <c r="AQ199" i="12" a="1"/>
  <c r="AQ199" i="12" s="1"/>
  <c r="AQ717" i="12" a="1"/>
  <c r="AQ717" i="12" s="1"/>
  <c r="AK381" i="12"/>
  <c r="AS381" i="12" s="1"/>
  <c r="AQ95" i="12" a="1"/>
  <c r="AQ95" i="12" s="1"/>
  <c r="AQ588" i="12" a="1"/>
  <c r="AQ588" i="12" s="1"/>
  <c r="AQ324" i="12" a="1"/>
  <c r="AQ324" i="12" s="1"/>
  <c r="AP289" i="12" a="1"/>
  <c r="AP289" i="12" s="1"/>
  <c r="AP355" i="12" a="1"/>
  <c r="AP355" i="12" s="1"/>
  <c r="AP280" i="12" a="1"/>
  <c r="AP280" i="12" s="1"/>
  <c r="AK552" i="12"/>
  <c r="AS552" i="12" s="1"/>
  <c r="AP160" i="12" a="1"/>
  <c r="AP160" i="12" s="1"/>
  <c r="AO74" i="12" a="1"/>
  <c r="AO74" i="12" s="1"/>
  <c r="AP601" i="12" a="1"/>
  <c r="AP601" i="12" s="1"/>
  <c r="AK82" i="12"/>
  <c r="AS82" i="12" s="1"/>
  <c r="AK107" i="12"/>
  <c r="AS107" i="12" s="1"/>
  <c r="AP169" i="12" a="1"/>
  <c r="AP169" i="12" s="1"/>
  <c r="AQ397" i="12" a="1"/>
  <c r="AQ397" i="12" s="1"/>
  <c r="AO487" i="12" a="1"/>
  <c r="AO487" i="12" s="1"/>
  <c r="AK157" i="12"/>
  <c r="AS157" i="12" s="1"/>
  <c r="AK267" i="12"/>
  <c r="AS267" i="12" s="1"/>
  <c r="AK352" i="12"/>
  <c r="AS352" i="12" s="1"/>
  <c r="AT352" i="12" s="1" a="1"/>
  <c r="AT352" i="12" s="1"/>
  <c r="AK472" i="12"/>
  <c r="AS472" i="12" s="1"/>
  <c r="AK58" i="12"/>
  <c r="AS58" i="12" s="1"/>
  <c r="AQ381" i="12" a="1"/>
  <c r="AQ381" i="12" s="1"/>
  <c r="AO712" i="12" a="1"/>
  <c r="AO712" i="12" s="1"/>
  <c r="AK617" i="12"/>
  <c r="AS617" i="12" s="1"/>
  <c r="AP722" i="12" a="1"/>
  <c r="AP722" i="12" s="1"/>
  <c r="AQ426" i="12" a="1"/>
  <c r="AQ426" i="12" s="1"/>
  <c r="AO47" i="12" a="1"/>
  <c r="AO47" i="12" s="1"/>
  <c r="AK206" i="12"/>
  <c r="AS206" i="12" s="1"/>
  <c r="AP500" i="12" a="1"/>
  <c r="AP500" i="12" s="1"/>
  <c r="AQ133" i="12" a="1"/>
  <c r="AQ133" i="12" s="1"/>
  <c r="AQ619" i="12" a="1"/>
  <c r="AQ619" i="12" s="1"/>
  <c r="AQ26" i="12" a="1"/>
  <c r="AQ26" i="12" s="1"/>
  <c r="AQ411" i="12" a="1"/>
  <c r="AQ411" i="12" s="1"/>
  <c r="AQ483" i="12" a="1"/>
  <c r="AQ483" i="12" s="1"/>
  <c r="AQ216" i="12" a="1"/>
  <c r="AQ216" i="12" s="1"/>
  <c r="AO65" i="12" a="1"/>
  <c r="AO65" i="12" s="1"/>
  <c r="AQ54" i="12" a="1"/>
  <c r="AQ54" i="12" s="1"/>
  <c r="AP573" i="12" a="1"/>
  <c r="AP573" i="12" s="1"/>
  <c r="AK254" i="12"/>
  <c r="AS254" i="12" s="1"/>
  <c r="AP79" i="12" a="1"/>
  <c r="AP79" i="12" s="1"/>
  <c r="AQ660" i="12" a="1"/>
  <c r="AQ660" i="12" s="1"/>
  <c r="AO463" i="12" a="1"/>
  <c r="AO463" i="12" s="1"/>
  <c r="AK610" i="12"/>
  <c r="AS610" i="12" s="1"/>
  <c r="AO375" i="12" a="1"/>
  <c r="AO375" i="12" s="1"/>
  <c r="AO525" i="12" a="1"/>
  <c r="AO525" i="12" s="1"/>
  <c r="AK543" i="12"/>
  <c r="AS543" i="12" s="1"/>
  <c r="AK272" i="12"/>
  <c r="AS272" i="12" s="1"/>
  <c r="AP307" i="12" a="1"/>
  <c r="AP307" i="12" s="1"/>
  <c r="AO123" i="12" a="1"/>
  <c r="AO123" i="12" s="1"/>
  <c r="AQ622" i="12" a="1"/>
  <c r="AQ622" i="12" s="1"/>
  <c r="AO307" i="12" a="1"/>
  <c r="AO307" i="12" s="1"/>
  <c r="AO510" i="12" a="1"/>
  <c r="AO510" i="12" s="1"/>
  <c r="AO610" i="12" a="1"/>
  <c r="AO610" i="12" s="1"/>
  <c r="AO52" i="12" a="1"/>
  <c r="AO52" i="12" s="1"/>
  <c r="AP375" i="12" a="1"/>
  <c r="AP375" i="12" s="1"/>
  <c r="AQ349" i="12" a="1"/>
  <c r="AQ349" i="12" s="1"/>
  <c r="AK622" i="12"/>
  <c r="AS622" i="12" s="1"/>
  <c r="AP622" i="12" a="1"/>
  <c r="AP622" i="12" s="1"/>
  <c r="AK26" i="12"/>
  <c r="AS26" i="12" s="1"/>
  <c r="AP363" i="12" a="1"/>
  <c r="AP363" i="12" s="1"/>
  <c r="AO363" i="12" a="1"/>
  <c r="AO363" i="12" s="1"/>
  <c r="AK123" i="12"/>
  <c r="AS123" i="12" s="1"/>
  <c r="AP678" i="12" a="1"/>
  <c r="AP678" i="12" s="1"/>
  <c r="AO269" i="12" a="1"/>
  <c r="AO269" i="12" s="1"/>
  <c r="AP646" i="12" a="1"/>
  <c r="AP646" i="12" s="1"/>
  <c r="AO343" i="12" a="1"/>
  <c r="AO343" i="12" s="1"/>
  <c r="AK266" i="12"/>
  <c r="AS266" i="12" s="1"/>
  <c r="AK645" i="12"/>
  <c r="AS645" i="12" s="1"/>
  <c r="AK60" i="12"/>
  <c r="AS60" i="12" s="1"/>
  <c r="AP640" i="12" a="1"/>
  <c r="AP640" i="12" s="1"/>
  <c r="AP176" i="12" a="1"/>
  <c r="AP176" i="12" s="1"/>
  <c r="AK510" i="12"/>
  <c r="AS510" i="12" s="1"/>
  <c r="AQ610" i="12" a="1"/>
  <c r="AQ610" i="12" s="1"/>
  <c r="AQ713" i="12" a="1"/>
  <c r="AQ713" i="12" s="1"/>
  <c r="AQ52" i="12" a="1"/>
  <c r="AQ52" i="12" s="1"/>
  <c r="AO376" i="12" a="1"/>
  <c r="AO376" i="12" s="1"/>
  <c r="AO434" i="12" a="1"/>
  <c r="AO434" i="12" s="1"/>
  <c r="AO349" i="12" a="1"/>
  <c r="AO349" i="12" s="1"/>
  <c r="AQ109" i="12" a="1"/>
  <c r="AQ109" i="12" s="1"/>
  <c r="AP418" i="12" a="1"/>
  <c r="AP418" i="12" s="1"/>
  <c r="AQ701" i="12" a="1"/>
  <c r="AQ701" i="12" s="1"/>
  <c r="AP52" i="12" a="1"/>
  <c r="AP52" i="12" s="1"/>
  <c r="AK376" i="12"/>
  <c r="AS376" i="12" s="1"/>
  <c r="AO664" i="12" a="1"/>
  <c r="AO664" i="12" s="1"/>
  <c r="AO418" i="12" a="1"/>
  <c r="AO418" i="12" s="1"/>
  <c r="AQ304" i="12" a="1"/>
  <c r="AQ304" i="12" s="1"/>
  <c r="AP203" i="12" a="1"/>
  <c r="AP203" i="12" s="1"/>
  <c r="AK687" i="12"/>
  <c r="AS687" i="12" s="1"/>
  <c r="AQ661" i="12" a="1"/>
  <c r="AQ661" i="12" s="1"/>
  <c r="AQ350" i="12" a="1"/>
  <c r="AQ350" i="12" s="1"/>
  <c r="AQ709" i="12" a="1"/>
  <c r="AQ709" i="12" s="1"/>
  <c r="AK612" i="12"/>
  <c r="AS612" i="12" s="1"/>
  <c r="AO174" i="12" a="1"/>
  <c r="AO174" i="12" s="1"/>
  <c r="AK233" i="12"/>
  <c r="AS233" i="12" s="1"/>
  <c r="AK333" i="12"/>
  <c r="AS333" i="12" s="1"/>
  <c r="AK34" i="12"/>
  <c r="AS34" i="12" s="1"/>
  <c r="AO347" i="12" a="1"/>
  <c r="AO347" i="12" s="1"/>
  <c r="AQ431" i="12" a="1"/>
  <c r="AQ431" i="12" s="1"/>
  <c r="AK332" i="12"/>
  <c r="AS332" i="12" s="1"/>
  <c r="AO411" i="12" a="1"/>
  <c r="AO411" i="12" s="1"/>
  <c r="AQ664" i="12" a="1"/>
  <c r="AQ664" i="12" s="1"/>
  <c r="AO159" i="12" a="1"/>
  <c r="AO159" i="12" s="1"/>
  <c r="AQ329" i="12" a="1"/>
  <c r="AQ329" i="12" s="1"/>
  <c r="AK143" i="12"/>
  <c r="AS143" i="12" s="1"/>
  <c r="AQ318" i="12" a="1"/>
  <c r="AQ318" i="12" s="1"/>
  <c r="AO437" i="12" a="1"/>
  <c r="AO437" i="12" s="1"/>
  <c r="AQ290" i="12" a="1"/>
  <c r="AQ290" i="12" s="1"/>
  <c r="AQ131" i="12" a="1"/>
  <c r="AQ131" i="12" s="1"/>
  <c r="AO594" i="12" a="1"/>
  <c r="AO594" i="12" s="1"/>
  <c r="AK161" i="12"/>
  <c r="AS161" i="12" s="1"/>
  <c r="AQ437" i="12" a="1"/>
  <c r="AQ437" i="12" s="1"/>
  <c r="AK290" i="12"/>
  <c r="AS290" i="12" s="1"/>
  <c r="AP481" i="12" a="1"/>
  <c r="AP481" i="12" s="1"/>
  <c r="AK607" i="12"/>
  <c r="AS607" i="12" s="1"/>
  <c r="AP365" i="12" a="1"/>
  <c r="AP365" i="12" s="1"/>
  <c r="AK454" i="12"/>
  <c r="AS454" i="12" s="1"/>
  <c r="AQ603" i="12" a="1"/>
  <c r="AQ603" i="12" s="1"/>
  <c r="AO309" i="12" a="1"/>
  <c r="AO309" i="12" s="1"/>
  <c r="AP594" i="12" a="1"/>
  <c r="AP594" i="12" s="1"/>
  <c r="AQ486" i="12" a="1"/>
  <c r="AQ486" i="12" s="1"/>
  <c r="AQ65" i="12" a="1"/>
  <c r="AQ65" i="12" s="1"/>
  <c r="AP586" i="12" a="1"/>
  <c r="AP586" i="12" s="1"/>
  <c r="AP161" i="12" a="1"/>
  <c r="AP161" i="12" s="1"/>
  <c r="AK726" i="12"/>
  <c r="AS726" i="12" s="1"/>
  <c r="AK230" i="12"/>
  <c r="AS230" i="12" s="1"/>
  <c r="AO131" i="12" a="1"/>
  <c r="AO131" i="12" s="1"/>
  <c r="AO356" i="12" a="1"/>
  <c r="AO356" i="12" s="1"/>
  <c r="AP172" i="12" a="1"/>
  <c r="AP172" i="12" s="1"/>
  <c r="AQ481" i="12" a="1"/>
  <c r="AQ481" i="12" s="1"/>
  <c r="AK227" i="12"/>
  <c r="AS227" i="12" s="1"/>
  <c r="AO358" i="12" a="1"/>
  <c r="AO358" i="12" s="1"/>
  <c r="AK566" i="12"/>
  <c r="AS566" i="12" s="1"/>
  <c r="AP557" i="12" a="1"/>
  <c r="AP557" i="12" s="1"/>
  <c r="AK523" i="12"/>
  <c r="AS523" i="12" s="1"/>
  <c r="AO455" i="12" a="1"/>
  <c r="AO455" i="12" s="1"/>
  <c r="AO9" i="12" a="1"/>
  <c r="AO9" i="12" s="1"/>
  <c r="AP625" i="12" a="1"/>
  <c r="AP625" i="12" s="1"/>
  <c r="AP524" i="12" a="1"/>
  <c r="AP524" i="12" s="1"/>
  <c r="AP20" i="12" a="1"/>
  <c r="AP20" i="12" s="1"/>
  <c r="AO416" i="12" a="1"/>
  <c r="AO416" i="12" s="1"/>
  <c r="AP689" i="12" a="1"/>
  <c r="AP689" i="12" s="1"/>
  <c r="AO365" i="12" a="1"/>
  <c r="AO365" i="12" s="1"/>
  <c r="AP367" i="12" a="1"/>
  <c r="AP367" i="12" s="1"/>
  <c r="AQ640" i="12" a="1"/>
  <c r="AQ640" i="12" s="1"/>
  <c r="AO436" i="12" a="1"/>
  <c r="AO436" i="12" s="1"/>
  <c r="AK698" i="12"/>
  <c r="AS698" i="12" s="1"/>
  <c r="AK309" i="12"/>
  <c r="AS309" i="12" s="1"/>
  <c r="AK594" i="12"/>
  <c r="AS594" i="12" s="1"/>
  <c r="AQ441" i="12" a="1"/>
  <c r="AQ441" i="12" s="1"/>
  <c r="AK486" i="12"/>
  <c r="AS486" i="12" s="1"/>
  <c r="AK421" i="12"/>
  <c r="AS421" i="12" s="1"/>
  <c r="AK65" i="12"/>
  <c r="AS65" i="12" s="1"/>
  <c r="AO586" i="12" a="1"/>
  <c r="AO586" i="12" s="1"/>
  <c r="AP390" i="12" a="1"/>
  <c r="AP390" i="12" s="1"/>
  <c r="AQ161" i="12" a="1"/>
  <c r="AQ161" i="12" s="1"/>
  <c r="AQ726" i="12" a="1"/>
  <c r="AQ726" i="12" s="1"/>
  <c r="AO481" i="12" a="1"/>
  <c r="AO481" i="12" s="1"/>
  <c r="AQ613" i="12" a="1"/>
  <c r="AQ613" i="12" s="1"/>
  <c r="AQ9" i="12" a="1"/>
  <c r="AQ9" i="12" s="1"/>
  <c r="AQ524" i="12" a="1"/>
  <c r="AQ524" i="12" s="1"/>
  <c r="AQ670" i="12" a="1"/>
  <c r="AQ670" i="12" s="1"/>
  <c r="AQ561" i="12" a="1"/>
  <c r="AQ561" i="12" s="1"/>
  <c r="AQ446" i="12" a="1"/>
  <c r="AQ446" i="12" s="1"/>
  <c r="AQ235" i="12" a="1"/>
  <c r="AQ235" i="12" s="1"/>
  <c r="AP133" i="12" a="1"/>
  <c r="AP133" i="12" s="1"/>
  <c r="AK327" i="12"/>
  <c r="AS327" i="12" s="1"/>
  <c r="AK369" i="12"/>
  <c r="AS369" i="12" s="1"/>
  <c r="AP512" i="12" a="1"/>
  <c r="AP512" i="12" s="1"/>
  <c r="AO543" i="12" a="1"/>
  <c r="AO543" i="12" s="1"/>
  <c r="AO726" i="12" a="1"/>
  <c r="AO726" i="12" s="1"/>
  <c r="AQ386" i="12" a="1"/>
  <c r="AQ386" i="12" s="1"/>
  <c r="AO172" i="12" a="1"/>
  <c r="AO172" i="12" s="1"/>
  <c r="AP320" i="12" a="1"/>
  <c r="AP320" i="12" s="1"/>
  <c r="AQ12" i="12" a="1"/>
  <c r="AQ12" i="12" s="1"/>
  <c r="AQ512" i="12" a="1"/>
  <c r="AQ512" i="12" s="1"/>
  <c r="AO291" i="12" a="1"/>
  <c r="AO291" i="12" s="1"/>
  <c r="AT166" i="12" a="1"/>
  <c r="AT166" i="12" s="1"/>
  <c r="AO320" i="12" a="1"/>
  <c r="AO320" i="12" s="1"/>
  <c r="AO12" i="12" a="1"/>
  <c r="AO12" i="12" s="1"/>
  <c r="AP260" i="12" a="1"/>
  <c r="AP260" i="12" s="1"/>
  <c r="AP597" i="12" a="1"/>
  <c r="AP597" i="12" s="1"/>
  <c r="AO405" i="12" a="1"/>
  <c r="AO405" i="12" s="1"/>
  <c r="AK613" i="12"/>
  <c r="AS613" i="12" s="1"/>
  <c r="AP681" i="12" a="1"/>
  <c r="AP681" i="12" s="1"/>
  <c r="AP180" i="12" a="1"/>
  <c r="AP180" i="12" s="1"/>
  <c r="AK694" i="12"/>
  <c r="AS694" i="12" s="1"/>
  <c r="AO53" i="12" a="1"/>
  <c r="AO53" i="12" s="1"/>
  <c r="AO633" i="12" a="1"/>
  <c r="AO633" i="12" s="1"/>
  <c r="AO42" i="12" a="1"/>
  <c r="AO42" i="12" s="1"/>
  <c r="AK235" i="12"/>
  <c r="AS235" i="12" s="1"/>
  <c r="AO133" i="12" a="1"/>
  <c r="AO133" i="12" s="1"/>
  <c r="AP261" i="12" a="1"/>
  <c r="AP261" i="12" s="1"/>
  <c r="AP327" i="12" a="1"/>
  <c r="AP327" i="12" s="1"/>
  <c r="AO563" i="12" a="1"/>
  <c r="AO563" i="12" s="1"/>
  <c r="AK425" i="12"/>
  <c r="AS425" i="12" s="1"/>
  <c r="AK651" i="12"/>
  <c r="AS651" i="12" s="1"/>
  <c r="AQ255" i="12" a="1"/>
  <c r="AQ255" i="12" s="1"/>
  <c r="AQ502" i="12" a="1"/>
  <c r="AQ502" i="12" s="1"/>
  <c r="AQ178" i="12" a="1"/>
  <c r="AQ178" i="12" s="1"/>
  <c r="AP204" i="12" a="1"/>
  <c r="AP204" i="12" s="1"/>
  <c r="AK434" i="12"/>
  <c r="AS434" i="12" s="1"/>
  <c r="AP268" i="12" a="1"/>
  <c r="AP268" i="12" s="1"/>
  <c r="AO512" i="12" a="1"/>
  <c r="AO512" i="12" s="1"/>
  <c r="AQ51" i="12" a="1"/>
  <c r="AQ51" i="12" s="1"/>
  <c r="AQ59" i="12" a="1"/>
  <c r="AQ59" i="12" s="1"/>
  <c r="AK452" i="12"/>
  <c r="AS452" i="12" s="1"/>
  <c r="AP291" i="12" a="1"/>
  <c r="AP291" i="12" s="1"/>
  <c r="AP78" i="12" a="1"/>
  <c r="AP78" i="12" s="1"/>
  <c r="AO240" i="12" a="1"/>
  <c r="AO240" i="12" s="1"/>
  <c r="AO122" i="12" a="1"/>
  <c r="AO122" i="12" s="1"/>
  <c r="AP212" i="12" a="1"/>
  <c r="AP212" i="12" s="1"/>
  <c r="AP12" i="12" a="1"/>
  <c r="AP12" i="12" s="1"/>
  <c r="AO260" i="12" a="1"/>
  <c r="AO260" i="12" s="1"/>
  <c r="AQ405" i="12" a="1"/>
  <c r="AQ405" i="12" s="1"/>
  <c r="AK373" i="12"/>
  <c r="AS373" i="12" s="1"/>
  <c r="AP613" i="12" a="1"/>
  <c r="AP613" i="12" s="1"/>
  <c r="AQ681" i="12" a="1"/>
  <c r="AQ681" i="12" s="1"/>
  <c r="AQ320" i="12" a="1"/>
  <c r="AQ320" i="12" s="1"/>
  <c r="AO508" i="12" a="1"/>
  <c r="AO508" i="12" s="1"/>
  <c r="AQ671" i="12" a="1"/>
  <c r="AQ671" i="12" s="1"/>
  <c r="AK678" i="12"/>
  <c r="AS678" i="12" s="1"/>
  <c r="AK248" i="12"/>
  <c r="AS248" i="12" s="1"/>
  <c r="AP90" i="12" a="1"/>
  <c r="AP90" i="12" s="1"/>
  <c r="AK405" i="12"/>
  <c r="AS405" i="12" s="1"/>
  <c r="AP219" i="12" a="1"/>
  <c r="AP219" i="12" s="1"/>
  <c r="AK681" i="12"/>
  <c r="AS681" i="12" s="1"/>
  <c r="AO180" i="12" a="1"/>
  <c r="AO180" i="12" s="1"/>
  <c r="AK642" i="12"/>
  <c r="AS642" i="12" s="1"/>
  <c r="AO136" i="12" a="1"/>
  <c r="AO136" i="12" s="1"/>
  <c r="AQ438" i="12" a="1"/>
  <c r="AQ438" i="12" s="1"/>
  <c r="AP720" i="12" a="1"/>
  <c r="AP720" i="12" s="1"/>
  <c r="AQ299" i="12" a="1"/>
  <c r="AQ299" i="12" s="1"/>
  <c r="AQ261" i="12" a="1"/>
  <c r="AQ261" i="12" s="1"/>
  <c r="AT261" i="12" s="1" a="1"/>
  <c r="AT261" i="12" s="1"/>
  <c r="AQ313" i="12" a="1"/>
  <c r="AQ313" i="12" s="1"/>
  <c r="AP252" i="12" a="1"/>
  <c r="AP252" i="12" s="1"/>
  <c r="AP563" i="12" a="1"/>
  <c r="AP563" i="12" s="1"/>
  <c r="AQ425" i="12" a="1"/>
  <c r="AQ425" i="12" s="1"/>
  <c r="AP80" i="12" a="1"/>
  <c r="AP80" i="12" s="1"/>
  <c r="AO66" i="12" a="1"/>
  <c r="AO66" i="12" s="1"/>
  <c r="AQ45" i="12" a="1"/>
  <c r="AQ45" i="12" s="1"/>
  <c r="AO587" i="12" a="1"/>
  <c r="AO587" i="12" s="1"/>
  <c r="AK59" i="12"/>
  <c r="AS59" i="12" s="1"/>
  <c r="AQ316" i="12" a="1"/>
  <c r="AQ316" i="12" s="1"/>
  <c r="AK291" i="12"/>
  <c r="AS291" i="12" s="1"/>
  <c r="AO542" i="12" a="1"/>
  <c r="AO542" i="12" s="1"/>
  <c r="AO78" i="12" a="1"/>
  <c r="AO78" i="12" s="1"/>
  <c r="AK450" i="12"/>
  <c r="AS450" i="12" s="1"/>
  <c r="AP629" i="12" a="1"/>
  <c r="AP629" i="12" s="1"/>
  <c r="AP247" i="12" a="1"/>
  <c r="AP247" i="12" s="1"/>
  <c r="AO48" i="12" a="1"/>
  <c r="AO48" i="12" s="1"/>
  <c r="AK79" i="12"/>
  <c r="AS79" i="12" s="1"/>
  <c r="AQ240" i="12" a="1"/>
  <c r="AQ240" i="12" s="1"/>
  <c r="AQ122" i="12" a="1"/>
  <c r="AQ122" i="12" s="1"/>
  <c r="AO58" i="12" a="1"/>
  <c r="AO58" i="12" s="1"/>
  <c r="AP717" i="12" a="1"/>
  <c r="AP717" i="12" s="1"/>
  <c r="AP643" i="12" a="1"/>
  <c r="AP643" i="12" s="1"/>
  <c r="AK212" i="12"/>
  <c r="AS212" i="12" s="1"/>
  <c r="AQ364" i="12" a="1"/>
  <c r="AQ364" i="12" s="1"/>
  <c r="AP246" i="12" a="1"/>
  <c r="AP246" i="12" s="1"/>
  <c r="AP438" i="12" a="1"/>
  <c r="AP438" i="12" s="1"/>
  <c r="AQ720" i="12" a="1"/>
  <c r="AQ720" i="12" s="1"/>
  <c r="AP623" i="12" a="1"/>
  <c r="AP623" i="12" s="1"/>
  <c r="AK460" i="12"/>
  <c r="AS460" i="12" s="1"/>
  <c r="AQ674" i="12" a="1"/>
  <c r="AQ674" i="12" s="1"/>
  <c r="AQ80" i="12" a="1"/>
  <c r="AQ80" i="12" s="1"/>
  <c r="AP16" i="12" a="1"/>
  <c r="AP16" i="12" s="1"/>
  <c r="AT186" i="12" a="1"/>
  <c r="AT186" i="12" s="1"/>
  <c r="AO69" i="12" a="1"/>
  <c r="AO69" i="12" s="1"/>
  <c r="AQ73" i="12" a="1"/>
  <c r="AQ73" i="12" s="1"/>
  <c r="AK422" i="12"/>
  <c r="AS422" i="12" s="1"/>
  <c r="AO328" i="12" a="1"/>
  <c r="AO328" i="12" s="1"/>
  <c r="AO243" i="12" a="1"/>
  <c r="AO243" i="12" s="1"/>
  <c r="AO316" i="12" a="1"/>
  <c r="AO316" i="12" s="1"/>
  <c r="AO592" i="12" a="1"/>
  <c r="AO592" i="12" s="1"/>
  <c r="AP525" i="12" a="1"/>
  <c r="AP525" i="12" s="1"/>
  <c r="AK48" i="12"/>
  <c r="AS48" i="12" s="1"/>
  <c r="AP240" i="12" a="1"/>
  <c r="AP240" i="12" s="1"/>
  <c r="AO199" i="12" a="1"/>
  <c r="AO199" i="12" s="1"/>
  <c r="AP122" i="12" a="1"/>
  <c r="AP122" i="12" s="1"/>
  <c r="AP58" i="12" a="1"/>
  <c r="AP58" i="12" s="1"/>
  <c r="AO717" i="12" a="1"/>
  <c r="AO717" i="12" s="1"/>
  <c r="AO643" i="12" a="1"/>
  <c r="AO643" i="12" s="1"/>
  <c r="AP508" i="12" a="1"/>
  <c r="AP508" i="12" s="1"/>
  <c r="AO671" i="12" a="1"/>
  <c r="AO671" i="12" s="1"/>
  <c r="AO675" i="12" a="1"/>
  <c r="AO675" i="12" s="1"/>
  <c r="AK508" i="12"/>
  <c r="AS508" i="12" s="1"/>
  <c r="AK671" i="12"/>
  <c r="AS671" i="12" s="1"/>
  <c r="AO277" i="12" a="1"/>
  <c r="AO277" i="12" s="1"/>
  <c r="AQ678" i="12" a="1"/>
  <c r="AQ678" i="12" s="1"/>
  <c r="AQ480" i="12" a="1"/>
  <c r="AQ480" i="12" s="1"/>
  <c r="AK97" i="12"/>
  <c r="AS97" i="12" s="1"/>
  <c r="AK136" i="12"/>
  <c r="AS136" i="12" s="1"/>
  <c r="AP364" i="12" a="1"/>
  <c r="AP364" i="12" s="1"/>
  <c r="AO435" i="12" a="1"/>
  <c r="AO435" i="12" s="1"/>
  <c r="AK246" i="12"/>
  <c r="AS246" i="12" s="1"/>
  <c r="AO438" i="12" a="1"/>
  <c r="AO438" i="12" s="1"/>
  <c r="AP532" i="12" a="1"/>
  <c r="AP532" i="12" s="1"/>
  <c r="AK500" i="12"/>
  <c r="AS500" i="12" s="1"/>
  <c r="AO623" i="12" a="1"/>
  <c r="AO623" i="12" s="1"/>
  <c r="AQ509" i="12" a="1"/>
  <c r="AQ509" i="12" s="1"/>
  <c r="AP370" i="12" a="1"/>
  <c r="AP370" i="12" s="1"/>
  <c r="AP636" i="12" a="1"/>
  <c r="AP636" i="12" s="1"/>
  <c r="AP73" i="12" a="1"/>
  <c r="AP73" i="12" s="1"/>
  <c r="AO716" i="12" a="1"/>
  <c r="AO716" i="12" s="1"/>
  <c r="AQ277" i="12" a="1"/>
  <c r="AQ277" i="12" s="1"/>
  <c r="AO530" i="12" a="1"/>
  <c r="AO530" i="12" s="1"/>
  <c r="AK364" i="12"/>
  <c r="AS364" i="12" s="1"/>
  <c r="AQ605" i="12" a="1"/>
  <c r="AQ605" i="12" s="1"/>
  <c r="AQ415" i="12" a="1"/>
  <c r="AQ415" i="12" s="1"/>
  <c r="AO500" i="12" a="1"/>
  <c r="AO500" i="12" s="1"/>
  <c r="AK647" i="12"/>
  <c r="AS647" i="12" s="1"/>
  <c r="AO383" i="12" a="1"/>
  <c r="AO383" i="12" s="1"/>
  <c r="AK720" i="12"/>
  <c r="AS720" i="12" s="1"/>
  <c r="AQ623" i="12" a="1"/>
  <c r="AQ623" i="12" s="1"/>
  <c r="AP258" i="12" a="1"/>
  <c r="AP258" i="12" s="1"/>
  <c r="AK339" i="12"/>
  <c r="AS339" i="12" s="1"/>
  <c r="AQ600" i="12" a="1"/>
  <c r="AQ600" i="12" s="1"/>
  <c r="AP619" i="12" a="1"/>
  <c r="AP619" i="12" s="1"/>
  <c r="AT619" i="12" s="1" a="1"/>
  <c r="AT619" i="12" s="1"/>
  <c r="AK442" i="12"/>
  <c r="AS442" i="12" s="1"/>
  <c r="AO690" i="12" a="1"/>
  <c r="AO690" i="12" s="1"/>
  <c r="AP83" i="12" a="1"/>
  <c r="AP83" i="12" s="1"/>
  <c r="AO551" i="12" a="1"/>
  <c r="AO551" i="12" s="1"/>
  <c r="AP509" i="12" a="1"/>
  <c r="AP509" i="12" s="1"/>
  <c r="AQ475" i="12" a="1"/>
  <c r="AQ475" i="12" s="1"/>
  <c r="AK80" i="12"/>
  <c r="AS80" i="12" s="1"/>
  <c r="AT80" i="12" s="1" a="1"/>
  <c r="AT80" i="12" s="1"/>
  <c r="AK636" i="12"/>
  <c r="AS636" i="12" s="1"/>
  <c r="AP326" i="12" a="1"/>
  <c r="AP326" i="12" s="1"/>
  <c r="AQ137" i="12" a="1"/>
  <c r="AQ137" i="12" s="1"/>
  <c r="AO408" i="12" a="1"/>
  <c r="AO408" i="12" s="1"/>
  <c r="AQ474" i="12" a="1"/>
  <c r="AQ474" i="12" s="1"/>
  <c r="AP716" i="12" a="1"/>
  <c r="AP716" i="12" s="1"/>
  <c r="AK224" i="12"/>
  <c r="AS224" i="12" s="1"/>
  <c r="AK440" i="12"/>
  <c r="AS440" i="12" s="1"/>
  <c r="AP105" i="12" a="1"/>
  <c r="AP105" i="12" s="1"/>
  <c r="AO88" i="12" a="1"/>
  <c r="AO88" i="12" s="1"/>
  <c r="AO475" i="12" a="1"/>
  <c r="AO475" i="12" s="1"/>
  <c r="AP224" i="12" a="1"/>
  <c r="AP224" i="12" s="1"/>
  <c r="AK173" i="12"/>
  <c r="AS173" i="12" s="1"/>
  <c r="AQ249" i="12" a="1"/>
  <c r="AQ249" i="12" s="1"/>
  <c r="AO283" i="12" a="1"/>
  <c r="AO283" i="12" s="1"/>
  <c r="AQ395" i="12" a="1"/>
  <c r="AQ395" i="12" s="1"/>
  <c r="AQ24" i="12" a="1"/>
  <c r="AQ24" i="12" s="1"/>
  <c r="AK239" i="12"/>
  <c r="AS239" i="12" s="1"/>
  <c r="AP663" i="12" a="1"/>
  <c r="AP663" i="12" s="1"/>
  <c r="AO250" i="12" a="1"/>
  <c r="AO250" i="12" s="1"/>
  <c r="AQ612" i="12" a="1"/>
  <c r="AQ612" i="12" s="1"/>
  <c r="AP519" i="12" a="1"/>
  <c r="AP519" i="12" s="1"/>
  <c r="AO215" i="12" a="1"/>
  <c r="AO215" i="12" s="1"/>
  <c r="AK88" i="12"/>
  <c r="AS88" i="12" s="1"/>
  <c r="AP475" i="12" a="1"/>
  <c r="AP475" i="12" s="1"/>
  <c r="AK283" i="12"/>
  <c r="AS283" i="12" s="1"/>
  <c r="AP395" i="12" a="1"/>
  <c r="AP395" i="12" s="1"/>
  <c r="AP574" i="12" a="1"/>
  <c r="AP574" i="12" s="1"/>
  <c r="AO24" i="12" a="1"/>
  <c r="AO24" i="12" s="1"/>
  <c r="AK608" i="12"/>
  <c r="AS608" i="12" s="1"/>
  <c r="AO146" i="12" a="1"/>
  <c r="AO146" i="12" s="1"/>
  <c r="AP123" i="12" a="1"/>
  <c r="AP123" i="12" s="1"/>
  <c r="AK695" i="12"/>
  <c r="AS695" i="12" s="1"/>
  <c r="AK453" i="12"/>
  <c r="AS453" i="12" s="1"/>
  <c r="AO686" i="12" a="1"/>
  <c r="AO686" i="12" s="1"/>
  <c r="AO663" i="12" a="1"/>
  <c r="AO663" i="12" s="1"/>
  <c r="AP130" i="12" a="1"/>
  <c r="AP130" i="12" s="1"/>
  <c r="AK693" i="12"/>
  <c r="AS693" i="12" s="1"/>
  <c r="AO220" i="12" a="1"/>
  <c r="AO220" i="12" s="1"/>
  <c r="AP711" i="12" a="1"/>
  <c r="AP711" i="12" s="1"/>
  <c r="AQ250" i="12" a="1"/>
  <c r="AQ250" i="12" s="1"/>
  <c r="AO64" i="12" a="1"/>
  <c r="AO64" i="12" s="1"/>
  <c r="AQ519" i="12" a="1"/>
  <c r="AQ519" i="12" s="1"/>
  <c r="AO476" i="12" a="1"/>
  <c r="AO476" i="12" s="1"/>
  <c r="AO206" i="12" a="1"/>
  <c r="AO206" i="12" s="1"/>
  <c r="AQ193" i="12" a="1"/>
  <c r="AQ193" i="12" s="1"/>
  <c r="AP680" i="12" a="1"/>
  <c r="AP680" i="12" s="1"/>
  <c r="AK100" i="12"/>
  <c r="AS100" i="12" s="1"/>
  <c r="AQ522" i="12" a="1"/>
  <c r="AQ522" i="12" s="1"/>
  <c r="AO332" i="12" a="1"/>
  <c r="AO332" i="12" s="1"/>
  <c r="AQ213" i="12" a="1"/>
  <c r="AQ213" i="12" s="1"/>
  <c r="AK280" i="12"/>
  <c r="AS280" i="12" s="1"/>
  <c r="AP552" i="12" a="1"/>
  <c r="AP552" i="12" s="1"/>
  <c r="AQ215" i="12" a="1"/>
  <c r="AQ215" i="12" s="1"/>
  <c r="AP708" i="12" a="1"/>
  <c r="AP708" i="12" s="1"/>
  <c r="AO371" i="12" a="1"/>
  <c r="AO371" i="12" s="1"/>
  <c r="AQ510" i="12" a="1"/>
  <c r="AQ510" i="12" s="1"/>
  <c r="AK526" i="12"/>
  <c r="AS526" i="12" s="1"/>
  <c r="AP310" i="12" a="1"/>
  <c r="AP310" i="12" s="1"/>
  <c r="AP61" i="12" a="1"/>
  <c r="AP61" i="12" s="1"/>
  <c r="AQ375" i="12" a="1"/>
  <c r="AQ375" i="12" s="1"/>
  <c r="AP679" i="12" a="1"/>
  <c r="AP679" i="12" s="1"/>
  <c r="AO11" i="12" a="1"/>
  <c r="AO11" i="12" s="1"/>
  <c r="AO591" i="12" a="1"/>
  <c r="AO591" i="12" s="1"/>
  <c r="AO665" i="12" a="1"/>
  <c r="AO665" i="12" s="1"/>
  <c r="AO395" i="12" a="1"/>
  <c r="AO395" i="12" s="1"/>
  <c r="AQ574" i="12" a="1"/>
  <c r="AQ574" i="12" s="1"/>
  <c r="AO211" i="12" a="1"/>
  <c r="AO211" i="12" s="1"/>
  <c r="AP24" i="12" a="1"/>
  <c r="AP24" i="12" s="1"/>
  <c r="AO63" i="12" a="1"/>
  <c r="AO63" i="12" s="1"/>
  <c r="AP399" i="12" a="1"/>
  <c r="AP399" i="12" s="1"/>
  <c r="AQ392" i="12" a="1"/>
  <c r="AQ392" i="12" s="1"/>
  <c r="AK220" i="12"/>
  <c r="AS220" i="12" s="1"/>
  <c r="AP64" i="12" a="1"/>
  <c r="AP64" i="12" s="1"/>
  <c r="AQ233" i="12" a="1"/>
  <c r="AQ233" i="12" s="1"/>
  <c r="AP333" i="12" a="1"/>
  <c r="AP333" i="12" s="1"/>
  <c r="AK564" i="12"/>
  <c r="AS564" i="12" s="1"/>
  <c r="AK215" i="12"/>
  <c r="AS215" i="12" s="1"/>
  <c r="AK380" i="12"/>
  <c r="AS380" i="12" s="1"/>
  <c r="AO631" i="12" a="1"/>
  <c r="AO631" i="12" s="1"/>
  <c r="AP138" i="12" a="1"/>
  <c r="AP138" i="12" s="1"/>
  <c r="AP143" i="12" a="1"/>
  <c r="AP143" i="12" s="1"/>
  <c r="AO318" i="12" a="1"/>
  <c r="AO318" i="12" s="1"/>
  <c r="AK11" i="12"/>
  <c r="AS11" i="12" s="1"/>
  <c r="AP290" i="12" a="1"/>
  <c r="AP290" i="12" s="1"/>
  <c r="AK10" i="12"/>
  <c r="AS10" i="12" s="1"/>
  <c r="AT633" i="12" a="1"/>
  <c r="AT633" i="12" s="1"/>
  <c r="AO366" i="12" a="1"/>
  <c r="AO366" i="12" s="1"/>
  <c r="AO572" i="12" a="1"/>
  <c r="AO572" i="12" s="1"/>
  <c r="AO214" i="12" a="1"/>
  <c r="AO214" i="12" s="1"/>
  <c r="AK214" i="12"/>
  <c r="AS214" i="12" s="1"/>
  <c r="AP214" i="12" a="1"/>
  <c r="AP214" i="12" s="1"/>
  <c r="AK439" i="12"/>
  <c r="AS439" i="12" s="1"/>
  <c r="AQ439" i="12" a="1"/>
  <c r="AQ439" i="12" s="1"/>
  <c r="AP439" i="12" a="1"/>
  <c r="AP439" i="12" s="1"/>
  <c r="AK89" i="12"/>
  <c r="AS89" i="12" s="1"/>
  <c r="AP89" i="12" a="1"/>
  <c r="AP89" i="12" s="1"/>
  <c r="AK700" i="12"/>
  <c r="AS700" i="12" s="1"/>
  <c r="AO700" i="12" a="1"/>
  <c r="AO700" i="12" s="1"/>
  <c r="AQ700" i="12" a="1"/>
  <c r="AQ700" i="12" s="1"/>
  <c r="AP700" i="12" a="1"/>
  <c r="AP700" i="12" s="1"/>
  <c r="AP659" i="12" a="1"/>
  <c r="AP659" i="12" s="1"/>
  <c r="AO659" i="12" a="1"/>
  <c r="AO659" i="12" s="1"/>
  <c r="AQ306" i="12" a="1"/>
  <c r="AQ306" i="12" s="1"/>
  <c r="AK306" i="12"/>
  <c r="AS306" i="12" s="1"/>
  <c r="AQ402" i="12" a="1"/>
  <c r="AQ402" i="12" s="1"/>
  <c r="AP402" i="12" a="1"/>
  <c r="AP402" i="12" s="1"/>
  <c r="AQ20" i="12" a="1"/>
  <c r="AQ20" i="12" s="1"/>
  <c r="AK50" i="12"/>
  <c r="AS50" i="12" s="1"/>
  <c r="AP50" i="12" a="1"/>
  <c r="AP50" i="12" s="1"/>
  <c r="AO400" i="12" a="1"/>
  <c r="AO400" i="12" s="1"/>
  <c r="AP400" i="12" a="1"/>
  <c r="AP400" i="12" s="1"/>
  <c r="AQ400" i="12" a="1"/>
  <c r="AQ400" i="12" s="1"/>
  <c r="AK101" i="12"/>
  <c r="AS101" i="12" s="1"/>
  <c r="AQ101" i="12" a="1"/>
  <c r="AQ101" i="12" s="1"/>
  <c r="AP101" i="12" a="1"/>
  <c r="AP101" i="12" s="1"/>
  <c r="AP108" i="12" a="1"/>
  <c r="AP108" i="12" s="1"/>
  <c r="AK108" i="12"/>
  <c r="AS108" i="12" s="1"/>
  <c r="AO108" i="12" a="1"/>
  <c r="AO108" i="12" s="1"/>
  <c r="AK661" i="12"/>
  <c r="AS661" i="12" s="1"/>
  <c r="AQ530" i="12" a="1"/>
  <c r="AQ530" i="12" s="1"/>
  <c r="AQ300" i="12" a="1"/>
  <c r="AQ300" i="12" s="1"/>
  <c r="AK297" i="12"/>
  <c r="AS297" i="12" s="1"/>
  <c r="AP62" i="12" a="1"/>
  <c r="AP62" i="12" s="1"/>
  <c r="AQ207" i="12" a="1"/>
  <c r="AQ207" i="12" s="1"/>
  <c r="AO207" i="12" a="1"/>
  <c r="AO207" i="12" s="1"/>
  <c r="AK435" i="12"/>
  <c r="AS435" i="12" s="1"/>
  <c r="AP435" i="12" a="1"/>
  <c r="AP435" i="12" s="1"/>
  <c r="AK33" i="12"/>
  <c r="AS33" i="12" s="1"/>
  <c r="AO33" i="12" a="1"/>
  <c r="AO33" i="12" s="1"/>
  <c r="AQ33" i="12" a="1"/>
  <c r="AQ33" i="12" s="1"/>
  <c r="AK273" i="12"/>
  <c r="AS273" i="12" s="1"/>
  <c r="AQ273" i="12" a="1"/>
  <c r="AQ273" i="12" s="1"/>
  <c r="AP273" i="12" a="1"/>
  <c r="AP273" i="12" s="1"/>
  <c r="AK533" i="12"/>
  <c r="AS533" i="12" s="1"/>
  <c r="AP533" i="12" a="1"/>
  <c r="AP533" i="12" s="1"/>
  <c r="AO533" i="12" a="1"/>
  <c r="AO533" i="12" s="1"/>
  <c r="AO461" i="12" a="1"/>
  <c r="AO461" i="12" s="1"/>
  <c r="AP461" i="12" a="1"/>
  <c r="AP461" i="12" s="1"/>
  <c r="AQ461" i="12" a="1"/>
  <c r="AQ461" i="12" s="1"/>
  <c r="AK265" i="12"/>
  <c r="AS265" i="12" s="1"/>
  <c r="AP265" i="12" a="1"/>
  <c r="AP265" i="12" s="1"/>
  <c r="AP277" i="12" a="1"/>
  <c r="AP277" i="12" s="1"/>
  <c r="AP149" i="12" a="1"/>
  <c r="AP149" i="12" s="1"/>
  <c r="AK530" i="12"/>
  <c r="AS530" i="12" s="1"/>
  <c r="AP513" i="12" a="1"/>
  <c r="AP513" i="12" s="1"/>
  <c r="AO580" i="12" a="1"/>
  <c r="AO580" i="12" s="1"/>
  <c r="AO300" i="12" a="1"/>
  <c r="AO300" i="12" s="1"/>
  <c r="AQ110" i="12" a="1"/>
  <c r="AQ110" i="12" s="1"/>
  <c r="AK110" i="12"/>
  <c r="AS110" i="12" s="1"/>
  <c r="AQ531" i="12" a="1"/>
  <c r="AQ531" i="12" s="1"/>
  <c r="AK531" i="12"/>
  <c r="AS531" i="12" s="1"/>
  <c r="AO501" i="12" a="1"/>
  <c r="AO501" i="12" s="1"/>
  <c r="AK207" i="12"/>
  <c r="AS207" i="12" s="1"/>
  <c r="AP331" i="12" a="1"/>
  <c r="AP331" i="12" s="1"/>
  <c r="AK331" i="12"/>
  <c r="AS331" i="12" s="1"/>
  <c r="AK550" i="12"/>
  <c r="AS550" i="12" s="1"/>
  <c r="AO550" i="12" a="1"/>
  <c r="AO550" i="12" s="1"/>
  <c r="AP550" i="12" a="1"/>
  <c r="AP550" i="12" s="1"/>
  <c r="AK536" i="12"/>
  <c r="AS536" i="12" s="1"/>
  <c r="AO536" i="12" a="1"/>
  <c r="AO536" i="12" s="1"/>
  <c r="AP536" i="12" a="1"/>
  <c r="AP536" i="12" s="1"/>
  <c r="AQ536" i="12" a="1"/>
  <c r="AQ536" i="12" s="1"/>
  <c r="AK245" i="12"/>
  <c r="AS245" i="12" s="1"/>
  <c r="AK447" i="12"/>
  <c r="AS447" i="12" s="1"/>
  <c r="AO447" i="12" a="1"/>
  <c r="AO447" i="12" s="1"/>
  <c r="AK144" i="12"/>
  <c r="AS144" i="12" s="1"/>
  <c r="AQ144" i="12" a="1"/>
  <c r="AQ144" i="12" s="1"/>
  <c r="AK570" i="12"/>
  <c r="AS570" i="12" s="1"/>
  <c r="AP570" i="12" a="1"/>
  <c r="AP570" i="12" s="1"/>
  <c r="AQ570" i="12" a="1"/>
  <c r="AQ570" i="12" s="1"/>
  <c r="AO570" i="12" a="1"/>
  <c r="AO570" i="12" s="1"/>
  <c r="AO466" i="12" a="1"/>
  <c r="AO466" i="12" s="1"/>
  <c r="AQ466" i="12" a="1"/>
  <c r="AQ466" i="12" s="1"/>
  <c r="AK466" i="12"/>
  <c r="AS466" i="12" s="1"/>
  <c r="AP466" i="12" a="1"/>
  <c r="AP466" i="12" s="1"/>
  <c r="AO384" i="12" a="1"/>
  <c r="AO384" i="12" s="1"/>
  <c r="AP384" i="12" a="1"/>
  <c r="AP384" i="12" s="1"/>
  <c r="AK384" i="12"/>
  <c r="AS384" i="12" s="1"/>
  <c r="AP190" i="12" a="1"/>
  <c r="AP190" i="12" s="1"/>
  <c r="AO149" i="12" a="1"/>
  <c r="AO149" i="12" s="1"/>
  <c r="AP18" i="12" a="1"/>
  <c r="AP18" i="12" s="1"/>
  <c r="AK95" i="12"/>
  <c r="AS95" i="12" s="1"/>
  <c r="AQ97" i="12" a="1"/>
  <c r="AQ97" i="12" s="1"/>
  <c r="AO513" i="12" a="1"/>
  <c r="AO513" i="12" s="1"/>
  <c r="AP580" i="12" a="1"/>
  <c r="AP580" i="12" s="1"/>
  <c r="AK62" i="12"/>
  <c r="AS62" i="12" s="1"/>
  <c r="AO62" i="12" a="1"/>
  <c r="AO62" i="12" s="1"/>
  <c r="AK140" i="12"/>
  <c r="AS140" i="12" s="1"/>
  <c r="AP140" i="12" a="1"/>
  <c r="AP140" i="12" s="1"/>
  <c r="AQ140" i="12" a="1"/>
  <c r="AQ140" i="12" s="1"/>
  <c r="AO140" i="12" a="1"/>
  <c r="AO140" i="12" s="1"/>
  <c r="AQ518" i="12" a="1"/>
  <c r="AQ518" i="12" s="1"/>
  <c r="AK518" i="12"/>
  <c r="AS518" i="12" s="1"/>
  <c r="AK308" i="12"/>
  <c r="AS308" i="12" s="1"/>
  <c r="AP308" i="12" a="1"/>
  <c r="AP308" i="12" s="1"/>
  <c r="AO721" i="12" a="1"/>
  <c r="AO721" i="12" s="1"/>
  <c r="AQ721" i="12" a="1"/>
  <c r="AQ721" i="12" s="1"/>
  <c r="AQ662" i="12" a="1"/>
  <c r="AQ662" i="12" s="1"/>
  <c r="AK662" i="12"/>
  <c r="AS662" i="12" s="1"/>
  <c r="AP662" i="12" a="1"/>
  <c r="AP662" i="12" s="1"/>
  <c r="AQ485" i="12" a="1"/>
  <c r="AQ485" i="12" s="1"/>
  <c r="AO368" i="12" a="1"/>
  <c r="AO368" i="12" s="1"/>
  <c r="AP185" i="12" a="1"/>
  <c r="AP185" i="12" s="1"/>
  <c r="AO485" i="12" a="1"/>
  <c r="AO485" i="12" s="1"/>
  <c r="AQ190" i="12" a="1"/>
  <c r="AQ190" i="12" s="1"/>
  <c r="AK632" i="12"/>
  <c r="AS632" i="12" s="1"/>
  <c r="AP584" i="12" a="1"/>
  <c r="AP584" i="12" s="1"/>
  <c r="AQ368" i="12" a="1"/>
  <c r="AQ368" i="12" s="1"/>
  <c r="AQ149" i="12" a="1"/>
  <c r="AQ149" i="12" s="1"/>
  <c r="AQ18" i="12" a="1"/>
  <c r="AQ18" i="12" s="1"/>
  <c r="AP95" i="12" a="1"/>
  <c r="AP95" i="12" s="1"/>
  <c r="AQ90" i="12" a="1"/>
  <c r="AQ90" i="12" s="1"/>
  <c r="AO579" i="12" a="1"/>
  <c r="AO579" i="12" s="1"/>
  <c r="AP97" i="12" a="1"/>
  <c r="AP97" i="12" s="1"/>
  <c r="AQ513" i="12" a="1"/>
  <c r="AQ513" i="12" s="1"/>
  <c r="AK580" i="12"/>
  <c r="AS580" i="12" s="1"/>
  <c r="AO285" i="12" a="1"/>
  <c r="AO285" i="12" s="1"/>
  <c r="AQ219" i="12" a="1"/>
  <c r="AQ219" i="12" s="1"/>
  <c r="AQ455" i="12" a="1"/>
  <c r="AQ455" i="12" s="1"/>
  <c r="AO2" i="12" a="1"/>
  <c r="AO2" i="12" s="1"/>
  <c r="AQ683" i="12" a="1"/>
  <c r="AQ683" i="12" s="1"/>
  <c r="AQ689" i="12" a="1"/>
  <c r="AQ689" i="12" s="1"/>
  <c r="AO689" i="12" a="1"/>
  <c r="AO689" i="12" s="1"/>
  <c r="AP279" i="12" a="1"/>
  <c r="AP279" i="12" s="1"/>
  <c r="AK279" i="12"/>
  <c r="AS279" i="12" s="1"/>
  <c r="AO673" i="12" a="1"/>
  <c r="AO673" i="12" s="1"/>
  <c r="AP36" i="12" a="1"/>
  <c r="AP36" i="12" s="1"/>
  <c r="AQ31" i="12" a="1"/>
  <c r="AQ31" i="12" s="1"/>
  <c r="AO31" i="12" a="1"/>
  <c r="AO31" i="12" s="1"/>
  <c r="AK175" i="12"/>
  <c r="AS175" i="12" s="1"/>
  <c r="AQ175" i="12" a="1"/>
  <c r="AQ175" i="12" s="1"/>
  <c r="AQ185" i="12" a="1"/>
  <c r="AQ185" i="12" s="1"/>
  <c r="AO190" i="12" a="1"/>
  <c r="AO190" i="12" s="1"/>
  <c r="AQ584" i="12" a="1"/>
  <c r="AQ584" i="12" s="1"/>
  <c r="AP453" i="12" a="1"/>
  <c r="AP453" i="12" s="1"/>
  <c r="AO18" i="12" a="1"/>
  <c r="AO18" i="12" s="1"/>
  <c r="AO90" i="12" a="1"/>
  <c r="AO90" i="12" s="1"/>
  <c r="AQ343" i="12" a="1"/>
  <c r="AQ343" i="12" s="1"/>
  <c r="AP518" i="12" a="1"/>
  <c r="AP518" i="12" s="1"/>
  <c r="AQ244" i="12" a="1"/>
  <c r="AQ244" i="12" s="1"/>
  <c r="AK244" i="12"/>
  <c r="AS244" i="12" s="1"/>
  <c r="AQ285" i="12" a="1"/>
  <c r="AQ285" i="12" s="1"/>
  <c r="AK455" i="12"/>
  <c r="AS455" i="12" s="1"/>
  <c r="AT455" i="12" s="1" a="1"/>
  <c r="AT455" i="12" s="1"/>
  <c r="AO181" i="12" a="1"/>
  <c r="AO181" i="12" s="1"/>
  <c r="AO625" i="12" a="1"/>
  <c r="AO625" i="12" s="1"/>
  <c r="AP476" i="12" a="1"/>
  <c r="AP476" i="12" s="1"/>
  <c r="AQ476" i="12" a="1"/>
  <c r="AQ476" i="12" s="1"/>
  <c r="AP15" i="12" a="1"/>
  <c r="AP15" i="12" s="1"/>
  <c r="AO634" i="12" a="1"/>
  <c r="AO634" i="12" s="1"/>
  <c r="AK582" i="12"/>
  <c r="AS582" i="12" s="1"/>
  <c r="AO582" i="12" a="1"/>
  <c r="AO582" i="12" s="1"/>
  <c r="AP111" i="12" a="1"/>
  <c r="AP111" i="12" s="1"/>
  <c r="AQ111" i="12" a="1"/>
  <c r="AQ111" i="12" s="1"/>
  <c r="AK515" i="12"/>
  <c r="AS515" i="12" s="1"/>
  <c r="AP515" i="12" a="1"/>
  <c r="AP515" i="12" s="1"/>
  <c r="AO515" i="12" a="1"/>
  <c r="AO515" i="12" s="1"/>
  <c r="AQ36" i="12" a="1"/>
  <c r="AQ36" i="12" s="1"/>
  <c r="AK494" i="12"/>
  <c r="AS494" i="12" s="1"/>
  <c r="AP494" i="12" a="1"/>
  <c r="AP494" i="12" s="1"/>
  <c r="AQ494" i="12" a="1"/>
  <c r="AQ494" i="12" s="1"/>
  <c r="AO494" i="12" a="1"/>
  <c r="AO494" i="12" s="1"/>
  <c r="AO155" i="12" a="1"/>
  <c r="AO155" i="12" s="1"/>
  <c r="AP155" i="12" a="1"/>
  <c r="AP155" i="12" s="1"/>
  <c r="AQ155" i="12" a="1"/>
  <c r="AQ155" i="12" s="1"/>
  <c r="AQ19" i="12" a="1"/>
  <c r="AQ19" i="12" s="1"/>
  <c r="AK19" i="12"/>
  <c r="AS19" i="12" s="1"/>
  <c r="AO19" i="12" a="1"/>
  <c r="AO19" i="12" s="1"/>
  <c r="AK449" i="12"/>
  <c r="AS449" i="12" s="1"/>
  <c r="AO449" i="12" a="1"/>
  <c r="AO449" i="12" s="1"/>
  <c r="AP449" i="12" a="1"/>
  <c r="AP449" i="12" s="1"/>
  <c r="AP462" i="12" a="1"/>
  <c r="AP462" i="12" s="1"/>
  <c r="AQ462" i="12" a="1"/>
  <c r="AQ462" i="12" s="1"/>
  <c r="AK359" i="12"/>
  <c r="AS359" i="12" s="1"/>
  <c r="AO359" i="12" a="1"/>
  <c r="AO359" i="12" s="1"/>
  <c r="AQ146" i="12" a="1"/>
  <c r="AQ146" i="12" s="1"/>
  <c r="AP686" i="12" a="1"/>
  <c r="AP686" i="12" s="1"/>
  <c r="AO130" i="12" a="1"/>
  <c r="AO130" i="12" s="1"/>
  <c r="AP343" i="12" a="1"/>
  <c r="AP343" i="12" s="1"/>
  <c r="AQ377" i="12" a="1"/>
  <c r="AQ377" i="12" s="1"/>
  <c r="AP181" i="12" a="1"/>
  <c r="AP181" i="12" s="1"/>
  <c r="AK683" i="12"/>
  <c r="AS683" i="12" s="1"/>
  <c r="AO683" i="12" a="1"/>
  <c r="AO683" i="12" s="1"/>
  <c r="AQ589" i="12" a="1"/>
  <c r="AQ589" i="12" s="1"/>
  <c r="AP589" i="12" a="1"/>
  <c r="AP589" i="12" s="1"/>
  <c r="AO561" i="12" a="1"/>
  <c r="AO561" i="12" s="1"/>
  <c r="AP262" i="12" a="1"/>
  <c r="AP262" i="12" s="1"/>
  <c r="AQ262" i="12" a="1"/>
  <c r="AQ262" i="12" s="1"/>
  <c r="AK614" i="12"/>
  <c r="AS614" i="12" s="1"/>
  <c r="AQ614" i="12" a="1"/>
  <c r="AQ614" i="12" s="1"/>
  <c r="AO614" i="12" a="1"/>
  <c r="AO614" i="12" s="1"/>
  <c r="AP614" i="12" a="1"/>
  <c r="AP614" i="12" s="1"/>
  <c r="AP334" i="12" a="1"/>
  <c r="AP334" i="12" s="1"/>
  <c r="AO334" i="12" a="1"/>
  <c r="AO334" i="12" s="1"/>
  <c r="AK334" i="12"/>
  <c r="AS334" i="12" s="1"/>
  <c r="AQ334" i="12" a="1"/>
  <c r="AQ334" i="12" s="1"/>
  <c r="AK420" i="12"/>
  <c r="AS420" i="12" s="1"/>
  <c r="AP420" i="12" a="1"/>
  <c r="AP420" i="12" s="1"/>
  <c r="AK208" i="12"/>
  <c r="AS208" i="12" s="1"/>
  <c r="AQ208" i="12" a="1"/>
  <c r="AQ208" i="12" s="1"/>
  <c r="AK609" i="12"/>
  <c r="AS609" i="12" s="1"/>
  <c r="AQ609" i="12" a="1"/>
  <c r="AQ609" i="12" s="1"/>
  <c r="AO609" i="12" a="1"/>
  <c r="AO609" i="12" s="1"/>
  <c r="AK414" i="12"/>
  <c r="AS414" i="12" s="1"/>
  <c r="AQ414" i="12" a="1"/>
  <c r="AQ414" i="12" s="1"/>
  <c r="AP414" i="12" a="1"/>
  <c r="AP414" i="12" s="1"/>
  <c r="AO414" i="12" a="1"/>
  <c r="AO414" i="12" s="1"/>
  <c r="AK294" i="12"/>
  <c r="AS294" i="12" s="1"/>
  <c r="AQ294" i="12" a="1"/>
  <c r="AQ294" i="12" s="1"/>
  <c r="AO432" i="12" a="1"/>
  <c r="AO432" i="12" s="1"/>
  <c r="AQ611" i="12" a="1"/>
  <c r="AQ611" i="12" s="1"/>
  <c r="AP336" i="12" a="1"/>
  <c r="AP336" i="12" s="1"/>
  <c r="AK336" i="12"/>
  <c r="AS336" i="12" s="1"/>
  <c r="AK499" i="12"/>
  <c r="AS499" i="12" s="1"/>
  <c r="AP499" i="12" a="1"/>
  <c r="AP499" i="12" s="1"/>
  <c r="AO499" i="12" a="1"/>
  <c r="AO499" i="12" s="1"/>
  <c r="AK347" i="12"/>
  <c r="AS347" i="12" s="1"/>
  <c r="AP347" i="12" a="1"/>
  <c r="AP347" i="12" s="1"/>
  <c r="AQ344" i="12" a="1"/>
  <c r="AQ344" i="12" s="1"/>
  <c r="AK344" i="12"/>
  <c r="AS344" i="12" s="1"/>
  <c r="AO344" i="12" a="1"/>
  <c r="AO344" i="12" s="1"/>
  <c r="AP560" i="12" a="1"/>
  <c r="AP560" i="12" s="1"/>
  <c r="AQ560" i="12" a="1"/>
  <c r="AQ560" i="12" s="1"/>
  <c r="AP165" i="12" a="1"/>
  <c r="AP165" i="12" s="1"/>
  <c r="AO165" i="12" a="1"/>
  <c r="AO165" i="12" s="1"/>
  <c r="AQ165" i="12" a="1"/>
  <c r="AQ165" i="12" s="1"/>
  <c r="AK637" i="12"/>
  <c r="AS637" i="12" s="1"/>
  <c r="AQ378" i="12" a="1"/>
  <c r="AQ378" i="12" s="1"/>
  <c r="AQ432" i="12" a="1"/>
  <c r="AQ432" i="12" s="1"/>
  <c r="AP417" i="12" a="1"/>
  <c r="AP417" i="12" s="1"/>
  <c r="AO482" i="12" a="1"/>
  <c r="AO482" i="12" s="1"/>
  <c r="AK722" i="12"/>
  <c r="AS722" i="12" s="1"/>
  <c r="AO141" i="12" a="1"/>
  <c r="AO141" i="12" s="1"/>
  <c r="AK141" i="12"/>
  <c r="AS141" i="12" s="1"/>
  <c r="AO553" i="12" a="1"/>
  <c r="AO553" i="12" s="1"/>
  <c r="AP342" i="12" a="1"/>
  <c r="AP342" i="12" s="1"/>
  <c r="AP611" i="12" a="1"/>
  <c r="AP611" i="12" s="1"/>
  <c r="AK585" i="12"/>
  <c r="AS585" i="12" s="1"/>
  <c r="AO585" i="12" a="1"/>
  <c r="AO585" i="12" s="1"/>
  <c r="AP124" i="12" a="1"/>
  <c r="AP124" i="12" s="1"/>
  <c r="AK124" i="12"/>
  <c r="AS124" i="12" s="1"/>
  <c r="AK226" i="12"/>
  <c r="AS226" i="12" s="1"/>
  <c r="AP226" i="12" a="1"/>
  <c r="AP226" i="12" s="1"/>
  <c r="AK630" i="12"/>
  <c r="AS630" i="12" s="1"/>
  <c r="AP630" i="12" a="1"/>
  <c r="AP630" i="12" s="1"/>
  <c r="AQ281" i="12" a="1"/>
  <c r="AQ281" i="12" s="1"/>
  <c r="AP281" i="12" a="1"/>
  <c r="AP281" i="12" s="1"/>
  <c r="AO417" i="12" a="1"/>
  <c r="AO417" i="12" s="1"/>
  <c r="AP482" i="12" a="1"/>
  <c r="AP482" i="12" s="1"/>
  <c r="AQ342" i="12" a="1"/>
  <c r="AQ342" i="12" s="1"/>
  <c r="AP132" i="12" a="1"/>
  <c r="AP132" i="12" s="1"/>
  <c r="AO266" i="12" a="1"/>
  <c r="AO266" i="12" s="1"/>
  <c r="AQ266" i="12" a="1"/>
  <c r="AQ266" i="12" s="1"/>
  <c r="AO93" i="12" a="1"/>
  <c r="AO93" i="12" s="1"/>
  <c r="AQ401" i="12" a="1"/>
  <c r="AQ401" i="12" s="1"/>
  <c r="AK593" i="12"/>
  <c r="AS593" i="12" s="1"/>
  <c r="AP593" i="12" a="1"/>
  <c r="AP593" i="12" s="1"/>
  <c r="AQ593" i="12" a="1"/>
  <c r="AQ593" i="12" s="1"/>
  <c r="AQ29" i="12" a="1"/>
  <c r="AQ29" i="12" s="1"/>
  <c r="AK459" i="12"/>
  <c r="AS459" i="12" s="1"/>
  <c r="AO459" i="12" a="1"/>
  <c r="AO459" i="12" s="1"/>
  <c r="AQ459" i="12" a="1"/>
  <c r="AQ459" i="12" s="1"/>
  <c r="AP459" i="12" a="1"/>
  <c r="AP459" i="12" s="1"/>
  <c r="AO99" i="12" a="1"/>
  <c r="AO99" i="12" s="1"/>
  <c r="AK99" i="12"/>
  <c r="AS99" i="12" s="1"/>
  <c r="AP469" i="12" a="1"/>
  <c r="AP469" i="12" s="1"/>
  <c r="AO469" i="12" a="1"/>
  <c r="AO469" i="12" s="1"/>
  <c r="AQ687" i="12" a="1"/>
  <c r="AQ687" i="12" s="1"/>
  <c r="AP617" i="12" a="1"/>
  <c r="AP617" i="12" s="1"/>
  <c r="AO378" i="12" a="1"/>
  <c r="AO378" i="12" s="1"/>
  <c r="AK432" i="12"/>
  <c r="AS432" i="12" s="1"/>
  <c r="AO646" i="12" a="1"/>
  <c r="AO646" i="12" s="1"/>
  <c r="AK417" i="12"/>
  <c r="AS417" i="12" s="1"/>
  <c r="AQ482" i="12" a="1"/>
  <c r="AQ482" i="12" s="1"/>
  <c r="AP366" i="12" a="1"/>
  <c r="AP366" i="12" s="1"/>
  <c r="AO342" i="12" a="1"/>
  <c r="AO342" i="12" s="1"/>
  <c r="AQ132" i="12" a="1"/>
  <c r="AQ132" i="12" s="1"/>
  <c r="AP445" i="12" a="1"/>
  <c r="AP445" i="12" s="1"/>
  <c r="AP93" i="12" a="1"/>
  <c r="AP93" i="12" s="1"/>
  <c r="AO401" i="12" a="1"/>
  <c r="AO401" i="12" s="1"/>
  <c r="AP29" i="12" a="1"/>
  <c r="AP29" i="12" s="1"/>
  <c r="AQ214" i="12" a="1"/>
  <c r="AQ214" i="12" s="1"/>
  <c r="AP98" i="12" a="1"/>
  <c r="AP98" i="12" s="1"/>
  <c r="AO98" i="12" a="1"/>
  <c r="AO98" i="12" s="1"/>
  <c r="AP654" i="12" a="1"/>
  <c r="AP654" i="12" s="1"/>
  <c r="AO654" i="12" a="1"/>
  <c r="AO654" i="12" s="1"/>
  <c r="AK654" i="12"/>
  <c r="AS654" i="12" s="1"/>
  <c r="AO564" i="12" a="1"/>
  <c r="AO564" i="12" s="1"/>
  <c r="AO687" i="12" a="1"/>
  <c r="AO687" i="12" s="1"/>
  <c r="AP378" i="12" a="1"/>
  <c r="AP378" i="12" s="1"/>
  <c r="AT675" i="12" a="1"/>
  <c r="AT675" i="12" s="1"/>
  <c r="AK275" i="12"/>
  <c r="AS275" i="12" s="1"/>
  <c r="AQ158" i="12" a="1"/>
  <c r="AQ158" i="12" s="1"/>
  <c r="AK567" i="12"/>
  <c r="AS567" i="12" s="1"/>
  <c r="AO170" i="12" a="1"/>
  <c r="AO170" i="12" s="1"/>
  <c r="AK340" i="12"/>
  <c r="AS340" i="12" s="1"/>
  <c r="AP248" i="12" a="1"/>
  <c r="AP248" i="12" s="1"/>
  <c r="AO537" i="12" a="1"/>
  <c r="AO537" i="12" s="1"/>
  <c r="AP373" i="12" a="1"/>
  <c r="AP373" i="12" s="1"/>
  <c r="AK366" i="12"/>
  <c r="AS366" i="12" s="1"/>
  <c r="AK572" i="12"/>
  <c r="AS572" i="12" s="1"/>
  <c r="AK132" i="12"/>
  <c r="AS132" i="12" s="1"/>
  <c r="AK445" i="12"/>
  <c r="AS445" i="12" s="1"/>
  <c r="AO308" i="12" a="1"/>
  <c r="AO308" i="12" s="1"/>
  <c r="AQ598" i="12" a="1"/>
  <c r="AQ598" i="12" s="1"/>
  <c r="AK659" i="12"/>
  <c r="AS659" i="12" s="1"/>
  <c r="AK401" i="12"/>
  <c r="AS401" i="12" s="1"/>
  <c r="AK29" i="12"/>
  <c r="AS29" i="12" s="1"/>
  <c r="AQ666" i="12" a="1"/>
  <c r="AQ666" i="12" s="1"/>
  <c r="AO666" i="12" a="1"/>
  <c r="AO666" i="12" s="1"/>
  <c r="AP666" i="12" a="1"/>
  <c r="AP666" i="12" s="1"/>
  <c r="AQ108" i="12" a="1"/>
  <c r="AQ108" i="12" s="1"/>
  <c r="AQ505" i="12" a="1"/>
  <c r="AQ505" i="12" s="1"/>
  <c r="AP505" i="12" a="1"/>
  <c r="AP505" i="12" s="1"/>
  <c r="AQ27" i="12" a="1"/>
  <c r="AQ27" i="12" s="1"/>
  <c r="AK27" i="12"/>
  <c r="AS27" i="12" s="1"/>
  <c r="AO27" i="12" a="1"/>
  <c r="AO27" i="12" s="1"/>
  <c r="AP27" i="12" a="1"/>
  <c r="AP27" i="12" s="1"/>
  <c r="AK115" i="12"/>
  <c r="AS115" i="12" s="1"/>
  <c r="AP115" i="12" a="1"/>
  <c r="AP115" i="12" s="1"/>
  <c r="AO115" i="12" a="1"/>
  <c r="AO115" i="12" s="1"/>
  <c r="AQ115" i="12" a="1"/>
  <c r="AQ115" i="12" s="1"/>
  <c r="AO647" i="12" a="1"/>
  <c r="AO647" i="12" s="1"/>
  <c r="AQ596" i="12" a="1"/>
  <c r="AQ596" i="12" s="1"/>
  <c r="AP106" i="12" a="1"/>
  <c r="AP106" i="12" s="1"/>
  <c r="AQ258" i="12" a="1"/>
  <c r="AQ258" i="12" s="1"/>
  <c r="AO545" i="12" a="1"/>
  <c r="AO545" i="12" s="1"/>
  <c r="AO565" i="12" a="1"/>
  <c r="AO565" i="12" s="1"/>
  <c r="AO313" i="12" a="1"/>
  <c r="AO313" i="12" s="1"/>
  <c r="AO367" i="12" a="1"/>
  <c r="AO367" i="12" s="1"/>
  <c r="AP690" i="12" a="1"/>
  <c r="AP690" i="12" s="1"/>
  <c r="AO676" i="12" a="1"/>
  <c r="AO676" i="12" s="1"/>
  <c r="AQ436" i="12" a="1"/>
  <c r="AQ436" i="12" s="1"/>
  <c r="AQ25" i="12" a="1"/>
  <c r="AQ25" i="12" s="1"/>
  <c r="AP371" i="12" a="1"/>
  <c r="AP371" i="12" s="1"/>
  <c r="AO284" i="12" a="1"/>
  <c r="AO284" i="12" s="1"/>
  <c r="AP650" i="12" a="1"/>
  <c r="AP650" i="12" s="1"/>
  <c r="AK310" i="12"/>
  <c r="AS310" i="12" s="1"/>
  <c r="AT310" i="12" s="1" a="1"/>
  <c r="AT310" i="12" s="1"/>
  <c r="AO96" i="12" a="1"/>
  <c r="AO96" i="12" s="1"/>
  <c r="AP502" i="12" a="1"/>
  <c r="AP502" i="12" s="1"/>
  <c r="AO232" i="12" a="1"/>
  <c r="AO232" i="12" s="1"/>
  <c r="AP107" i="12" a="1"/>
  <c r="AP107" i="12" s="1"/>
  <c r="AQ575" i="12" a="1"/>
  <c r="AQ575" i="12" s="1"/>
  <c r="AO319" i="12" a="1"/>
  <c r="AO319" i="12" s="1"/>
  <c r="AQ376" i="12" a="1"/>
  <c r="AQ376" i="12" s="1"/>
  <c r="AO169" i="12" a="1"/>
  <c r="AO169" i="12" s="1"/>
  <c r="AK357" i="12"/>
  <c r="AS357" i="12" s="1"/>
  <c r="AQ636" i="12" a="1"/>
  <c r="AQ636" i="12" s="1"/>
  <c r="AP587" i="12" a="1"/>
  <c r="AP587" i="12" s="1"/>
  <c r="AQ85" i="12" a="1"/>
  <c r="AQ85" i="12" s="1"/>
  <c r="AO374" i="12" a="1"/>
  <c r="AO374" i="12" s="1"/>
  <c r="AP484" i="12" a="1"/>
  <c r="AP484" i="12" s="1"/>
  <c r="AQ325" i="12" a="1"/>
  <c r="AQ325" i="12" s="1"/>
  <c r="AO504" i="12" a="1"/>
  <c r="AO504" i="12" s="1"/>
  <c r="AP419" i="12" a="1"/>
  <c r="AP419" i="12" s="1"/>
  <c r="AK151" i="12"/>
  <c r="AS151" i="12" s="1"/>
  <c r="AO707" i="12" a="1"/>
  <c r="AO707" i="12" s="1"/>
  <c r="AO573" i="12" a="1"/>
  <c r="AO573" i="12" s="1"/>
  <c r="AP576" i="12" a="1"/>
  <c r="AP576" i="12" s="1"/>
  <c r="AO641" i="12" a="1"/>
  <c r="AO641" i="12" s="1"/>
  <c r="AP712" i="12" a="1"/>
  <c r="AP712" i="12" s="1"/>
  <c r="AO705" i="12" a="1"/>
  <c r="AO705" i="12" s="1"/>
  <c r="AK102" i="12"/>
  <c r="AS102" i="12" s="1"/>
  <c r="AQ164" i="12" a="1"/>
  <c r="AQ164" i="12" s="1"/>
  <c r="AP41" i="12" a="1"/>
  <c r="AP41" i="12" s="1"/>
  <c r="AQ647" i="12" a="1"/>
  <c r="AQ647" i="12" s="1"/>
  <c r="AP596" i="12" a="1"/>
  <c r="AP596" i="12" s="1"/>
  <c r="AO106" i="12" a="1"/>
  <c r="AO106" i="12" s="1"/>
  <c r="AO258" i="12" a="1"/>
  <c r="AO258" i="12" s="1"/>
  <c r="AP600" i="12" a="1"/>
  <c r="AP600" i="12" s="1"/>
  <c r="AO160" i="12" a="1"/>
  <c r="AO160" i="12" s="1"/>
  <c r="AP545" i="12" a="1"/>
  <c r="AP545" i="12" s="1"/>
  <c r="AQ565" i="12" a="1"/>
  <c r="AQ565" i="12" s="1"/>
  <c r="AP313" i="12" a="1"/>
  <c r="AP313" i="12" s="1"/>
  <c r="AQ367" i="12" a="1"/>
  <c r="AQ367" i="12" s="1"/>
  <c r="AK676" i="12"/>
  <c r="AS676" i="12" s="1"/>
  <c r="AP436" i="12" a="1"/>
  <c r="AP436" i="12" s="1"/>
  <c r="AP32" i="12" a="1"/>
  <c r="AP32" i="12" s="1"/>
  <c r="AP25" i="12" a="1"/>
  <c r="AP25" i="12" s="1"/>
  <c r="AQ88" i="12" a="1"/>
  <c r="AQ88" i="12" s="1"/>
  <c r="AP284" i="12" a="1"/>
  <c r="AP284" i="12" s="1"/>
  <c r="AQ66" i="12" a="1"/>
  <c r="AQ66" i="12" s="1"/>
  <c r="AK502" i="12"/>
  <c r="AS502" i="12" s="1"/>
  <c r="AK232" i="12"/>
  <c r="AS232" i="12" s="1"/>
  <c r="AK73" i="12"/>
  <c r="AS73" i="12" s="1"/>
  <c r="AQ135" i="12" a="1"/>
  <c r="AQ135" i="12" s="1"/>
  <c r="AP374" i="12" a="1"/>
  <c r="AP374" i="12" s="1"/>
  <c r="AO517" i="12" a="1"/>
  <c r="AO517" i="12" s="1"/>
  <c r="AP118" i="12" a="1"/>
  <c r="AP118" i="12" s="1"/>
  <c r="AQ484" i="12" a="1"/>
  <c r="AQ484" i="12" s="1"/>
  <c r="AP535" i="12" a="1"/>
  <c r="AP535" i="12" s="1"/>
  <c r="AQ504" i="12" a="1"/>
  <c r="AQ504" i="12" s="1"/>
  <c r="AP403" i="12" a="1"/>
  <c r="AP403" i="12" s="1"/>
  <c r="AQ148" i="12" a="1"/>
  <c r="AQ148" i="12" s="1"/>
  <c r="AP345" i="12" a="1"/>
  <c r="AP345" i="12" s="1"/>
  <c r="AO188" i="12" a="1"/>
  <c r="AO188" i="12" s="1"/>
  <c r="AO578" i="12" a="1"/>
  <c r="AO578" i="12" s="1"/>
  <c r="AP151" i="12" a="1"/>
  <c r="AP151" i="12" s="1"/>
  <c r="AP707" i="12" a="1"/>
  <c r="AP707" i="12" s="1"/>
  <c r="AK573" i="12"/>
  <c r="AS573" i="12" s="1"/>
  <c r="AK576" i="12"/>
  <c r="AS576" i="12" s="1"/>
  <c r="AO104" i="12" a="1"/>
  <c r="AO104" i="12" s="1"/>
  <c r="AP641" i="12" a="1"/>
  <c r="AP641" i="12" s="1"/>
  <c r="AO182" i="12" a="1"/>
  <c r="AO182" i="12" s="1"/>
  <c r="AQ712" i="12" a="1"/>
  <c r="AQ712" i="12" s="1"/>
  <c r="AQ705" i="12" a="1"/>
  <c r="AQ705" i="12" s="1"/>
  <c r="AP677" i="12" a="1"/>
  <c r="AP677" i="12" s="1"/>
  <c r="AO555" i="12" a="1"/>
  <c r="AO555" i="12" s="1"/>
  <c r="AP386" i="12" a="1"/>
  <c r="AP386" i="12" s="1"/>
  <c r="AQ41" i="12" a="1"/>
  <c r="AQ41" i="12" s="1"/>
  <c r="AP526" i="12" a="1"/>
  <c r="AP526" i="12" s="1"/>
  <c r="AP706" i="12" a="1"/>
  <c r="AP706" i="12" s="1"/>
  <c r="AP517" i="12" a="1"/>
  <c r="AP517" i="12" s="1"/>
  <c r="AQ288" i="12" a="1"/>
  <c r="AQ288" i="12" s="1"/>
  <c r="AO484" i="12" a="1"/>
  <c r="AO484" i="12" s="1"/>
  <c r="AP504" i="12" a="1"/>
  <c r="AP504" i="12" s="1"/>
  <c r="AO403" i="12" a="1"/>
  <c r="AO403" i="12" s="1"/>
  <c r="AO148" i="12" a="1"/>
  <c r="AO148" i="12" s="1"/>
  <c r="AQ514" i="12" a="1"/>
  <c r="AQ514" i="12" s="1"/>
  <c r="AQ345" i="12" a="1"/>
  <c r="AQ345" i="12" s="1"/>
  <c r="AQ188" i="12" a="1"/>
  <c r="AQ188" i="12" s="1"/>
  <c r="AQ578" i="12" a="1"/>
  <c r="AQ578" i="12" s="1"/>
  <c r="AQ576" i="12" a="1"/>
  <c r="AQ576" i="12" s="1"/>
  <c r="AP104" i="12" a="1"/>
  <c r="AP104" i="12" s="1"/>
  <c r="AQ182" i="12" a="1"/>
  <c r="AQ182" i="12" s="1"/>
  <c r="AK705" i="12"/>
  <c r="AS705" i="12" s="1"/>
  <c r="AQ677" i="12" a="1"/>
  <c r="AQ677" i="12" s="1"/>
  <c r="AK160" i="12"/>
  <c r="AS160" i="12" s="1"/>
  <c r="AK74" i="12"/>
  <c r="AS74" i="12" s="1"/>
  <c r="AK66" i="12"/>
  <c r="AS66" i="12" s="1"/>
  <c r="AT66" i="12" s="1" a="1"/>
  <c r="AT66" i="12" s="1"/>
  <c r="AQ526" i="12" a="1"/>
  <c r="AQ526" i="12" s="1"/>
  <c r="AP200" i="12" a="1"/>
  <c r="AP200" i="12" s="1"/>
  <c r="AT200" i="12" s="1" a="1"/>
  <c r="AT200" i="12" s="1"/>
  <c r="AP458" i="12" a="1"/>
  <c r="AP458" i="12" s="1"/>
  <c r="AK14" i="12"/>
  <c r="AS14" i="12" s="1"/>
  <c r="AQ684" i="12" a="1"/>
  <c r="AQ684" i="12" s="1"/>
  <c r="AK487" i="12"/>
  <c r="AS487" i="12" s="1"/>
  <c r="AQ517" i="12" a="1"/>
  <c r="AQ517" i="12" s="1"/>
  <c r="AO288" i="12" a="1"/>
  <c r="AO288" i="12" s="1"/>
  <c r="AO345" i="12" a="1"/>
  <c r="AO345" i="12" s="1"/>
  <c r="AP188" i="12" a="1"/>
  <c r="AP188" i="12" s="1"/>
  <c r="AK578" i="12"/>
  <c r="AS578" i="12" s="1"/>
  <c r="AP685" i="12" a="1"/>
  <c r="AP685" i="12" s="1"/>
  <c r="AO677" i="12" a="1"/>
  <c r="AO677" i="12" s="1"/>
  <c r="AO46" i="12" a="1"/>
  <c r="AO46" i="12" s="1"/>
  <c r="AO200" i="12" a="1"/>
  <c r="AO200" i="12" s="1"/>
  <c r="AT51" i="12" a="1"/>
  <c r="AT51" i="12" s="1"/>
  <c r="AP288" i="12" a="1"/>
  <c r="AP288" i="12" s="1"/>
  <c r="AO91" i="12" a="1"/>
  <c r="AO91" i="12" s="1"/>
  <c r="AP346" i="12" a="1"/>
  <c r="AP346" i="12" s="1"/>
  <c r="AQ583" i="12" a="1"/>
  <c r="AQ583" i="12" s="1"/>
  <c r="AT583" i="12" s="1" a="1"/>
  <c r="AT583" i="12" s="1"/>
  <c r="AK621" i="12"/>
  <c r="AS621" i="12" s="1"/>
  <c r="AO599" i="12" a="1"/>
  <c r="AO599" i="12" s="1"/>
  <c r="AO509" i="12" a="1"/>
  <c r="AO509" i="12" s="1"/>
  <c r="AP394" i="12" a="1"/>
  <c r="AP394" i="12" s="1"/>
  <c r="AK69" i="12"/>
  <c r="AS69" i="12" s="1"/>
  <c r="AQ454" i="12" a="1"/>
  <c r="AQ454" i="12" s="1"/>
  <c r="AQ200" i="12" a="1"/>
  <c r="AQ200" i="12" s="1"/>
  <c r="AQ631" i="12" a="1"/>
  <c r="AQ631" i="12" s="1"/>
  <c r="AP159" i="12" a="1"/>
  <c r="AP159" i="12" s="1"/>
  <c r="AQ243" i="12" a="1"/>
  <c r="AQ243" i="12" s="1"/>
  <c r="AO138" i="12" a="1"/>
  <c r="AO138" i="12" s="1"/>
  <c r="AO143" i="12" a="1"/>
  <c r="AO143" i="12" s="1"/>
  <c r="AT143" i="12" s="1" a="1"/>
  <c r="AT143" i="12" s="1"/>
  <c r="AQ91" i="12" a="1"/>
  <c r="AQ91" i="12" s="1"/>
  <c r="AQ525" i="12" a="1"/>
  <c r="AQ525" i="12" s="1"/>
  <c r="AQ546" i="12" a="1"/>
  <c r="AQ546" i="12" s="1"/>
  <c r="AT546" i="12" s="1" a="1"/>
  <c r="AT546" i="12" s="1"/>
  <c r="AP528" i="12" a="1"/>
  <c r="AP528" i="12" s="1"/>
  <c r="AQ272" i="12" a="1"/>
  <c r="AQ272" i="12" s="1"/>
  <c r="AO184" i="12" a="1"/>
  <c r="AO184" i="12" s="1"/>
  <c r="AQ179" i="12" a="1"/>
  <c r="AQ179" i="12" s="1"/>
  <c r="AK116" i="12"/>
  <c r="AS116" i="12" s="1"/>
  <c r="AK247" i="12"/>
  <c r="AS247" i="12" s="1"/>
  <c r="AP211" i="12" a="1"/>
  <c r="AP211" i="12" s="1"/>
  <c r="AT211" i="12" s="1" a="1"/>
  <c r="AT211" i="12" s="1"/>
  <c r="AO511" i="12" a="1"/>
  <c r="AO511" i="12" s="1"/>
  <c r="AQ394" i="12" a="1"/>
  <c r="AQ394" i="12" s="1"/>
  <c r="AP657" i="12" a="1"/>
  <c r="AP657" i="12" s="1"/>
  <c r="AQ692" i="12" a="1"/>
  <c r="AQ692" i="12" s="1"/>
  <c r="AO271" i="12" a="1"/>
  <c r="AO271" i="12" s="1"/>
  <c r="AO339" i="12" a="1"/>
  <c r="AO339" i="12" s="1"/>
  <c r="AO60" i="12" a="1"/>
  <c r="AO60" i="12" s="1"/>
  <c r="AT60" i="12" s="1" a="1"/>
  <c r="AT60" i="12" s="1"/>
  <c r="AP287" i="12" a="1"/>
  <c r="AP287" i="12" s="1"/>
  <c r="AP511" i="12" a="1"/>
  <c r="AP511" i="12" s="1"/>
  <c r="AQ621" i="12" a="1"/>
  <c r="AQ621" i="12" s="1"/>
  <c r="AQ3" i="12" a="1"/>
  <c r="AQ3" i="12" s="1"/>
  <c r="AK330" i="12"/>
  <c r="AS330" i="12" s="1"/>
  <c r="AP599" i="12" a="1"/>
  <c r="AP599" i="12" s="1"/>
  <c r="AO394" i="12" a="1"/>
  <c r="AO394" i="12" s="1"/>
  <c r="AO423" i="12" a="1"/>
  <c r="AO423" i="12" s="1"/>
  <c r="AQ353" i="12" a="1"/>
  <c r="AQ353" i="12" s="1"/>
  <c r="AO341" i="12" a="1"/>
  <c r="AO341" i="12" s="1"/>
  <c r="AQ657" i="12" a="1"/>
  <c r="AQ657" i="12" s="1"/>
  <c r="AQ231" i="12" a="1"/>
  <c r="AQ231" i="12" s="1"/>
  <c r="AO454" i="12" a="1"/>
  <c r="AO454" i="12" s="1"/>
  <c r="AO57" i="12" a="1"/>
  <c r="AO57" i="12" s="1"/>
  <c r="AK631" i="12"/>
  <c r="AS631" i="12" s="1"/>
  <c r="AP183" i="12" a="1"/>
  <c r="AP183" i="12" s="1"/>
  <c r="AK268" i="12"/>
  <c r="AS268" i="12" s="1"/>
  <c r="AO379" i="12" a="1"/>
  <c r="AO379" i="12" s="1"/>
  <c r="AQ328" i="12" a="1"/>
  <c r="AQ328" i="12" s="1"/>
  <c r="AQ159" i="12" a="1"/>
  <c r="AQ159" i="12" s="1"/>
  <c r="AP243" i="12" a="1"/>
  <c r="AP243" i="12" s="1"/>
  <c r="AQ138" i="12" a="1"/>
  <c r="AQ138" i="12" s="1"/>
  <c r="AP316" i="12" a="1"/>
  <c r="AP316" i="12" s="1"/>
  <c r="AT316" i="12" s="1" a="1"/>
  <c r="AT316" i="12" s="1"/>
  <c r="AP727" i="12" a="1"/>
  <c r="AP727" i="12" s="1"/>
  <c r="AP349" i="12" a="1"/>
  <c r="AP349" i="12" s="1"/>
  <c r="AO390" i="12" a="1"/>
  <c r="AO390" i="12" s="1"/>
  <c r="AQ225" i="12" a="1"/>
  <c r="AQ225" i="12" s="1"/>
  <c r="AQ254" i="12" a="1"/>
  <c r="AQ254" i="12" s="1"/>
  <c r="AP38" i="12" a="1"/>
  <c r="AP38" i="12" s="1"/>
  <c r="AP94" i="12" a="1"/>
  <c r="AP94" i="12" s="1"/>
  <c r="AK184" i="12"/>
  <c r="AS184" i="12" s="1"/>
  <c r="AP251" i="12" a="1"/>
  <c r="AP251" i="12" s="1"/>
  <c r="AQ470" i="12" a="1"/>
  <c r="AQ470" i="12" s="1"/>
  <c r="AK692" i="12"/>
  <c r="AS692" i="12" s="1"/>
  <c r="AK443" i="12"/>
  <c r="AS443" i="12" s="1"/>
  <c r="AO100" i="12" a="1"/>
  <c r="AO100" i="12" s="1"/>
  <c r="AP339" i="12" a="1"/>
  <c r="AP339" i="12" s="1"/>
  <c r="AQ60" i="12" a="1"/>
  <c r="AQ60" i="12" s="1"/>
  <c r="AO287" i="12" a="1"/>
  <c r="AO287" i="12" s="1"/>
  <c r="AK3" i="12"/>
  <c r="AS3" i="12" s="1"/>
  <c r="AO353" i="12" a="1"/>
  <c r="AO353" i="12" s="1"/>
  <c r="AP22" i="12" a="1"/>
  <c r="AP22" i="12" s="1"/>
  <c r="AK341" i="12"/>
  <c r="AS341" i="12" s="1"/>
  <c r="AO657" i="12" a="1"/>
  <c r="AO657" i="12" s="1"/>
  <c r="AP362" i="12" a="1"/>
  <c r="AP362" i="12" s="1"/>
  <c r="AK205" i="12"/>
  <c r="AS205" i="12" s="1"/>
  <c r="AO410" i="12" a="1"/>
  <c r="AO410" i="12" s="1"/>
  <c r="AK57" i="12"/>
  <c r="AS57" i="12" s="1"/>
  <c r="AK183" i="12"/>
  <c r="AS183" i="12" s="1"/>
  <c r="AQ268" i="12" a="1"/>
  <c r="AQ268" i="12" s="1"/>
  <c r="AO433" i="12" a="1"/>
  <c r="AO433" i="12" s="1"/>
  <c r="AP328" i="12" a="1"/>
  <c r="AP328" i="12" s="1"/>
  <c r="AQ317" i="12" a="1"/>
  <c r="AQ317" i="12" s="1"/>
  <c r="AO470" i="12" a="1"/>
  <c r="AO470" i="12" s="1"/>
  <c r="AQ635" i="12" a="1"/>
  <c r="AQ635" i="12" s="1"/>
  <c r="AQ119" i="12" a="1"/>
  <c r="AQ119" i="12" s="1"/>
  <c r="AP100" i="12" a="1"/>
  <c r="AP100" i="12" s="1"/>
  <c r="AO431" i="12" a="1"/>
  <c r="AO431" i="12" s="1"/>
  <c r="AQ556" i="12" a="1"/>
  <c r="AQ556" i="12" s="1"/>
  <c r="AK287" i="12"/>
  <c r="AS287" i="12" s="1"/>
  <c r="AP112" i="12" a="1"/>
  <c r="AP112" i="12" s="1"/>
  <c r="AK511" i="12"/>
  <c r="AS511" i="12" s="1"/>
  <c r="AO704" i="12" a="1"/>
  <c r="AO704" i="12" s="1"/>
  <c r="AK353" i="12"/>
  <c r="AS353" i="12" s="1"/>
  <c r="AQ22" i="12" a="1"/>
  <c r="AQ22" i="12" s="1"/>
  <c r="AK274" i="12"/>
  <c r="AS274" i="12" s="1"/>
  <c r="AK410" i="12"/>
  <c r="AS410" i="12" s="1"/>
  <c r="AO516" i="12" a="1"/>
  <c r="AO516" i="12" s="1"/>
  <c r="AO488" i="12" a="1"/>
  <c r="AO488" i="12" s="1"/>
  <c r="AP635" i="12" a="1"/>
  <c r="AP635" i="12" s="1"/>
  <c r="AQ672" i="12" a="1"/>
  <c r="AQ672" i="12" s="1"/>
  <c r="AO119" i="12" a="1"/>
  <c r="AO119" i="12" s="1"/>
  <c r="AK704" i="12"/>
  <c r="AS704" i="12" s="1"/>
  <c r="AP369" i="12" a="1"/>
  <c r="AP369" i="12" s="1"/>
  <c r="AK516" i="12"/>
  <c r="AS516" i="12" s="1"/>
  <c r="AO191" i="12" a="1"/>
  <c r="AO191" i="12" s="1"/>
  <c r="AQ422" i="12" a="1"/>
  <c r="AQ422" i="12" s="1"/>
  <c r="AQ173" i="12" a="1"/>
  <c r="AQ173" i="12" s="1"/>
  <c r="AQ228" i="12" a="1"/>
  <c r="AQ228" i="12" s="1"/>
  <c r="AQ145" i="12" a="1"/>
  <c r="AQ145" i="12" s="1"/>
  <c r="AO267" i="12" a="1"/>
  <c r="AO267" i="12" s="1"/>
  <c r="AQ10" i="12" a="1"/>
  <c r="AQ10" i="12" s="1"/>
  <c r="AO635" i="12" a="1"/>
  <c r="AO635" i="12" s="1"/>
  <c r="AO672" i="12" a="1"/>
  <c r="AO672" i="12" s="1"/>
  <c r="AK196" i="12"/>
  <c r="AS196" i="12" s="1"/>
  <c r="AP119" i="12" a="1"/>
  <c r="AP119" i="12" s="1"/>
  <c r="AP645" i="12" a="1"/>
  <c r="AP645" i="12" s="1"/>
  <c r="AO556" i="12" a="1"/>
  <c r="AO556" i="12" s="1"/>
  <c r="AK551" i="12"/>
  <c r="AS551" i="12" s="1"/>
  <c r="AQ704" i="12" a="1"/>
  <c r="AQ704" i="12" s="1"/>
  <c r="AQ369" i="12" a="1"/>
  <c r="AQ369" i="12" s="1"/>
  <c r="AP139" i="12" a="1"/>
  <c r="AP139" i="12" s="1"/>
  <c r="AQ516" i="12" a="1"/>
  <c r="AQ516" i="12" s="1"/>
  <c r="AP191" i="12" a="1"/>
  <c r="AP191" i="12" s="1"/>
  <c r="AQ75" i="12" a="1"/>
  <c r="AQ75" i="12" s="1"/>
  <c r="AP474" i="12" a="1"/>
  <c r="AP474" i="12" s="1"/>
  <c r="AK716" i="12"/>
  <c r="AS716" i="12" s="1"/>
  <c r="AT716" i="12" s="1" a="1"/>
  <c r="AT716" i="12" s="1"/>
  <c r="AO422" i="12" a="1"/>
  <c r="AO422" i="12" s="1"/>
  <c r="AK441" i="12"/>
  <c r="AS441" i="12" s="1"/>
  <c r="AO421" i="12" a="1"/>
  <c r="AO421" i="12" s="1"/>
  <c r="AO173" i="12" a="1"/>
  <c r="AO173" i="12" s="1"/>
  <c r="AO8" i="12" a="1"/>
  <c r="AO8" i="12" s="1"/>
  <c r="AK592" i="12"/>
  <c r="AS592" i="12" s="1"/>
  <c r="AQ311" i="12" a="1"/>
  <c r="AQ311" i="12" s="1"/>
  <c r="AP228" i="12" a="1"/>
  <c r="AP228" i="12" s="1"/>
  <c r="AK145" i="12"/>
  <c r="AS145" i="12" s="1"/>
  <c r="AQ267" i="12" a="1"/>
  <c r="AQ267" i="12" s="1"/>
  <c r="AP109" i="12" a="1"/>
  <c r="AP109" i="12" s="1"/>
  <c r="AK629" i="12"/>
  <c r="AS629" i="12" s="1"/>
  <c r="AT629" i="12" s="1" a="1"/>
  <c r="AT629" i="12" s="1"/>
  <c r="AP568" i="12" a="1"/>
  <c r="AP568" i="12" s="1"/>
  <c r="AO10" i="12" a="1"/>
  <c r="AO10" i="12" s="1"/>
  <c r="AP672" i="12" a="1"/>
  <c r="AP672" i="12" s="1"/>
  <c r="AO527" i="12" a="1"/>
  <c r="AO527" i="12" s="1"/>
  <c r="AQ649" i="12" a="1"/>
  <c r="AQ649" i="12" s="1"/>
  <c r="AQ16" i="12" a="1"/>
  <c r="AQ16" i="12" s="1"/>
  <c r="AQ139" i="12" a="1"/>
  <c r="AQ139" i="12" s="1"/>
  <c r="AP725" i="12" a="1"/>
  <c r="AP725" i="12" s="1"/>
  <c r="AP39" i="12" a="1"/>
  <c r="AP39" i="12" s="1"/>
  <c r="AP486" i="12" a="1"/>
  <c r="AP486" i="12" s="1"/>
  <c r="AP421" i="12" a="1"/>
  <c r="AP421" i="12" s="1"/>
  <c r="AQ8" i="12" a="1"/>
  <c r="AQ8" i="12" s="1"/>
  <c r="AP440" i="12" a="1"/>
  <c r="AP440" i="12" s="1"/>
  <c r="AK249" i="12"/>
  <c r="AS249" i="12" s="1"/>
  <c r="AK228" i="12"/>
  <c r="AS228" i="12" s="1"/>
  <c r="AK109" i="12"/>
  <c r="AS109" i="12" s="1"/>
  <c r="AQ203" i="12" a="1"/>
  <c r="AQ203" i="12" s="1"/>
  <c r="AQ703" i="12" a="1"/>
  <c r="AQ703" i="12" s="1"/>
  <c r="AT204" i="12" a="1"/>
  <c r="AT204" i="12" s="1"/>
  <c r="AT664" i="12" a="1"/>
  <c r="AT664" i="12" s="1"/>
  <c r="AT419" i="12" a="1"/>
  <c r="AT419" i="12" s="1"/>
  <c r="AT285" i="12" a="1"/>
  <c r="AT285" i="12" s="1"/>
  <c r="AT435" i="12" a="1"/>
  <c r="AT435" i="12" s="1"/>
  <c r="AT344" i="12" a="1"/>
  <c r="AT344" i="12" s="1"/>
  <c r="AT122" i="12" a="1"/>
  <c r="AT122" i="12" s="1"/>
  <c r="AT269" i="12" a="1"/>
  <c r="AT269" i="12" s="1"/>
  <c r="AT181" i="12" a="1"/>
  <c r="AT181" i="12" s="1"/>
  <c r="AT552" i="12" a="1"/>
  <c r="AT552" i="12" s="1"/>
  <c r="AT610" i="12" a="1"/>
  <c r="AT610" i="12" s="1"/>
  <c r="AT2" i="12" a="1"/>
  <c r="AT2" i="12" s="1"/>
  <c r="AT320" i="12" a="1"/>
  <c r="AT320" i="12" s="1"/>
  <c r="AT678" i="12" a="1"/>
  <c r="AT678" i="12" s="1"/>
  <c r="AT375" i="12" a="1"/>
  <c r="AT375" i="12" s="1"/>
  <c r="AT207" i="12" a="1"/>
  <c r="AT207" i="12" s="1"/>
  <c r="AT530" i="12" a="1"/>
  <c r="AT530" i="12" s="1"/>
  <c r="AT463" i="12" a="1"/>
  <c r="AT463" i="12" s="1"/>
  <c r="AT646" i="12" a="1"/>
  <c r="AT646" i="12" s="1"/>
  <c r="AT62" i="12" a="1"/>
  <c r="AT62" i="12" s="1"/>
  <c r="AT240" i="12" a="1"/>
  <c r="AT240" i="12" s="1"/>
  <c r="AT24" i="12" a="1"/>
  <c r="AT24" i="12" s="1"/>
  <c r="AP559" i="12" a="1"/>
  <c r="AP559" i="12" s="1"/>
  <c r="AP67" i="12" a="1"/>
  <c r="AP67" i="12" s="1"/>
  <c r="AT315" i="12" a="1"/>
  <c r="AT315" i="12" s="1"/>
  <c r="AQ227" i="12" a="1"/>
  <c r="AQ227" i="12" s="1"/>
  <c r="AT227" i="12" s="1" a="1"/>
  <c r="AT227" i="12" s="1"/>
  <c r="AQ688" i="12" a="1"/>
  <c r="AQ688" i="12" s="1"/>
  <c r="AT149" i="12" a="1"/>
  <c r="AT149" i="12" s="1"/>
  <c r="AP198" i="12" a="1"/>
  <c r="AP198" i="12" s="1"/>
  <c r="AO227" i="12" a="1"/>
  <c r="AO227" i="12" s="1"/>
  <c r="AP56" i="12" a="1"/>
  <c r="AP56" i="12" s="1"/>
  <c r="AQ632" i="12" a="1"/>
  <c r="AQ632" i="12" s="1"/>
  <c r="AP84" i="12" a="1"/>
  <c r="AP84" i="12" s="1"/>
  <c r="AO688" i="12" a="1"/>
  <c r="AO688" i="12" s="1"/>
  <c r="AP695" i="12" a="1"/>
  <c r="AP695" i="12" s="1"/>
  <c r="AQ170" i="12" a="1"/>
  <c r="AQ170" i="12" s="1"/>
  <c r="AT170" i="12" s="1" a="1"/>
  <c r="AT170" i="12" s="1"/>
  <c r="AP192" i="12" a="1"/>
  <c r="AP192" i="12" s="1"/>
  <c r="AT18" i="12" a="1"/>
  <c r="AT18" i="12" s="1"/>
  <c r="AO198" i="12" a="1"/>
  <c r="AO198" i="12" s="1"/>
  <c r="AO248" i="12" a="1"/>
  <c r="AO248" i="12" s="1"/>
  <c r="AT248" i="12" s="1" a="1"/>
  <c r="AT248" i="12" s="1"/>
  <c r="AQ648" i="12" a="1"/>
  <c r="AQ648" i="12" s="1"/>
  <c r="AO588" i="12" a="1"/>
  <c r="AO588" i="12" s="1"/>
  <c r="AT588" i="12" s="1" a="1"/>
  <c r="AT588" i="12" s="1"/>
  <c r="AO67" i="12" a="1"/>
  <c r="AO67" i="12" s="1"/>
  <c r="AP480" i="12" a="1"/>
  <c r="AP480" i="12" s="1"/>
  <c r="AT480" i="12" s="1" a="1"/>
  <c r="AT480" i="12" s="1"/>
  <c r="AP604" i="12" a="1"/>
  <c r="AP604" i="12" s="1"/>
  <c r="AQ87" i="12" a="1"/>
  <c r="AQ87" i="12" s="1"/>
  <c r="AP348" i="12" a="1"/>
  <c r="AP348" i="12" s="1"/>
  <c r="AO521" i="12" a="1"/>
  <c r="AO521" i="12" s="1"/>
  <c r="AK644" i="12"/>
  <c r="AS644" i="12" s="1"/>
  <c r="AK70" i="12"/>
  <c r="AS70" i="12" s="1"/>
  <c r="AO337" i="12" a="1"/>
  <c r="AO337" i="12" s="1"/>
  <c r="AQ72" i="12" a="1"/>
  <c r="AQ72" i="12" s="1"/>
  <c r="AT72" i="12" s="1" a="1"/>
  <c r="AT72" i="12" s="1"/>
  <c r="AO219" i="12" a="1"/>
  <c r="AO219" i="12" s="1"/>
  <c r="AT219" i="12" s="1" a="1"/>
  <c r="AT219" i="12" s="1"/>
  <c r="AK250" i="12"/>
  <c r="AS250" i="12" s="1"/>
  <c r="AT250" i="12" s="1" a="1"/>
  <c r="AT250" i="12" s="1"/>
  <c r="AQ361" i="12" a="1"/>
  <c r="AQ361" i="12" s="1"/>
  <c r="AO709" i="12" a="1"/>
  <c r="AO709" i="12" s="1"/>
  <c r="AO153" i="12" a="1"/>
  <c r="AO153" i="12" s="1"/>
  <c r="AQ548" i="12" a="1"/>
  <c r="AQ548" i="12" s="1"/>
  <c r="AO156" i="12" a="1"/>
  <c r="AO156" i="12" s="1"/>
  <c r="AQ547" i="12" a="1"/>
  <c r="AQ547" i="12" s="1"/>
  <c r="AP590" i="12" a="1"/>
  <c r="AP590" i="12" s="1"/>
  <c r="AQ659" i="12" a="1"/>
  <c r="AQ659" i="12" s="1"/>
  <c r="AT174" i="12" a="1"/>
  <c r="AT174" i="12" s="1"/>
  <c r="AO333" i="12" a="1"/>
  <c r="AO333" i="12" s="1"/>
  <c r="AT333" i="12" s="1" a="1"/>
  <c r="AT333" i="12" s="1"/>
  <c r="AP429" i="12" a="1"/>
  <c r="AP429" i="12" s="1"/>
  <c r="AP691" i="12" a="1"/>
  <c r="AP691" i="12" s="1"/>
  <c r="AQ124" i="12" a="1"/>
  <c r="AQ124" i="12" s="1"/>
  <c r="AQ673" i="12" a="1"/>
  <c r="AQ673" i="12" s="1"/>
  <c r="AT673" i="12" s="1" a="1"/>
  <c r="AT673" i="12" s="1"/>
  <c r="AT654" i="12" a="1"/>
  <c r="AT654" i="12" s="1"/>
  <c r="AO35" i="12" a="1"/>
  <c r="AO35" i="12" s="1"/>
  <c r="AO147" i="12" a="1"/>
  <c r="AO147" i="12" s="1"/>
  <c r="AQ147" i="12" a="1"/>
  <c r="AQ147" i="12" s="1"/>
  <c r="AP312" i="12" a="1"/>
  <c r="AP312" i="12" s="1"/>
  <c r="AQ312" i="12" a="1"/>
  <c r="AQ312" i="12" s="1"/>
  <c r="AO168" i="12" a="1"/>
  <c r="AO168" i="12" s="1"/>
  <c r="AK111" i="12"/>
  <c r="AS111" i="12" s="1"/>
  <c r="AK351" i="12"/>
  <c r="AS351" i="12" s="1"/>
  <c r="AP351" i="12" a="1"/>
  <c r="AP351" i="12" s="1"/>
  <c r="AQ351" i="12" a="1"/>
  <c r="AQ351" i="12" s="1"/>
  <c r="AP688" i="12" a="1"/>
  <c r="AP688" i="12" s="1"/>
  <c r="AK559" i="12"/>
  <c r="AS559" i="12" s="1"/>
  <c r="AO56" i="12" a="1"/>
  <c r="AO56" i="12" s="1"/>
  <c r="AO632" i="12" a="1"/>
  <c r="AO632" i="12" s="1"/>
  <c r="AQ84" i="12" a="1"/>
  <c r="AQ84" i="12" s="1"/>
  <c r="AO695" i="12" a="1"/>
  <c r="AO695" i="12" s="1"/>
  <c r="AP170" i="12" a="1"/>
  <c r="AP170" i="12" s="1"/>
  <c r="AK648" i="12"/>
  <c r="AS648" i="12" s="1"/>
  <c r="AK67" i="12"/>
  <c r="AS67" i="12" s="1"/>
  <c r="AK604" i="12"/>
  <c r="AS604" i="12" s="1"/>
  <c r="AO87" i="12" a="1"/>
  <c r="AO87" i="12" s="1"/>
  <c r="AK348" i="12"/>
  <c r="AS348" i="12" s="1"/>
  <c r="AP521" i="12" a="1"/>
  <c r="AP521" i="12" s="1"/>
  <c r="AO324" i="12" a="1"/>
  <c r="AO324" i="12" s="1"/>
  <c r="AT324" i="12" s="1" a="1"/>
  <c r="AT324" i="12" s="1"/>
  <c r="AP300" i="12" a="1"/>
  <c r="AP300" i="12" s="1"/>
  <c r="AT300" i="12" s="1" a="1"/>
  <c r="AT300" i="12" s="1"/>
  <c r="AQ644" i="12" a="1"/>
  <c r="AQ644" i="12" s="1"/>
  <c r="AP70" i="12" a="1"/>
  <c r="AP70" i="12" s="1"/>
  <c r="AQ337" i="12" a="1"/>
  <c r="AQ337" i="12" s="1"/>
  <c r="AP72" i="12" a="1"/>
  <c r="AP72" i="12" s="1"/>
  <c r="AQ572" i="12" a="1"/>
  <c r="AQ572" i="12" s="1"/>
  <c r="AK361" i="12"/>
  <c r="AS361" i="12" s="1"/>
  <c r="AP709" i="12" a="1"/>
  <c r="AP709" i="12" s="1"/>
  <c r="AQ308" i="12" a="1"/>
  <c r="AQ308" i="12" s="1"/>
  <c r="AT308" i="12" s="1" a="1"/>
  <c r="AT308" i="12" s="1"/>
  <c r="AK153" i="12"/>
  <c r="AS153" i="12" s="1"/>
  <c r="AK548" i="12"/>
  <c r="AS548" i="12" s="1"/>
  <c r="AO598" i="12" a="1"/>
  <c r="AO598" i="12" s="1"/>
  <c r="AT598" i="12" s="1" a="1"/>
  <c r="AT598" i="12" s="1"/>
  <c r="AK547" i="12"/>
  <c r="AS547" i="12" s="1"/>
  <c r="AQ590" i="12" a="1"/>
  <c r="AQ590" i="12" s="1"/>
  <c r="AQ625" i="12" a="1"/>
  <c r="AQ625" i="12" s="1"/>
  <c r="AT625" i="12" s="1" a="1"/>
  <c r="AT625" i="12" s="1"/>
  <c r="AO331" i="12" a="1"/>
  <c r="AO331" i="12" s="1"/>
  <c r="AT331" i="12" s="1" a="1"/>
  <c r="AT331" i="12" s="1"/>
  <c r="AO402" i="12" a="1"/>
  <c r="AO402" i="12" s="1"/>
  <c r="AT402" i="12" s="1" a="1"/>
  <c r="AT402" i="12" s="1"/>
  <c r="AQ694" i="12" a="1"/>
  <c r="AQ694" i="12" s="1"/>
  <c r="AT694" i="12" s="1" a="1"/>
  <c r="AT694" i="12" s="1"/>
  <c r="AO246" i="12" a="1"/>
  <c r="AO246" i="12" s="1"/>
  <c r="AO524" i="12" a="1"/>
  <c r="AO524" i="12" s="1"/>
  <c r="AT524" i="12" s="1" a="1"/>
  <c r="AT524" i="12" s="1"/>
  <c r="AO605" i="12" a="1"/>
  <c r="AO605" i="12" s="1"/>
  <c r="AT605" i="12" s="1" a="1"/>
  <c r="AT605" i="12" s="1"/>
  <c r="AK469" i="12"/>
  <c r="AS469" i="12" s="1"/>
  <c r="AT469" i="12" s="1" a="1"/>
  <c r="AT469" i="12" s="1"/>
  <c r="AK429" i="12"/>
  <c r="AS429" i="12" s="1"/>
  <c r="AO691" i="12" a="1"/>
  <c r="AO691" i="12" s="1"/>
  <c r="AO124" i="12" a="1"/>
  <c r="AO124" i="12" s="1"/>
  <c r="AK721" i="12"/>
  <c r="AS721" i="12" s="1"/>
  <c r="AP721" i="12" a="1"/>
  <c r="AP721" i="12" s="1"/>
  <c r="AP292" i="12" a="1"/>
  <c r="AP292" i="12" s="1"/>
  <c r="AK299" i="12"/>
  <c r="AS299" i="12" s="1"/>
  <c r="AO299" i="12" a="1"/>
  <c r="AO299" i="12" s="1"/>
  <c r="AP87" i="12" a="1"/>
  <c r="AP87" i="12" s="1"/>
  <c r="AQ521" i="12" a="1"/>
  <c r="AQ521" i="12" s="1"/>
  <c r="AT580" i="12" a="1"/>
  <c r="AT580" i="12" s="1"/>
  <c r="AO70" i="12" a="1"/>
  <c r="AO70" i="12" s="1"/>
  <c r="AO72" i="12" a="1"/>
  <c r="AO72" i="12" s="1"/>
  <c r="AO361" i="12" a="1"/>
  <c r="AO361" i="12" s="1"/>
  <c r="AT531" i="12" a="1"/>
  <c r="AT531" i="12" s="1"/>
  <c r="AQ429" i="12" a="1"/>
  <c r="AQ429" i="12" s="1"/>
  <c r="AK168" i="12"/>
  <c r="AS168" i="12" s="1"/>
  <c r="AP168" i="12" a="1"/>
  <c r="AP168" i="12" s="1"/>
  <c r="AT136" i="12" a="1"/>
  <c r="AT136" i="12" s="1"/>
  <c r="AT246" i="12" a="1"/>
  <c r="AT246" i="12" s="1"/>
  <c r="AK35" i="12"/>
  <c r="AS35" i="12" s="1"/>
  <c r="AQ35" i="12" a="1"/>
  <c r="AQ35" i="12" s="1"/>
  <c r="AO292" i="12" a="1"/>
  <c r="AO292" i="12" s="1"/>
  <c r="AQ292" i="12" a="1"/>
  <c r="AQ292" i="12" s="1"/>
  <c r="AO393" i="12" a="1"/>
  <c r="AO393" i="12" s="1"/>
  <c r="AQ393" i="12" a="1"/>
  <c r="AQ393" i="12" s="1"/>
  <c r="AK393" i="12"/>
  <c r="AS393" i="12" s="1"/>
  <c r="AP393" i="12" a="1"/>
  <c r="AP393" i="12" s="1"/>
  <c r="AQ663" i="12" a="1"/>
  <c r="AQ663" i="12" s="1"/>
  <c r="AT663" i="12" s="1" a="1"/>
  <c r="AT663" i="12" s="1"/>
  <c r="AQ722" i="12" a="1"/>
  <c r="AQ722" i="12" s="1"/>
  <c r="AT722" i="12" s="1" a="1"/>
  <c r="AT722" i="12" s="1"/>
  <c r="AP189" i="12" a="1"/>
  <c r="AP189" i="12" s="1"/>
  <c r="AT613" i="12" a="1"/>
  <c r="AT613" i="12" s="1"/>
  <c r="AP719" i="12" a="1"/>
  <c r="AP719" i="12" s="1"/>
  <c r="AQ420" i="12" a="1"/>
  <c r="AQ420" i="12" s="1"/>
  <c r="AO350" i="12" a="1"/>
  <c r="AO350" i="12" s="1"/>
  <c r="AP585" i="12" a="1"/>
  <c r="AP585" i="12" s="1"/>
  <c r="AQ404" i="12" a="1"/>
  <c r="AQ404" i="12" s="1"/>
  <c r="AQ93" i="12" a="1"/>
  <c r="AQ93" i="12" s="1"/>
  <c r="AT93" i="12" s="1" a="1"/>
  <c r="AT93" i="12" s="1"/>
  <c r="AO620" i="12" a="1"/>
  <c r="AO620" i="12" s="1"/>
  <c r="AK289" i="12"/>
  <c r="AS289" i="12" s="1"/>
  <c r="AO289" i="12" a="1"/>
  <c r="AO289" i="12" s="1"/>
  <c r="AK282" i="12"/>
  <c r="AS282" i="12" s="1"/>
  <c r="AT282" i="12" s="1" a="1"/>
  <c r="AT282" i="12" s="1"/>
  <c r="AO281" i="12" a="1"/>
  <c r="AO281" i="12" s="1"/>
  <c r="AQ34" i="12" a="1"/>
  <c r="AQ34" i="12" s="1"/>
  <c r="AP34" i="12" a="1"/>
  <c r="AP34" i="12" s="1"/>
  <c r="AP653" i="12" a="1"/>
  <c r="AP653" i="12" s="1"/>
  <c r="AQ653" i="12" a="1"/>
  <c r="AQ653" i="12" s="1"/>
  <c r="AQ245" i="12" a="1"/>
  <c r="AQ245" i="12" s="1"/>
  <c r="AP245" i="12" a="1"/>
  <c r="AP245" i="12" s="1"/>
  <c r="AT100" i="12" a="1"/>
  <c r="AT100" i="12" s="1"/>
  <c r="AK444" i="12"/>
  <c r="AS444" i="12" s="1"/>
  <c r="AP444" i="12" a="1"/>
  <c r="AP444" i="12" s="1"/>
  <c r="AO444" i="12" a="1"/>
  <c r="AO444" i="12" s="1"/>
  <c r="AK655" i="12"/>
  <c r="AS655" i="12" s="1"/>
  <c r="AO655" i="12" a="1"/>
  <c r="AO655" i="12" s="1"/>
  <c r="AP655" i="12" a="1"/>
  <c r="AP655" i="12" s="1"/>
  <c r="AT617" i="12" a="1"/>
  <c r="AT617" i="12" s="1"/>
  <c r="AT405" i="12" a="1"/>
  <c r="AT405" i="12" s="1"/>
  <c r="AQ189" i="12" a="1"/>
  <c r="AQ189" i="12" s="1"/>
  <c r="AT426" i="12" a="1"/>
  <c r="AT426" i="12" s="1"/>
  <c r="AK719" i="12"/>
  <c r="AS719" i="12" s="1"/>
  <c r="AO420" i="12" a="1"/>
  <c r="AO420" i="12" s="1"/>
  <c r="AT681" i="12" a="1"/>
  <c r="AT681" i="12" s="1"/>
  <c r="AP350" i="12" a="1"/>
  <c r="AP350" i="12" s="1"/>
  <c r="AT622" i="12" a="1"/>
  <c r="AT622" i="12" s="1"/>
  <c r="AQ585" i="12" a="1"/>
  <c r="AQ585" i="12" s="1"/>
  <c r="AO404" i="12" a="1"/>
  <c r="AO404" i="12" s="1"/>
  <c r="AP620" i="12" a="1"/>
  <c r="AP620" i="12" s="1"/>
  <c r="AT620" i="12" s="1" a="1"/>
  <c r="AT620" i="12" s="1"/>
  <c r="AO197" i="12" a="1"/>
  <c r="AO197" i="12" s="1"/>
  <c r="AQ134" i="12" a="1"/>
  <c r="AQ134" i="12" s="1"/>
  <c r="AT20" i="12" a="1"/>
  <c r="AT20" i="12" s="1"/>
  <c r="AT214" i="12" a="1"/>
  <c r="AT214" i="12" s="1"/>
  <c r="AT680" i="12" a="1"/>
  <c r="AT680" i="12" s="1"/>
  <c r="AQ226" i="12" a="1"/>
  <c r="AQ226" i="12" s="1"/>
  <c r="AO226" i="12" a="1"/>
  <c r="AO226" i="12" s="1"/>
  <c r="AP522" i="12" a="1"/>
  <c r="AP522" i="12" s="1"/>
  <c r="AK522" i="12"/>
  <c r="AS522" i="12" s="1"/>
  <c r="AT229" i="12" a="1"/>
  <c r="AT229" i="12" s="1"/>
  <c r="AT608" i="12" a="1"/>
  <c r="AT608" i="12" s="1"/>
  <c r="AT340" i="12" a="1"/>
  <c r="AT340" i="12" s="1"/>
  <c r="AT432" i="12" a="1"/>
  <c r="AT432" i="12" s="1"/>
  <c r="AT97" i="12" a="1"/>
  <c r="AT97" i="12" s="1"/>
  <c r="AQ719" i="12" a="1"/>
  <c r="AQ719" i="12" s="1"/>
  <c r="AP404" i="12" a="1"/>
  <c r="AP404" i="12" s="1"/>
  <c r="AQ620" i="12" a="1"/>
  <c r="AQ620" i="12" s="1"/>
  <c r="AO134" i="12" a="1"/>
  <c r="AO134" i="12" s="1"/>
  <c r="AO415" i="12" a="1"/>
  <c r="AO415" i="12" s="1"/>
  <c r="AT415" i="12" s="1" a="1"/>
  <c r="AT415" i="12" s="1"/>
  <c r="AT562" i="12" a="1"/>
  <c r="AT562" i="12" s="1"/>
  <c r="AK281" i="12"/>
  <c r="AS281" i="12" s="1"/>
  <c r="AT720" i="12" a="1"/>
  <c r="AT720" i="12" s="1"/>
  <c r="AT623" i="12" a="1"/>
  <c r="AT623" i="12" s="1"/>
  <c r="AP257" i="12" a="1"/>
  <c r="AP257" i="12" s="1"/>
  <c r="AK257" i="12"/>
  <c r="AS257" i="12" s="1"/>
  <c r="AO257" i="12" a="1"/>
  <c r="AO257" i="12" s="1"/>
  <c r="AT185" i="12" a="1"/>
  <c r="AT185" i="12" s="1"/>
  <c r="AP618" i="12" a="1"/>
  <c r="AP618" i="12" s="1"/>
  <c r="AT297" i="12" a="1"/>
  <c r="AT297" i="12" s="1"/>
  <c r="AT77" i="12" a="1"/>
  <c r="AT77" i="12" s="1"/>
  <c r="AK197" i="12"/>
  <c r="AS197" i="12" s="1"/>
  <c r="AP197" i="12" a="1"/>
  <c r="AP197" i="12" s="1"/>
  <c r="AK134" i="12"/>
  <c r="AS134" i="12" s="1"/>
  <c r="AT609" i="12" a="1"/>
  <c r="AT609" i="12" s="1"/>
  <c r="AK383" i="12"/>
  <c r="AS383" i="12" s="1"/>
  <c r="AP383" i="12" a="1"/>
  <c r="AP383" i="12" s="1"/>
  <c r="AK389" i="12"/>
  <c r="AS389" i="12" s="1"/>
  <c r="AP389" i="12" a="1"/>
  <c r="AP389" i="12" s="1"/>
  <c r="AO389" i="12" a="1"/>
  <c r="AO389" i="12" s="1"/>
  <c r="AQ389" i="12" a="1"/>
  <c r="AQ389" i="12" s="1"/>
  <c r="AT687" i="12" a="1"/>
  <c r="AT687" i="12" s="1"/>
  <c r="AO335" i="12" a="1"/>
  <c r="AO335" i="12" s="1"/>
  <c r="AO201" i="12" a="1"/>
  <c r="AO201" i="12" s="1"/>
  <c r="AK538" i="12"/>
  <c r="AS538" i="12" s="1"/>
  <c r="AO76" i="12" a="1"/>
  <c r="AO76" i="12" s="1"/>
  <c r="AP416" i="12" a="1"/>
  <c r="AP416" i="12" s="1"/>
  <c r="AK416" i="12"/>
  <c r="AS416" i="12" s="1"/>
  <c r="AT689" i="12" a="1"/>
  <c r="AT689" i="12" s="1"/>
  <c r="AT279" i="12" a="1"/>
  <c r="AT279" i="12" s="1"/>
  <c r="AA72" i="12"/>
  <c r="AB72" i="12" s="1"/>
  <c r="AK431" i="12"/>
  <c r="AS431" i="12" s="1"/>
  <c r="AT431" i="12" s="1" a="1"/>
  <c r="AT431" i="12" s="1"/>
  <c r="AK55" i="12"/>
  <c r="AS55" i="12" s="1"/>
  <c r="AQ55" i="12" a="1"/>
  <c r="AQ55" i="12" s="1"/>
  <c r="AP55" i="12" a="1"/>
  <c r="AP55" i="12" s="1"/>
  <c r="AT640" i="12" a="1"/>
  <c r="AT640" i="12" s="1"/>
  <c r="AO718" i="12" a="1"/>
  <c r="AO718" i="12" s="1"/>
  <c r="AO618" i="12" a="1"/>
  <c r="AO618" i="12" s="1"/>
  <c r="AT485" i="12" a="1"/>
  <c r="AT485" i="12" s="1"/>
  <c r="AT363" i="12" a="1"/>
  <c r="AT363" i="12" s="1"/>
  <c r="AQ618" i="12" a="1"/>
  <c r="AQ618" i="12" s="1"/>
  <c r="AP194" i="12" a="1"/>
  <c r="AP194" i="12" s="1"/>
  <c r="AO275" i="12" a="1"/>
  <c r="AO275" i="12" s="1"/>
  <c r="AP335" i="12" a="1"/>
  <c r="AP335" i="12" s="1"/>
  <c r="AO566" i="12" a="1"/>
  <c r="AO566" i="12" s="1"/>
  <c r="AQ718" i="12" a="1"/>
  <c r="AQ718" i="12" s="1"/>
  <c r="AP567" i="12" a="1"/>
  <c r="AP567" i="12" s="1"/>
  <c r="AO577" i="12" a="1"/>
  <c r="AO577" i="12" s="1"/>
  <c r="AQ223" i="12" a="1"/>
  <c r="AQ223" i="12" s="1"/>
  <c r="AT90" i="12" a="1"/>
  <c r="AT90" i="12" s="1"/>
  <c r="AQ579" i="12" a="1"/>
  <c r="AQ579" i="12" s="1"/>
  <c r="AQ201" i="12" a="1"/>
  <c r="AQ201" i="12" s="1"/>
  <c r="AQ44" i="12" a="1"/>
  <c r="AQ44" i="12" s="1"/>
  <c r="AO477" i="12" a="1"/>
  <c r="AO477" i="12" s="1"/>
  <c r="AO518" i="12" a="1"/>
  <c r="AO518" i="12" s="1"/>
  <c r="AT518" i="12" s="1" a="1"/>
  <c r="AT518" i="12" s="1"/>
  <c r="AQ538" i="12" a="1"/>
  <c r="AQ538" i="12" s="1"/>
  <c r="AP553" i="12" a="1"/>
  <c r="AP553" i="12" s="1"/>
  <c r="AT342" i="12" a="1"/>
  <c r="AT342" i="12" s="1"/>
  <c r="AO110" i="12" a="1"/>
  <c r="AO110" i="12" s="1"/>
  <c r="AP377" i="12" a="1"/>
  <c r="AP377" i="12" s="1"/>
  <c r="AQ523" i="12" a="1"/>
  <c r="AQ523" i="12" s="1"/>
  <c r="AP234" i="12" a="1"/>
  <c r="AP234" i="12" s="1"/>
  <c r="AQ302" i="12" a="1"/>
  <c r="AQ302" i="12" s="1"/>
  <c r="AK501" i="12"/>
  <c r="AS501" i="12" s="1"/>
  <c r="AT501" i="12" s="1" a="1"/>
  <c r="AT501" i="12" s="1"/>
  <c r="AO396" i="12" a="1"/>
  <c r="AO396" i="12" s="1"/>
  <c r="AO117" i="12" a="1"/>
  <c r="AO117" i="12" s="1"/>
  <c r="AT401" i="12" a="1"/>
  <c r="AT401" i="12" s="1"/>
  <c r="AT29" i="12" a="1"/>
  <c r="AT29" i="12" s="1"/>
  <c r="AQ76" i="12" a="1"/>
  <c r="AQ76" i="12" s="1"/>
  <c r="AQ658" i="12" a="1"/>
  <c r="AQ658" i="12" s="1"/>
  <c r="AT658" i="12" s="1" a="1"/>
  <c r="AT658" i="12" s="1"/>
  <c r="AP658" i="12" a="1"/>
  <c r="AP658" i="12" s="1"/>
  <c r="AT101" i="12" a="1"/>
  <c r="AT101" i="12" s="1"/>
  <c r="AQ336" i="12" a="1"/>
  <c r="AQ336" i="12" s="1"/>
  <c r="AK42" i="12"/>
  <c r="AS42" i="12" s="1"/>
  <c r="AT42" i="12" s="1" a="1"/>
  <c r="AT42" i="12" s="1"/>
  <c r="AP42" i="12" a="1"/>
  <c r="AP42" i="12" s="1"/>
  <c r="AK253" i="12"/>
  <c r="AS253" i="12" s="1"/>
  <c r="AP253" i="12" a="1"/>
  <c r="AP253" i="12" s="1"/>
  <c r="AT596" i="12" a="1"/>
  <c r="AT596" i="12" s="1"/>
  <c r="AO497" i="12" a="1"/>
  <c r="AO497" i="12" s="1"/>
  <c r="AT152" i="12" a="1"/>
  <c r="AT152" i="12" s="1"/>
  <c r="AT494" i="12" a="1"/>
  <c r="AT494" i="12" s="1"/>
  <c r="AT192" i="12" a="1"/>
  <c r="AT192" i="12" s="1"/>
  <c r="AT260" i="12" a="1"/>
  <c r="AT260" i="12" s="1"/>
  <c r="AT686" i="12" a="1"/>
  <c r="AT686" i="12" s="1"/>
  <c r="AP718" i="12" a="1"/>
  <c r="AP718" i="12" s="1"/>
  <c r="AT368" i="12" a="1"/>
  <c r="AT368" i="12" s="1"/>
  <c r="AT277" i="12" a="1"/>
  <c r="AT277" i="12" s="1"/>
  <c r="AQ577" i="12" a="1"/>
  <c r="AQ577" i="12" s="1"/>
  <c r="AQ275" i="12" a="1"/>
  <c r="AQ275" i="12" s="1"/>
  <c r="AQ335" i="12" a="1"/>
  <c r="AQ335" i="12" s="1"/>
  <c r="AQ567" i="12" a="1"/>
  <c r="AQ567" i="12" s="1"/>
  <c r="AK577" i="12"/>
  <c r="AS577" i="12" s="1"/>
  <c r="AO637" i="12" a="1"/>
  <c r="AO637" i="12" s="1"/>
  <c r="AO223" i="12" a="1"/>
  <c r="AO223" i="12" s="1"/>
  <c r="AQ537" i="12" a="1"/>
  <c r="AQ537" i="12" s="1"/>
  <c r="AP579" i="12" a="1"/>
  <c r="AP579" i="12" s="1"/>
  <c r="AQ597" i="12" a="1"/>
  <c r="AQ597" i="12" s="1"/>
  <c r="AP201" i="12" a="1"/>
  <c r="AP201" i="12" s="1"/>
  <c r="AP661" i="12" a="1"/>
  <c r="AP661" i="12" s="1"/>
  <c r="AT661" i="12" s="1" a="1"/>
  <c r="AT661" i="12" s="1"/>
  <c r="AT343" i="12" a="1"/>
  <c r="AT343" i="12" s="1"/>
  <c r="AP44" i="12" a="1"/>
  <c r="AP44" i="12" s="1"/>
  <c r="AO373" i="12" a="1"/>
  <c r="AO373" i="12" s="1"/>
  <c r="AT373" i="12" s="1" a="1"/>
  <c r="AT373" i="12" s="1"/>
  <c r="AT513" i="12" a="1"/>
  <c r="AT513" i="12" s="1"/>
  <c r="AP477" i="12" a="1"/>
  <c r="AP477" i="12" s="1"/>
  <c r="AO538" i="12" a="1"/>
  <c r="AO538" i="12" s="1"/>
  <c r="AQ553" i="12" a="1"/>
  <c r="AQ553" i="12" s="1"/>
  <c r="AP244" i="12" a="1"/>
  <c r="AP244" i="12" s="1"/>
  <c r="AT244" i="12" s="1" a="1"/>
  <c r="AT244" i="12" s="1"/>
  <c r="AP392" i="12" a="1"/>
  <c r="AP392" i="12" s="1"/>
  <c r="AO377" i="12" a="1"/>
  <c r="AO377" i="12" s="1"/>
  <c r="AP523" i="12" a="1"/>
  <c r="AP523" i="12" s="1"/>
  <c r="AT64" i="12" a="1"/>
  <c r="AT64" i="12" s="1"/>
  <c r="AQ234" i="12" a="1"/>
  <c r="AQ234" i="12" s="1"/>
  <c r="AO302" i="12" a="1"/>
  <c r="AO302" i="12" s="1"/>
  <c r="AO642" i="12" a="1"/>
  <c r="AO642" i="12" s="1"/>
  <c r="AP396" i="12" a="1"/>
  <c r="AP396" i="12" s="1"/>
  <c r="AT396" i="12" s="1" a="1"/>
  <c r="AT396" i="12" s="1"/>
  <c r="AP117" i="12" a="1"/>
  <c r="AP117" i="12" s="1"/>
  <c r="AK9" i="12"/>
  <c r="AS9" i="12" s="1"/>
  <c r="AT9" i="12" s="1" a="1"/>
  <c r="AT9" i="12" s="1"/>
  <c r="AT683" i="12" a="1"/>
  <c r="AT683" i="12" s="1"/>
  <c r="AT438" i="12" a="1"/>
  <c r="AT438" i="12" s="1"/>
  <c r="AP76" i="12" a="1"/>
  <c r="AP76" i="12" s="1"/>
  <c r="AT187" i="12" a="1"/>
  <c r="AT187" i="12" s="1"/>
  <c r="AK532" i="12"/>
  <c r="AS532" i="12" s="1"/>
  <c r="AT532" i="12" s="1" a="1"/>
  <c r="AT532" i="12" s="1"/>
  <c r="AO532" i="12" a="1"/>
  <c r="AO532" i="12" s="1"/>
  <c r="AP634" i="12" a="1"/>
  <c r="AP634" i="12" s="1"/>
  <c r="AQ241" i="12" a="1"/>
  <c r="AQ241" i="12" s="1"/>
  <c r="AK98" i="12"/>
  <c r="AS98" i="12" s="1"/>
  <c r="AQ98" i="12" a="1"/>
  <c r="AQ98" i="12" s="1"/>
  <c r="AQ582" i="12" a="1"/>
  <c r="AQ582" i="12" s="1"/>
  <c r="AP582" i="12" a="1"/>
  <c r="AP582" i="12" s="1"/>
  <c r="AO336" i="12" a="1"/>
  <c r="AO336" i="12" s="1"/>
  <c r="AT336" i="12" s="1" a="1"/>
  <c r="AT336" i="12" s="1"/>
  <c r="AQ667" i="12" a="1"/>
  <c r="AQ667" i="12" s="1"/>
  <c r="AQ606" i="12" a="1"/>
  <c r="AQ606" i="12" s="1"/>
  <c r="AK372" i="12"/>
  <c r="AS372" i="12" s="1"/>
  <c r="AO372" i="12" a="1"/>
  <c r="AO372" i="12" s="1"/>
  <c r="AP372" i="12" a="1"/>
  <c r="AP372" i="12" s="1"/>
  <c r="AO44" i="12" a="1"/>
  <c r="AO44" i="12" s="1"/>
  <c r="AQ194" i="12" a="1"/>
  <c r="AQ194" i="12" s="1"/>
  <c r="AQ566" i="12" a="1"/>
  <c r="AQ566" i="12" s="1"/>
  <c r="AT584" i="12" a="1"/>
  <c r="AT584" i="12" s="1"/>
  <c r="AQ453" i="12" a="1"/>
  <c r="AQ453" i="12" s="1"/>
  <c r="AT453" i="12" s="1" a="1"/>
  <c r="AT453" i="12" s="1"/>
  <c r="AO194" i="12" a="1"/>
  <c r="AO194" i="12" s="1"/>
  <c r="AT190" i="12" a="1"/>
  <c r="AT190" i="12" s="1"/>
  <c r="AP158" i="12" a="1"/>
  <c r="AP158" i="12" s="1"/>
  <c r="AQ557" i="12" a="1"/>
  <c r="AQ557" i="12" s="1"/>
  <c r="AT557" i="12" s="1" a="1"/>
  <c r="AT557" i="12" s="1"/>
  <c r="AT202" i="12" a="1"/>
  <c r="AT202" i="12" s="1"/>
  <c r="AP537" i="12" a="1"/>
  <c r="AP537" i="12" s="1"/>
  <c r="AT537" i="12" s="1" a="1"/>
  <c r="AT537" i="12" s="1"/>
  <c r="AO597" i="12" a="1"/>
  <c r="AO597" i="12" s="1"/>
  <c r="AO392" i="12" a="1"/>
  <c r="AO392" i="12" s="1"/>
  <c r="AO611" i="12" a="1"/>
  <c r="AO611" i="12" s="1"/>
  <c r="AT611" i="12" s="1" a="1"/>
  <c r="AT611" i="12" s="1"/>
  <c r="AT711" i="12" a="1"/>
  <c r="AT711" i="12" s="1"/>
  <c r="AQ445" i="12" a="1"/>
  <c r="AQ445" i="12" s="1"/>
  <c r="AO234" i="12" a="1"/>
  <c r="AO234" i="12" s="1"/>
  <c r="AP302" i="12" a="1"/>
  <c r="AP302" i="12" s="1"/>
  <c r="AT302" i="12" s="1" a="1"/>
  <c r="AT302" i="12" s="1"/>
  <c r="AQ642" i="12" a="1"/>
  <c r="AQ642" i="12" s="1"/>
  <c r="AQ117" i="12" a="1"/>
  <c r="AQ117" i="12" s="1"/>
  <c r="AP103" i="12" a="1"/>
  <c r="AP103" i="12" s="1"/>
  <c r="AQ634" i="12" a="1"/>
  <c r="AQ634" i="12" s="1"/>
  <c r="AP241" i="12" a="1"/>
  <c r="AP241" i="12" s="1"/>
  <c r="AK589" i="12"/>
  <c r="AS589" i="12" s="1"/>
  <c r="AO589" i="12" a="1"/>
  <c r="AO589" i="12" s="1"/>
  <c r="AO606" i="12" a="1"/>
  <c r="AO606" i="12" s="1"/>
  <c r="AT536" i="12" a="1"/>
  <c r="AT536" i="12" s="1"/>
  <c r="AT347" i="12" a="1"/>
  <c r="AT347" i="12" s="1"/>
  <c r="AK28" i="12"/>
  <c r="AS28" i="12" s="1"/>
  <c r="AP28" i="12" a="1"/>
  <c r="AP28" i="12" s="1"/>
  <c r="AO28" i="12" a="1"/>
  <c r="AO28" i="12" s="1"/>
  <c r="AQ28" i="12" a="1"/>
  <c r="AQ28" i="12" s="1"/>
  <c r="AT508" i="12" a="1"/>
  <c r="AT508" i="12" s="1"/>
  <c r="AT123" i="12" a="1"/>
  <c r="AT123" i="12" s="1"/>
  <c r="AT477" i="12" a="1"/>
  <c r="AT477" i="12" s="1"/>
  <c r="AT266" i="12" a="1"/>
  <c r="AT266" i="12" s="1"/>
  <c r="AK668" i="12"/>
  <c r="AS668" i="12" s="1"/>
  <c r="AQ668" i="12" a="1"/>
  <c r="AQ668" i="12" s="1"/>
  <c r="AP668" i="12" a="1"/>
  <c r="AP668" i="12" s="1"/>
  <c r="AO391" i="12" a="1"/>
  <c r="AO391" i="12" s="1"/>
  <c r="AQ391" i="12" a="1"/>
  <c r="AQ391" i="12" s="1"/>
  <c r="AO507" i="12" a="1"/>
  <c r="AO507" i="12" s="1"/>
  <c r="AQ507" i="12" a="1"/>
  <c r="AQ507" i="12" s="1"/>
  <c r="AP497" i="12" a="1"/>
  <c r="AP497" i="12" s="1"/>
  <c r="AQ497" i="12" a="1"/>
  <c r="AQ497" i="12" s="1"/>
  <c r="AK163" i="12"/>
  <c r="AS163" i="12" s="1"/>
  <c r="AP163" i="12" a="1"/>
  <c r="AP163" i="12" s="1"/>
  <c r="AO163" i="12" a="1"/>
  <c r="AO163" i="12" s="1"/>
  <c r="AQ163" i="12" a="1"/>
  <c r="AQ163" i="12" s="1"/>
  <c r="AP407" i="12" a="1"/>
  <c r="AP407" i="12" s="1"/>
  <c r="AK407" i="12"/>
  <c r="AS407" i="12" s="1"/>
  <c r="AO407" i="12" a="1"/>
  <c r="AO407" i="12" s="1"/>
  <c r="AT637" i="12" a="1"/>
  <c r="AT637" i="12" s="1"/>
  <c r="AT482" i="12" a="1"/>
  <c r="AT482" i="12" s="1"/>
  <c r="AT693" i="12" a="1"/>
  <c r="AT693" i="12" s="1"/>
  <c r="AT141" i="12" a="1"/>
  <c r="AT141" i="12" s="1"/>
  <c r="AT366" i="12" a="1"/>
  <c r="AT366" i="12" s="1"/>
  <c r="AT445" i="12" a="1"/>
  <c r="AT445" i="12" s="1"/>
  <c r="AT47" i="12" a="1"/>
  <c r="AT47" i="12" s="1"/>
  <c r="AP156" i="12" a="1"/>
  <c r="AP156" i="12" s="1"/>
  <c r="AT612" i="12" a="1"/>
  <c r="AT612" i="12" s="1"/>
  <c r="AP670" i="12" a="1"/>
  <c r="AP670" i="12" s="1"/>
  <c r="AQ103" i="12" a="1"/>
  <c r="AQ103" i="12" s="1"/>
  <c r="AT500" i="12" a="1"/>
  <c r="AT500" i="12" s="1"/>
  <c r="AK667" i="12"/>
  <c r="AS667" i="12" s="1"/>
  <c r="AO667" i="12" a="1"/>
  <c r="AO667" i="12" s="1"/>
  <c r="AO111" i="12" a="1"/>
  <c r="AO111" i="12" s="1"/>
  <c r="AK391" i="12"/>
  <c r="AS391" i="12" s="1"/>
  <c r="AO385" i="12" a="1"/>
  <c r="AO385" i="12" s="1"/>
  <c r="AP385" i="12" a="1"/>
  <c r="AP385" i="12" s="1"/>
  <c r="AT332" i="12" a="1"/>
  <c r="AT332" i="12" s="1"/>
  <c r="AK398" i="12"/>
  <c r="AS398" i="12" s="1"/>
  <c r="AP398" i="12" a="1"/>
  <c r="AP398" i="12" s="1"/>
  <c r="AQ398" i="12" a="1"/>
  <c r="AQ398" i="12" s="1"/>
  <c r="AO398" i="12" a="1"/>
  <c r="AO398" i="12" s="1"/>
  <c r="AK43" i="12"/>
  <c r="AS43" i="12" s="1"/>
  <c r="AP43" i="12" a="1"/>
  <c r="AP43" i="12" s="1"/>
  <c r="AQ43" i="12" a="1"/>
  <c r="AQ43" i="12" s="1"/>
  <c r="AO43" i="12" a="1"/>
  <c r="AO43" i="12" s="1"/>
  <c r="AT198" i="12" a="1"/>
  <c r="AT198" i="12" s="1"/>
  <c r="AT12" i="12" a="1"/>
  <c r="AT12" i="12" s="1"/>
  <c r="AO559" i="12" a="1"/>
  <c r="AO559" i="12" s="1"/>
  <c r="AT158" i="12" a="1"/>
  <c r="AT158" i="12" s="1"/>
  <c r="AT671" i="12" a="1"/>
  <c r="AT671" i="12" s="1"/>
  <c r="AO648" i="12" a="1"/>
  <c r="AO648" i="12" s="1"/>
  <c r="AO604" i="12" a="1"/>
  <c r="AO604" i="12" s="1"/>
  <c r="AO348" i="12" a="1"/>
  <c r="AO348" i="12" s="1"/>
  <c r="AT125" i="12" a="1"/>
  <c r="AT125" i="12" s="1"/>
  <c r="AO644" i="12" a="1"/>
  <c r="AO644" i="12" s="1"/>
  <c r="AT180" i="12" a="1"/>
  <c r="AT180" i="12" s="1"/>
  <c r="AQ153" i="12" a="1"/>
  <c r="AQ153" i="12" s="1"/>
  <c r="AO548" i="12" a="1"/>
  <c r="AO548" i="12" s="1"/>
  <c r="AK156" i="12"/>
  <c r="AS156" i="12" s="1"/>
  <c r="AO547" i="12" a="1"/>
  <c r="AO547" i="12" s="1"/>
  <c r="AT364" i="12" a="1"/>
  <c r="AT364" i="12" s="1"/>
  <c r="AT303" i="12" a="1"/>
  <c r="AT303" i="12" s="1"/>
  <c r="AT278" i="12" a="1"/>
  <c r="AT278" i="12" s="1"/>
  <c r="AT233" i="12" a="1"/>
  <c r="AT233" i="12" s="1"/>
  <c r="AT647" i="12" a="1"/>
  <c r="AT647" i="12" s="1"/>
  <c r="AP724" i="12" a="1"/>
  <c r="AP724" i="12" s="1"/>
  <c r="AO724" i="12" a="1"/>
  <c r="AO724" i="12" s="1"/>
  <c r="AK507" i="12"/>
  <c r="AS507" i="12" s="1"/>
  <c r="AO121" i="12" a="1"/>
  <c r="AO121" i="12" s="1"/>
  <c r="AQ121" i="12" a="1"/>
  <c r="AQ121" i="12" s="1"/>
  <c r="AP121" i="12" a="1"/>
  <c r="AP121" i="12" s="1"/>
  <c r="AO615" i="12" a="1"/>
  <c r="AO615" i="12" s="1"/>
  <c r="AQ615" i="12" a="1"/>
  <c r="AQ615" i="12" s="1"/>
  <c r="AP602" i="12" a="1"/>
  <c r="AP602" i="12" s="1"/>
  <c r="AK602" i="12"/>
  <c r="AS602" i="12" s="1"/>
  <c r="AO602" i="12" a="1"/>
  <c r="AO602" i="12" s="1"/>
  <c r="AQ602" i="12" a="1"/>
  <c r="AQ602" i="12" s="1"/>
  <c r="AT358" i="12" a="1"/>
  <c r="AT358" i="12" s="1"/>
  <c r="AT209" i="12" a="1"/>
  <c r="AT209" i="12" s="1"/>
  <c r="AT236" i="12" a="1"/>
  <c r="AT236" i="12" s="1"/>
  <c r="AT378" i="12" a="1"/>
  <c r="AT378" i="12" s="1"/>
  <c r="AT220" i="12" a="1"/>
  <c r="AT220" i="12" s="1"/>
  <c r="AT306" i="12" a="1"/>
  <c r="AT306" i="12" s="1"/>
  <c r="AT476" i="12" a="1"/>
  <c r="AT476" i="12" s="1"/>
  <c r="AT33" i="12" a="1"/>
  <c r="AT33" i="12" s="1"/>
  <c r="AT206" i="12" a="1"/>
  <c r="AT206" i="12" s="1"/>
  <c r="AK15" i="12"/>
  <c r="AS15" i="12" s="1"/>
  <c r="AO15" i="12" a="1"/>
  <c r="AO15" i="12" s="1"/>
  <c r="AK670" i="12"/>
  <c r="AS670" i="12" s="1"/>
  <c r="AQ691" i="12" a="1"/>
  <c r="AQ691" i="12" s="1"/>
  <c r="AT691" i="12" s="1" a="1"/>
  <c r="AT691" i="12" s="1"/>
  <c r="AT50" i="12" a="1"/>
  <c r="AT50" i="12" s="1"/>
  <c r="AT355" i="12" a="1"/>
  <c r="AT355" i="12" s="1"/>
  <c r="AT312" i="12" a="1"/>
  <c r="AT312" i="12" s="1"/>
  <c r="AT365" i="12" a="1"/>
  <c r="AT365" i="12" s="1"/>
  <c r="AK222" i="12"/>
  <c r="AS222" i="12" s="1"/>
  <c r="AP222" i="12" a="1"/>
  <c r="AP222" i="12" s="1"/>
  <c r="AO222" i="12" a="1"/>
  <c r="AO222" i="12" s="1"/>
  <c r="AK242" i="12"/>
  <c r="AS242" i="12" s="1"/>
  <c r="AQ242" i="12" a="1"/>
  <c r="AQ242" i="12" s="1"/>
  <c r="AP242" i="12" a="1"/>
  <c r="AP242" i="12" s="1"/>
  <c r="AK388" i="12"/>
  <c r="AS388" i="12" s="1"/>
  <c r="AQ388" i="12" a="1"/>
  <c r="AQ388" i="12" s="1"/>
  <c r="AP388" i="12" a="1"/>
  <c r="AP388" i="12" s="1"/>
  <c r="AK491" i="12"/>
  <c r="AS491" i="12" s="1"/>
  <c r="AP491" i="12" a="1"/>
  <c r="AP491" i="12" s="1"/>
  <c r="AQ491" i="12" a="1"/>
  <c r="AQ491" i="12" s="1"/>
  <c r="AO496" i="12" a="1"/>
  <c r="AO496" i="12" s="1"/>
  <c r="AK496" i="12"/>
  <c r="AS496" i="12" s="1"/>
  <c r="AP496" i="12" a="1"/>
  <c r="AP496" i="12" s="1"/>
  <c r="AO446" i="12" a="1"/>
  <c r="AO446" i="12" s="1"/>
  <c r="AO213" i="12" a="1"/>
  <c r="AO213" i="12" s="1"/>
  <c r="AO560" i="12" a="1"/>
  <c r="AO560" i="12" s="1"/>
  <c r="AK17" i="12"/>
  <c r="AS17" i="12" s="1"/>
  <c r="AP301" i="12" a="1"/>
  <c r="AP301" i="12" s="1"/>
  <c r="AT621" i="12" a="1"/>
  <c r="AT621" i="12" s="1"/>
  <c r="AP451" i="12" a="1"/>
  <c r="AP451" i="12" s="1"/>
  <c r="AT563" i="12" a="1"/>
  <c r="AT563" i="12" s="1"/>
  <c r="AQ624" i="12" a="1"/>
  <c r="AQ624" i="12" s="1"/>
  <c r="AP154" i="12" a="1"/>
  <c r="AP154" i="12" s="1"/>
  <c r="AQ464" i="12" a="1"/>
  <c r="AQ464" i="12" s="1"/>
  <c r="AK423" i="12"/>
  <c r="AS423" i="12" s="1"/>
  <c r="AQ286" i="12" a="1"/>
  <c r="AQ286" i="12" s="1"/>
  <c r="AP286" i="12" a="1"/>
  <c r="AP286" i="12" s="1"/>
  <c r="AT595" i="12" a="1"/>
  <c r="AT595" i="12" s="1"/>
  <c r="AQ40" i="12" a="1"/>
  <c r="AQ40" i="12" s="1"/>
  <c r="AQ210" i="12" a="1"/>
  <c r="AQ210" i="12" s="1"/>
  <c r="AO270" i="12" a="1"/>
  <c r="AO270" i="12" s="1"/>
  <c r="AQ270" i="12" a="1"/>
  <c r="AQ270" i="12" s="1"/>
  <c r="AP270" i="12" a="1"/>
  <c r="AP270" i="12" s="1"/>
  <c r="AO506" i="12" a="1"/>
  <c r="AO506" i="12" s="1"/>
  <c r="AP506" i="12" a="1"/>
  <c r="AP506" i="12" s="1"/>
  <c r="AQ37" i="12" a="1"/>
  <c r="AQ37" i="12" s="1"/>
  <c r="AT288" i="12" a="1"/>
  <c r="AT288" i="12" s="1"/>
  <c r="AK696" i="12"/>
  <c r="AS696" i="12" s="1"/>
  <c r="AO696" i="12" a="1"/>
  <c r="AO696" i="12" s="1"/>
  <c r="AQ696" i="12" a="1"/>
  <c r="AQ696" i="12" s="1"/>
  <c r="AP696" i="12" a="1"/>
  <c r="AP696" i="12" s="1"/>
  <c r="AQ256" i="12" a="1"/>
  <c r="AQ256" i="12" s="1"/>
  <c r="AP263" i="12" a="1"/>
  <c r="AP263" i="12" s="1"/>
  <c r="AQ298" i="12" a="1"/>
  <c r="AQ298" i="12" s="1"/>
  <c r="AO427" i="12" a="1"/>
  <c r="AO427" i="12" s="1"/>
  <c r="AO412" i="12" a="1"/>
  <c r="AO412" i="12" s="1"/>
  <c r="AP412" i="12" a="1"/>
  <c r="AP412" i="12" s="1"/>
  <c r="AK451" i="12"/>
  <c r="AS451" i="12" s="1"/>
  <c r="AT369" i="12" a="1"/>
  <c r="AT369" i="12" s="1"/>
  <c r="AO154" i="12" a="1"/>
  <c r="AO154" i="12" s="1"/>
  <c r="AK493" i="12"/>
  <c r="AS493" i="12" s="1"/>
  <c r="AQ493" i="12" a="1"/>
  <c r="AQ493" i="12" s="1"/>
  <c r="AP493" i="12" a="1"/>
  <c r="AP493" i="12" s="1"/>
  <c r="AO40" i="12" a="1"/>
  <c r="AO40" i="12" s="1"/>
  <c r="AO210" i="12" a="1"/>
  <c r="AO210" i="12" s="1"/>
  <c r="AK195" i="12"/>
  <c r="AS195" i="12" s="1"/>
  <c r="AQ195" i="12" a="1"/>
  <c r="AQ195" i="12" s="1"/>
  <c r="AO195" i="12" a="1"/>
  <c r="AO195" i="12" s="1"/>
  <c r="AP195" i="12" a="1"/>
  <c r="AP195" i="12" s="1"/>
  <c r="AT73" i="12" a="1"/>
  <c r="AT73" i="12" s="1"/>
  <c r="AP37" i="12" a="1"/>
  <c r="AP37" i="12" s="1"/>
  <c r="AK682" i="12"/>
  <c r="AS682" i="12" s="1"/>
  <c r="AP682" i="12" a="1"/>
  <c r="AP682" i="12" s="1"/>
  <c r="AO682" i="12" a="1"/>
  <c r="AO682" i="12" s="1"/>
  <c r="AQ682" i="12" a="1"/>
  <c r="AQ682" i="12" s="1"/>
  <c r="AP468" i="12" a="1"/>
  <c r="AP468" i="12" s="1"/>
  <c r="AT578" i="12" a="1"/>
  <c r="AT578" i="12" s="1"/>
  <c r="AO263" i="12" a="1"/>
  <c r="AO263" i="12" s="1"/>
  <c r="AO298" i="12" a="1"/>
  <c r="AO298" i="12" s="1"/>
  <c r="AP503" i="12" a="1"/>
  <c r="AP503" i="12" s="1"/>
  <c r="AO503" i="12" a="1"/>
  <c r="AO503" i="12" s="1"/>
  <c r="AQ503" i="12" a="1"/>
  <c r="AQ503" i="12" s="1"/>
  <c r="AK568" i="12"/>
  <c r="AS568" i="12" s="1"/>
  <c r="AO568" i="12" a="1"/>
  <c r="AO568" i="12" s="1"/>
  <c r="AQ129" i="12" a="1"/>
  <c r="AQ129" i="12" s="1"/>
  <c r="AO129" i="12" a="1"/>
  <c r="AO129" i="12" s="1"/>
  <c r="AP129" i="12" a="1"/>
  <c r="AP129" i="12" s="1"/>
  <c r="AQ479" i="12" a="1"/>
  <c r="AQ479" i="12" s="1"/>
  <c r="AO479" i="12" a="1"/>
  <c r="AO479" i="12" s="1"/>
  <c r="AP479" i="12" a="1"/>
  <c r="AP479" i="12" s="1"/>
  <c r="AQ427" i="12" a="1"/>
  <c r="AQ427" i="12" s="1"/>
  <c r="AK412" i="12"/>
  <c r="AS412" i="12" s="1"/>
  <c r="AK446" i="12"/>
  <c r="AS446" i="12" s="1"/>
  <c r="AT446" i="12" s="1" a="1"/>
  <c r="AT446" i="12" s="1"/>
  <c r="AK213" i="12"/>
  <c r="AS213" i="12" s="1"/>
  <c r="AT213" i="12" s="1" a="1"/>
  <c r="AT213" i="12" s="1"/>
  <c r="AK560" i="12"/>
  <c r="AS560" i="12" s="1"/>
  <c r="AP177" i="12" a="1"/>
  <c r="AP177" i="12" s="1"/>
  <c r="AP460" i="12" a="1"/>
  <c r="AP460" i="12" s="1"/>
  <c r="AT414" i="12" a="1"/>
  <c r="AT414" i="12" s="1"/>
  <c r="AK464" i="12"/>
  <c r="AS464" i="12" s="1"/>
  <c r="AT475" i="12" a="1"/>
  <c r="AT475" i="12" s="1"/>
  <c r="AP354" i="12" a="1"/>
  <c r="AP354" i="12" s="1"/>
  <c r="AP40" i="12" a="1"/>
  <c r="AP40" i="12" s="1"/>
  <c r="AP210" i="12" a="1"/>
  <c r="AP210" i="12" s="1"/>
  <c r="AT210" i="12" s="1" a="1"/>
  <c r="AT210" i="12" s="1"/>
  <c r="AQ46" i="12" a="1"/>
  <c r="AQ46" i="12" s="1"/>
  <c r="AQ92" i="12" a="1"/>
  <c r="AQ92" i="12" s="1"/>
  <c r="AK558" i="12"/>
  <c r="AS558" i="12" s="1"/>
  <c r="AQ558" i="12" a="1"/>
  <c r="AQ558" i="12" s="1"/>
  <c r="AP23" i="12" a="1"/>
  <c r="AP23" i="12" s="1"/>
  <c r="AT376" i="12" a="1"/>
  <c r="AT376" i="12" s="1"/>
  <c r="AP357" i="12" a="1"/>
  <c r="AP357" i="12" s="1"/>
  <c r="AO114" i="12" a="1"/>
  <c r="AO114" i="12" s="1"/>
  <c r="AQ114" i="12" a="1"/>
  <c r="AQ114" i="12" s="1"/>
  <c r="AK489" i="12"/>
  <c r="AS489" i="12" s="1"/>
  <c r="AP489" i="12" a="1"/>
  <c r="AP489" i="12" s="1"/>
  <c r="AO489" i="12" a="1"/>
  <c r="AO489" i="12" s="1"/>
  <c r="AQ489" i="12" a="1"/>
  <c r="AQ489" i="12" s="1"/>
  <c r="AO535" i="12" a="1"/>
  <c r="AO535" i="12" s="1"/>
  <c r="AT535" i="12" s="1" a="1"/>
  <c r="AT535" i="12" s="1"/>
  <c r="AQ535" i="12" a="1"/>
  <c r="AQ535" i="12" s="1"/>
  <c r="AT504" i="12" a="1"/>
  <c r="AT504" i="12" s="1"/>
  <c r="AT291" i="12" a="1"/>
  <c r="AT291" i="12" s="1"/>
  <c r="AT115" i="12" a="1"/>
  <c r="AT115" i="12" s="1"/>
  <c r="AT145" i="12" a="1"/>
  <c r="AT145" i="12" s="1"/>
  <c r="AP21" i="12" a="1"/>
  <c r="AP21" i="12" s="1"/>
  <c r="AQ21" i="12" a="1"/>
  <c r="AQ21" i="12" s="1"/>
  <c r="AO21" i="12" a="1"/>
  <c r="AO21" i="12" s="1"/>
  <c r="AK21" i="12"/>
  <c r="AS21" i="12" s="1"/>
  <c r="AK298" i="12"/>
  <c r="AS298" i="12" s="1"/>
  <c r="AQ467" i="12" a="1"/>
  <c r="AQ467" i="12" s="1"/>
  <c r="AO467" i="12" a="1"/>
  <c r="AO467" i="12" s="1"/>
  <c r="AP467" i="12" a="1"/>
  <c r="AP467" i="12" s="1"/>
  <c r="AP271" i="12" a="1"/>
  <c r="AP271" i="12" s="1"/>
  <c r="AQ271" i="12" a="1"/>
  <c r="AQ271" i="12" s="1"/>
  <c r="AP541" i="12" a="1"/>
  <c r="AP541" i="12" s="1"/>
  <c r="AK427" i="12"/>
  <c r="AS427" i="12" s="1"/>
  <c r="AT400" i="12" a="1"/>
  <c r="AT400" i="12" s="1"/>
  <c r="AT155" i="12" a="1"/>
  <c r="AT155" i="12" s="1"/>
  <c r="AQ177" i="12" a="1"/>
  <c r="AQ177" i="12" s="1"/>
  <c r="AO460" i="12" a="1"/>
  <c r="AO460" i="12" s="1"/>
  <c r="AP627" i="12" a="1"/>
  <c r="AP627" i="12" s="1"/>
  <c r="AT627" i="12" s="1" a="1"/>
  <c r="AT627" i="12" s="1"/>
  <c r="AO162" i="12" a="1"/>
  <c r="AO162" i="12" s="1"/>
  <c r="AT511" i="12" a="1"/>
  <c r="AT511" i="12" s="1"/>
  <c r="AT676" i="12" a="1"/>
  <c r="AT676" i="12" s="1"/>
  <c r="AO624" i="12" a="1"/>
  <c r="AO624" i="12" s="1"/>
  <c r="AP624" i="12" a="1"/>
  <c r="AP624" i="12" s="1"/>
  <c r="AT657" i="12" a="1"/>
  <c r="AT657" i="12" s="1"/>
  <c r="AO354" i="12" a="1"/>
  <c r="AO354" i="12" s="1"/>
  <c r="AT40" i="12" a="1"/>
  <c r="AT40" i="12" s="1"/>
  <c r="AO92" i="12" a="1"/>
  <c r="AO92" i="12" s="1"/>
  <c r="AQ23" i="12" a="1"/>
  <c r="AQ23" i="12" s="1"/>
  <c r="AQ699" i="12" a="1"/>
  <c r="AQ699" i="12" s="1"/>
  <c r="AK468" i="12"/>
  <c r="AS468" i="12" s="1"/>
  <c r="AQ468" i="12" a="1"/>
  <c r="AQ468" i="12" s="1"/>
  <c r="AO256" i="12" a="1"/>
  <c r="AO256" i="12" s="1"/>
  <c r="AP256" i="12" a="1"/>
  <c r="AP256" i="12" s="1"/>
  <c r="AT208" i="12" a="1"/>
  <c r="AT208" i="12" s="1"/>
  <c r="AQ53" i="12" a="1"/>
  <c r="AQ53" i="12" s="1"/>
  <c r="AT53" i="12" s="1" a="1"/>
  <c r="AT53" i="12" s="1"/>
  <c r="AO193" i="12" a="1"/>
  <c r="AO193" i="12" s="1"/>
  <c r="AT193" i="12" s="1" a="1"/>
  <c r="AT193" i="12" s="1"/>
  <c r="AP561" i="12" a="1"/>
  <c r="AP561" i="12" s="1"/>
  <c r="AT561" i="12" s="1" a="1"/>
  <c r="AT561" i="12" s="1"/>
  <c r="AO439" i="12" a="1"/>
  <c r="AO439" i="12" s="1"/>
  <c r="AT439" i="12" s="1" a="1"/>
  <c r="AT439" i="12" s="1"/>
  <c r="AQ499" i="12" a="1"/>
  <c r="AQ499" i="12" s="1"/>
  <c r="AT499" i="12" s="1" a="1"/>
  <c r="AT499" i="12" s="1"/>
  <c r="AQ447" i="12" a="1"/>
  <c r="AQ447" i="12" s="1"/>
  <c r="AT447" i="12" s="1" a="1"/>
  <c r="AT447" i="12" s="1"/>
  <c r="AT273" i="12" a="1"/>
  <c r="AT273" i="12" s="1"/>
  <c r="AQ533" i="12" a="1"/>
  <c r="AQ533" i="12" s="1"/>
  <c r="AT533" i="12" s="1" a="1"/>
  <c r="AT533" i="12" s="1"/>
  <c r="AQ515" i="12" a="1"/>
  <c r="AQ515" i="12" s="1"/>
  <c r="AT515" i="12" s="1" a="1"/>
  <c r="AT515" i="12" s="1"/>
  <c r="AO600" i="12" a="1"/>
  <c r="AO600" i="12" s="1"/>
  <c r="AT600" i="12" s="1" a="1"/>
  <c r="AT600" i="12" s="1"/>
  <c r="AT556" i="12" a="1"/>
  <c r="AT556" i="12" s="1"/>
  <c r="AO627" i="12" a="1"/>
  <c r="AO627" i="12" s="1"/>
  <c r="AT83" i="12" a="1"/>
  <c r="AT83" i="12" s="1"/>
  <c r="AO708" i="12" a="1"/>
  <c r="AO708" i="12" s="1"/>
  <c r="AT708" i="12" s="1" a="1"/>
  <c r="AT708" i="12" s="1"/>
  <c r="AO32" i="12" a="1"/>
  <c r="AO32" i="12" s="1"/>
  <c r="AT32" i="12" s="1" a="1"/>
  <c r="AT32" i="12" s="1"/>
  <c r="AO25" i="12" a="1"/>
  <c r="AO25" i="12" s="1"/>
  <c r="AO649" i="12" a="1"/>
  <c r="AO649" i="12" s="1"/>
  <c r="AT649" i="12" s="1" a="1"/>
  <c r="AT649" i="12" s="1"/>
  <c r="AQ371" i="12" a="1"/>
  <c r="AQ371" i="12" s="1"/>
  <c r="AT371" i="12" s="1" a="1"/>
  <c r="AT371" i="12" s="1"/>
  <c r="AK255" i="12"/>
  <c r="AS255" i="12" s="1"/>
  <c r="AP255" i="12" a="1"/>
  <c r="AP255" i="12" s="1"/>
  <c r="AT698" i="12" a="1"/>
  <c r="AT698" i="12" s="1"/>
  <c r="AO175" i="12" a="1"/>
  <c r="AO175" i="12" s="1"/>
  <c r="AP175" i="12" a="1"/>
  <c r="AP175" i="12" s="1"/>
  <c r="AT175" i="12" s="1" a="1"/>
  <c r="AT175" i="12" s="1"/>
  <c r="AK354" i="12"/>
  <c r="AS354" i="12" s="1"/>
  <c r="AT27" i="12" a="1"/>
  <c r="AT27" i="12" s="1"/>
  <c r="AP46" i="12" a="1"/>
  <c r="AP46" i="12" s="1"/>
  <c r="AT46" i="12" s="1" a="1"/>
  <c r="AT46" i="12" s="1"/>
  <c r="AK92" i="12"/>
  <c r="AS92" i="12" s="1"/>
  <c r="AQ449" i="12" a="1"/>
  <c r="AQ449" i="12" s="1"/>
  <c r="AT449" i="12" s="1" a="1"/>
  <c r="AT449" i="12" s="1"/>
  <c r="AK23" i="12"/>
  <c r="AS23" i="12" s="1"/>
  <c r="AQ357" i="12" a="1"/>
  <c r="AQ357" i="12" s="1"/>
  <c r="AK264" i="12"/>
  <c r="AS264" i="12" s="1"/>
  <c r="AP264" i="12" a="1"/>
  <c r="AP264" i="12" s="1"/>
  <c r="AO264" i="12" a="1"/>
  <c r="AO264" i="12" s="1"/>
  <c r="AQ264" i="12" a="1"/>
  <c r="AQ264" i="12" s="1"/>
  <c r="AK293" i="12"/>
  <c r="AS293" i="12" s="1"/>
  <c r="AQ293" i="12" a="1"/>
  <c r="AQ293" i="12" s="1"/>
  <c r="AT411" i="12" a="1"/>
  <c r="AT411" i="12" s="1"/>
  <c r="AP581" i="12" a="1"/>
  <c r="AP581" i="12" s="1"/>
  <c r="AT581" i="12" s="1" a="1"/>
  <c r="AT581" i="12" s="1"/>
  <c r="AP441" i="12" a="1"/>
  <c r="AP441" i="12" s="1"/>
  <c r="AT328" i="12" a="1"/>
  <c r="AT328" i="12" s="1"/>
  <c r="AO452" i="12" a="1"/>
  <c r="AO452" i="12" s="1"/>
  <c r="AT452" i="12" s="1" a="1"/>
  <c r="AT452" i="12" s="1"/>
  <c r="AP148" i="12" a="1"/>
  <c r="AP148" i="12" s="1"/>
  <c r="AO4" i="12" a="1"/>
  <c r="AO4" i="12" s="1"/>
  <c r="AP4" i="12" a="1"/>
  <c r="AP4" i="12" s="1"/>
  <c r="AQ4" i="12" a="1"/>
  <c r="AQ4" i="12" s="1"/>
  <c r="AT4" i="12" s="1" a="1"/>
  <c r="AT4" i="12" s="1"/>
  <c r="AQ390" i="12" a="1"/>
  <c r="AQ390" i="12" s="1"/>
  <c r="AT390" i="12" s="1" a="1"/>
  <c r="AT390" i="12" s="1"/>
  <c r="AO498" i="12" a="1"/>
  <c r="AO498" i="12" s="1"/>
  <c r="AP549" i="12" a="1"/>
  <c r="AP549" i="12" s="1"/>
  <c r="AO549" i="12" a="1"/>
  <c r="AO549" i="12" s="1"/>
  <c r="AQ549" i="12" a="1"/>
  <c r="AQ549" i="12" s="1"/>
  <c r="AK263" i="12"/>
  <c r="AS263" i="12" s="1"/>
  <c r="AQ528" i="12" a="1"/>
  <c r="AQ528" i="12" s="1"/>
  <c r="AT528" i="12" s="1" a="1"/>
  <c r="AT528" i="12" s="1"/>
  <c r="AQ104" i="12" a="1"/>
  <c r="AQ104" i="12" s="1"/>
  <c r="AT104" i="12" s="1" a="1"/>
  <c r="AT104" i="12" s="1"/>
  <c r="AQ641" i="12" a="1"/>
  <c r="AQ641" i="12" s="1"/>
  <c r="AT641" i="12" s="1" a="1"/>
  <c r="AT641" i="12" s="1"/>
  <c r="AT179" i="12" a="1"/>
  <c r="AT179" i="12" s="1"/>
  <c r="AQ113" i="12" a="1"/>
  <c r="AQ113" i="12" s="1"/>
  <c r="AK492" i="12"/>
  <c r="AS492" i="12" s="1"/>
  <c r="AO492" i="12" a="1"/>
  <c r="AO492" i="12" s="1"/>
  <c r="AP492" i="12" a="1"/>
  <c r="AP492" i="12" s="1"/>
  <c r="AQ492" i="12" a="1"/>
  <c r="AQ492" i="12" s="1"/>
  <c r="AT10" i="12" a="1"/>
  <c r="AT10" i="12" s="1"/>
  <c r="AK13" i="12"/>
  <c r="AS13" i="12" s="1"/>
  <c r="AP13" i="12" a="1"/>
  <c r="AP13" i="12" s="1"/>
  <c r="AQ13" i="12" a="1"/>
  <c r="AQ13" i="12" s="1"/>
  <c r="AO13" i="12" a="1"/>
  <c r="AO13" i="12" s="1"/>
  <c r="AK652" i="12"/>
  <c r="AS652" i="12" s="1"/>
  <c r="AO652" i="12" a="1"/>
  <c r="AO652" i="12" s="1"/>
  <c r="AP652" i="12" a="1"/>
  <c r="AP652" i="12" s="1"/>
  <c r="AQ652" i="12" a="1"/>
  <c r="AQ652" i="12" s="1"/>
  <c r="AK150" i="12"/>
  <c r="AS150" i="12" s="1"/>
  <c r="AO150" i="12" a="1"/>
  <c r="AO150" i="12" s="1"/>
  <c r="AQ150" i="12" a="1"/>
  <c r="AQ150" i="12" s="1"/>
  <c r="AP150" i="12" a="1"/>
  <c r="AP150" i="12" s="1"/>
  <c r="AK626" i="12"/>
  <c r="AS626" i="12" s="1"/>
  <c r="AP626" i="12" a="1"/>
  <c r="AP626" i="12" s="1"/>
  <c r="AQ626" i="12" a="1"/>
  <c r="AQ626" i="12" s="1"/>
  <c r="AO699" i="12" a="1"/>
  <c r="AO699" i="12" s="1"/>
  <c r="AP699" i="12" a="1"/>
  <c r="AP699" i="12" s="1"/>
  <c r="AP99" i="12" a="1"/>
  <c r="AP99" i="12" s="1"/>
  <c r="AT99" i="12" s="1" a="1"/>
  <c r="AT99" i="12" s="1"/>
  <c r="AQ99" i="12" a="1"/>
  <c r="AQ99" i="12" s="1"/>
  <c r="AO528" i="12" a="1"/>
  <c r="AO528" i="12" s="1"/>
  <c r="AK317" i="12"/>
  <c r="AS317" i="12" s="1"/>
  <c r="AQ102" i="12" a="1"/>
  <c r="AQ102" i="12" s="1"/>
  <c r="AP102" i="12" a="1"/>
  <c r="AP102" i="12" s="1"/>
  <c r="AT726" i="12" a="1"/>
  <c r="AT726" i="12" s="1"/>
  <c r="AQ541" i="12" a="1"/>
  <c r="AQ541" i="12" s="1"/>
  <c r="AO541" i="12" a="1"/>
  <c r="AO541" i="12" s="1"/>
  <c r="AT81" i="12" a="1"/>
  <c r="AT81" i="12" s="1"/>
  <c r="AT160" i="12" a="1"/>
  <c r="AT160" i="12" s="1"/>
  <c r="AK162" i="12"/>
  <c r="AS162" i="12" s="1"/>
  <c r="AP162" i="12" a="1"/>
  <c r="AP162" i="12" s="1"/>
  <c r="AO330" i="12" a="1"/>
  <c r="AO330" i="12" s="1"/>
  <c r="AP330" i="12" a="1"/>
  <c r="AP330" i="12" s="1"/>
  <c r="AT322" i="12" a="1"/>
  <c r="AT322" i="12" s="1"/>
  <c r="AT394" i="12" a="1"/>
  <c r="AT394" i="12" s="1"/>
  <c r="AO294" i="12" a="1"/>
  <c r="AO294" i="12" s="1"/>
  <c r="AP294" i="12" a="1"/>
  <c r="AP294" i="12" s="1"/>
  <c r="AQ217" i="12" a="1"/>
  <c r="AQ217" i="12" s="1"/>
  <c r="AQ424" i="12" a="1"/>
  <c r="AQ424" i="12" s="1"/>
  <c r="AP424" i="12" a="1"/>
  <c r="AP424" i="12" s="1"/>
  <c r="AO424" i="12" a="1"/>
  <c r="AO424" i="12" s="1"/>
  <c r="AK387" i="12"/>
  <c r="AS387" i="12" s="1"/>
  <c r="AO387" i="12" a="1"/>
  <c r="AO387" i="12" s="1"/>
  <c r="AP387" i="12" a="1"/>
  <c r="AP387" i="12" s="1"/>
  <c r="AQ387" i="12" a="1"/>
  <c r="AQ387" i="12" s="1"/>
  <c r="AT413" i="12" a="1"/>
  <c r="AT413" i="12" s="1"/>
  <c r="AK616" i="12"/>
  <c r="AS616" i="12" s="1"/>
  <c r="AQ616" i="12" a="1"/>
  <c r="AQ616" i="12" s="1"/>
  <c r="AO616" i="12" a="1"/>
  <c r="AO616" i="12" s="1"/>
  <c r="AP616" i="12" a="1"/>
  <c r="AP616" i="12" s="1"/>
  <c r="AQ238" i="12" a="1"/>
  <c r="AQ238" i="12" s="1"/>
  <c r="AP238" i="12" a="1"/>
  <c r="AP238" i="12" s="1"/>
  <c r="AO238" i="12" a="1"/>
  <c r="AO238" i="12" s="1"/>
  <c r="AQ142" i="12" a="1"/>
  <c r="AQ142" i="12" s="1"/>
  <c r="AK498" i="12"/>
  <c r="AS498" i="12" s="1"/>
  <c r="AQ498" i="12" a="1"/>
  <c r="AQ498" i="12" s="1"/>
  <c r="AP456" i="12" a="1"/>
  <c r="AP456" i="12" s="1"/>
  <c r="AP665" i="12" a="1"/>
  <c r="AP665" i="12" s="1"/>
  <c r="AK665" i="12"/>
  <c r="AS665" i="12" s="1"/>
  <c r="AP638" i="12" a="1"/>
  <c r="AP638" i="12" s="1"/>
  <c r="AP113" i="12" a="1"/>
  <c r="AP113" i="12" s="1"/>
  <c r="AO113" i="12" a="1"/>
  <c r="AO113" i="12" s="1"/>
  <c r="AO7" i="12" a="1"/>
  <c r="AO7" i="12" s="1"/>
  <c r="AT381" i="12" a="1"/>
  <c r="AT381" i="12" s="1"/>
  <c r="AK545" i="12"/>
  <c r="AS545" i="12" s="1"/>
  <c r="AT545" i="12" s="1" a="1"/>
  <c r="AT545" i="12" s="1"/>
  <c r="AQ338" i="12" a="1"/>
  <c r="AQ338" i="12" s="1"/>
  <c r="AT338" i="12" s="1" a="1"/>
  <c r="AT338" i="12" s="1"/>
  <c r="AK505" i="12"/>
  <c r="AS505" i="12" s="1"/>
  <c r="AT505" i="12" s="1" a="1"/>
  <c r="AT505" i="12" s="1"/>
  <c r="AT327" i="12" a="1"/>
  <c r="AT327" i="12" s="1"/>
  <c r="S72" i="12"/>
  <c r="T72" i="12" s="1"/>
  <c r="AO144" i="12" a="1"/>
  <c r="AO144" i="12" s="1"/>
  <c r="AT144" i="12" s="1" a="1"/>
  <c r="AT144" i="12" s="1"/>
  <c r="AK165" i="12"/>
  <c r="AS165" i="12" s="1"/>
  <c r="AT165" i="12" s="1" a="1"/>
  <c r="AT165" i="12" s="1"/>
  <c r="AO3" i="12" a="1"/>
  <c r="AO3" i="12" s="1"/>
  <c r="AT3" i="12" s="1" a="1"/>
  <c r="AT3" i="12" s="1"/>
  <c r="AP425" i="12" a="1"/>
  <c r="AP425" i="12" s="1"/>
  <c r="AT425" i="12" s="1" a="1"/>
  <c r="AT425" i="12" s="1"/>
  <c r="AT25" i="12" a="1"/>
  <c r="AT25" i="12" s="1"/>
  <c r="AP31" i="12" a="1"/>
  <c r="AP31" i="12" s="1"/>
  <c r="AT31" i="12" s="1" a="1"/>
  <c r="AT31" i="12" s="1"/>
  <c r="AK22" i="12"/>
  <c r="AS22" i="12" s="1"/>
  <c r="AT22" i="12" s="1" a="1"/>
  <c r="AT22" i="12" s="1"/>
  <c r="AQ259" i="12" a="1"/>
  <c r="AQ259" i="12" s="1"/>
  <c r="AP217" i="12" a="1"/>
  <c r="AP217" i="12" s="1"/>
  <c r="AP274" i="12" a="1"/>
  <c r="AP274" i="12" s="1"/>
  <c r="AT526" i="12" a="1"/>
  <c r="AT526" i="12" s="1"/>
  <c r="AP534" i="12" a="1"/>
  <c r="AP534" i="12" s="1"/>
  <c r="AQ221" i="12" a="1"/>
  <c r="AQ221" i="12" s="1"/>
  <c r="AP221" i="12" a="1"/>
  <c r="AP221" i="12" s="1"/>
  <c r="AO205" i="12" a="1"/>
  <c r="AO205" i="12" s="1"/>
  <c r="AQ205" i="12" a="1"/>
  <c r="AQ205" i="12" s="1"/>
  <c r="AP231" i="12" a="1"/>
  <c r="AP231" i="12" s="1"/>
  <c r="AT231" i="12" s="1" a="1"/>
  <c r="AT231" i="12" s="1"/>
  <c r="AP723" i="12" a="1"/>
  <c r="AP723" i="12" s="1"/>
  <c r="AP569" i="12" a="1"/>
  <c r="AP569" i="12" s="1"/>
  <c r="AO183" i="12" a="1"/>
  <c r="AO183" i="12" s="1"/>
  <c r="AK587" i="12"/>
  <c r="AS587" i="12" s="1"/>
  <c r="AT587" i="12" s="1" a="1"/>
  <c r="AT587" i="12" s="1"/>
  <c r="AQ434" i="12" a="1"/>
  <c r="AQ434" i="12" s="1"/>
  <c r="AT191" i="12" a="1"/>
  <c r="AT191" i="12" s="1"/>
  <c r="AP433" i="12" a="1"/>
  <c r="AP433" i="12" s="1"/>
  <c r="AT138" i="12" a="1"/>
  <c r="AT138" i="12" s="1"/>
  <c r="AP702" i="12" a="1"/>
  <c r="AP702" i="12" s="1"/>
  <c r="AT702" i="12" s="1" a="1"/>
  <c r="AT702" i="12" s="1"/>
  <c r="AO702" i="12" a="1"/>
  <c r="AO702" i="12" s="1"/>
  <c r="AT148" i="12" a="1"/>
  <c r="AT148" i="12" s="1"/>
  <c r="AO142" i="12" a="1"/>
  <c r="AO142" i="12" s="1"/>
  <c r="AT142" i="12" s="1" a="1"/>
  <c r="AT142" i="12" s="1"/>
  <c r="AP295" i="12" a="1"/>
  <c r="AP295" i="12" s="1"/>
  <c r="AQ471" i="12" a="1"/>
  <c r="AQ471" i="12" s="1"/>
  <c r="AO471" i="12" a="1"/>
  <c r="AO471" i="12" s="1"/>
  <c r="AP471" i="12" a="1"/>
  <c r="AP471" i="12" s="1"/>
  <c r="AK707" i="12"/>
  <c r="AS707" i="12" s="1"/>
  <c r="AT707" i="12" s="1" a="1"/>
  <c r="AT707" i="12" s="1"/>
  <c r="AK457" i="12"/>
  <c r="AS457" i="12" s="1"/>
  <c r="AO457" i="12" a="1"/>
  <c r="AO457" i="12" s="1"/>
  <c r="AQ457" i="12" a="1"/>
  <c r="AQ457" i="12" s="1"/>
  <c r="AP457" i="12" a="1"/>
  <c r="AP457" i="12" s="1"/>
  <c r="AT267" i="12" a="1"/>
  <c r="AT267" i="12" s="1"/>
  <c r="AO265" i="12" a="1"/>
  <c r="AO265" i="12" s="1"/>
  <c r="AO317" i="12" a="1"/>
  <c r="AO317" i="12" s="1"/>
  <c r="AQ638" i="12" a="1"/>
  <c r="AQ638" i="12" s="1"/>
  <c r="AQ443" i="12" a="1"/>
  <c r="AQ443" i="12" s="1"/>
  <c r="AP443" i="12" a="1"/>
  <c r="AP443" i="12" s="1"/>
  <c r="AQ399" i="12" a="1"/>
  <c r="AQ399" i="12" s="1"/>
  <c r="AO399" i="12" a="1"/>
  <c r="AO399" i="12" s="1"/>
  <c r="AT215" i="12" a="1"/>
  <c r="AT215" i="12" s="1"/>
  <c r="AO112" i="12" a="1"/>
  <c r="AO112" i="12" s="1"/>
  <c r="AP74" i="12" a="1"/>
  <c r="AP74" i="12" s="1"/>
  <c r="AT74" i="12" s="1" a="1"/>
  <c r="AT74" i="12" s="1"/>
  <c r="AK674" i="12"/>
  <c r="AS674" i="12" s="1"/>
  <c r="AP674" i="12" a="1"/>
  <c r="AP674" i="12" s="1"/>
  <c r="AK217" i="12"/>
  <c r="AS217" i="12" s="1"/>
  <c r="AQ274" i="12" a="1"/>
  <c r="AQ274" i="12" s="1"/>
  <c r="AK713" i="12"/>
  <c r="AS713" i="12" s="1"/>
  <c r="AO713" i="12" a="1"/>
  <c r="AO713" i="12" s="1"/>
  <c r="AP19" i="12" a="1"/>
  <c r="AP19" i="12" s="1"/>
  <c r="AT19" i="12" s="1" a="1"/>
  <c r="AT19" i="12" s="1"/>
  <c r="AO231" i="12" a="1"/>
  <c r="AO231" i="12" s="1"/>
  <c r="AT107" i="12" a="1"/>
  <c r="AT107" i="12" s="1"/>
  <c r="AT52" i="12" a="1"/>
  <c r="AT52" i="12" s="1"/>
  <c r="AK433" i="12"/>
  <c r="AS433" i="12" s="1"/>
  <c r="AO321" i="12" a="1"/>
  <c r="AO321" i="12" s="1"/>
  <c r="AQ321" i="12" a="1"/>
  <c r="AQ321" i="12" s="1"/>
  <c r="AP321" i="12" a="1"/>
  <c r="AP321" i="12" s="1"/>
  <c r="AQ374" i="12" a="1"/>
  <c r="AQ374" i="12" s="1"/>
  <c r="AT374" i="12" s="1" a="1"/>
  <c r="AT374" i="12" s="1"/>
  <c r="AP142" i="12" a="1"/>
  <c r="AP142" i="12" s="1"/>
  <c r="AK586" i="12"/>
  <c r="AS586" i="12" s="1"/>
  <c r="AT586" i="12" s="1" a="1"/>
  <c r="AT586" i="12" s="1"/>
  <c r="AK295" i="12"/>
  <c r="AS295" i="12" s="1"/>
  <c r="AT283" i="12" a="1"/>
  <c r="AT283" i="12" s="1"/>
  <c r="AK314" i="12"/>
  <c r="AS314" i="12" s="1"/>
  <c r="AP314" i="12" a="1"/>
  <c r="AP314" i="12" s="1"/>
  <c r="AO314" i="12" a="1"/>
  <c r="AO314" i="12" s="1"/>
  <c r="AQ265" i="12" a="1"/>
  <c r="AQ265" i="12" s="1"/>
  <c r="AO638" i="12" a="1"/>
  <c r="AO638" i="12" s="1"/>
  <c r="AP7" i="12" a="1"/>
  <c r="AP7" i="12" s="1"/>
  <c r="AT7" i="12" s="1" a="1"/>
  <c r="AT7" i="12" s="1"/>
  <c r="AQ7" i="12" a="1"/>
  <c r="AQ7" i="12" s="1"/>
  <c r="AO259" i="12" a="1"/>
  <c r="AO259" i="12" s="1"/>
  <c r="AP259" i="12" a="1"/>
  <c r="AP259" i="12" s="1"/>
  <c r="AK534" i="12"/>
  <c r="AS534" i="12" s="1"/>
  <c r="AO534" i="12" a="1"/>
  <c r="AO534" i="12" s="1"/>
  <c r="AO723" i="12" a="1"/>
  <c r="AO723" i="12" s="1"/>
  <c r="AQ723" i="12" a="1"/>
  <c r="AQ723" i="12" s="1"/>
  <c r="AQ569" i="12" a="1"/>
  <c r="AQ569" i="12" s="1"/>
  <c r="AO569" i="12" a="1"/>
  <c r="AO569" i="12" s="1"/>
  <c r="AT434" i="12" a="1"/>
  <c r="AT434" i="12" s="1"/>
  <c r="AK126" i="12"/>
  <c r="AS126" i="12" s="1"/>
  <c r="AQ126" i="12" a="1"/>
  <c r="AQ126" i="12" s="1"/>
  <c r="AP126" i="12" a="1"/>
  <c r="AP126" i="12" s="1"/>
  <c r="AO126" i="12" a="1"/>
  <c r="AO126" i="12" s="1"/>
  <c r="AK456" i="12"/>
  <c r="AS456" i="12" s="1"/>
  <c r="AO456" i="12" a="1"/>
  <c r="AO456" i="12" s="1"/>
  <c r="AO164" i="12" a="1"/>
  <c r="AO164" i="12" s="1"/>
  <c r="AP164" i="12" a="1"/>
  <c r="AP164" i="12" s="1"/>
  <c r="AT164" i="12" s="1" a="1"/>
  <c r="AT164" i="12" s="1"/>
  <c r="AT323" i="12" a="1"/>
  <c r="AT323" i="12" s="1"/>
  <c r="AK697" i="12"/>
  <c r="AS697" i="12" s="1"/>
  <c r="AO697" i="12" a="1"/>
  <c r="AO697" i="12" s="1"/>
  <c r="AQ697" i="12" a="1"/>
  <c r="AQ697" i="12" s="1"/>
  <c r="AK167" i="12"/>
  <c r="AS167" i="12" s="1"/>
  <c r="AP167" i="12" a="1"/>
  <c r="AP167" i="12" s="1"/>
  <c r="AO167" i="12" a="1"/>
  <c r="AO167" i="12" s="1"/>
  <c r="AQ167" i="12" a="1"/>
  <c r="AQ167" i="12" s="1"/>
  <c r="AK112" i="12"/>
  <c r="AS112" i="12" s="1"/>
  <c r="AT313" i="12" a="1"/>
  <c r="AT313" i="12" s="1"/>
  <c r="AT704" i="12" a="1"/>
  <c r="AT704" i="12" s="1"/>
  <c r="AQ82" i="12" a="1"/>
  <c r="AQ82" i="12" s="1"/>
  <c r="AP82" i="12" a="1"/>
  <c r="AP82" i="12" s="1"/>
  <c r="AQ409" i="12" a="1"/>
  <c r="AQ409" i="12" s="1"/>
  <c r="AP30" i="12" a="1"/>
  <c r="AP30" i="12" s="1"/>
  <c r="AK30" i="12"/>
  <c r="AS30" i="12" s="1"/>
  <c r="AO30" i="12" a="1"/>
  <c r="AO30" i="12" s="1"/>
  <c r="AO45" i="12" a="1"/>
  <c r="AO45" i="12" s="1"/>
  <c r="AP45" i="12" a="1"/>
  <c r="AP45" i="12" s="1"/>
  <c r="AT512" i="12" a="1"/>
  <c r="AT512" i="12" s="1"/>
  <c r="AT594" i="12" a="1"/>
  <c r="AT594" i="12" s="1"/>
  <c r="AK710" i="12"/>
  <c r="AS710" i="12" s="1"/>
  <c r="AP710" i="12" a="1"/>
  <c r="AP710" i="12" s="1"/>
  <c r="AO710" i="12" a="1"/>
  <c r="AO710" i="12" s="1"/>
  <c r="AQ710" i="12" a="1"/>
  <c r="AQ710" i="12" s="1"/>
  <c r="AP488" i="12" a="1"/>
  <c r="AP488" i="12" s="1"/>
  <c r="AQ71" i="12" a="1"/>
  <c r="AQ71" i="12" s="1"/>
  <c r="AO71" i="12" a="1"/>
  <c r="AO71" i="12" s="1"/>
  <c r="AT542" i="12" a="1"/>
  <c r="AT542" i="12" s="1"/>
  <c r="AQ490" i="12" a="1"/>
  <c r="AQ490" i="12" s="1"/>
  <c r="AP490" i="12" a="1"/>
  <c r="AP490" i="12" s="1"/>
  <c r="AO490" i="12" a="1"/>
  <c r="AO490" i="12" s="1"/>
  <c r="AP715" i="12" a="1"/>
  <c r="AP715" i="12" s="1"/>
  <c r="AO715" i="12" a="1"/>
  <c r="AO715" i="12" s="1"/>
  <c r="AQ715" i="12" a="1"/>
  <c r="AQ715" i="12" s="1"/>
  <c r="AQ94" i="12" a="1"/>
  <c r="AQ94" i="12" s="1"/>
  <c r="AK94" i="12"/>
  <c r="AS94" i="12" s="1"/>
  <c r="AT601" i="12" a="1"/>
  <c r="AT601" i="12" s="1"/>
  <c r="AK176" i="12"/>
  <c r="AS176" i="12" s="1"/>
  <c r="AO176" i="12" a="1"/>
  <c r="AO176" i="12" s="1"/>
  <c r="AK554" i="12"/>
  <c r="AS554" i="12" s="1"/>
  <c r="AQ554" i="12" a="1"/>
  <c r="AQ554" i="12" s="1"/>
  <c r="AO554" i="12" a="1"/>
  <c r="AO554" i="12" s="1"/>
  <c r="AO409" i="12" a="1"/>
  <c r="AO409" i="12" s="1"/>
  <c r="AK656" i="12"/>
  <c r="AS656" i="12" s="1"/>
  <c r="AO656" i="12" a="1"/>
  <c r="AO656" i="12" s="1"/>
  <c r="AQ656" i="12" a="1"/>
  <c r="AQ656" i="12" s="1"/>
  <c r="AP656" i="12" a="1"/>
  <c r="AP656" i="12" s="1"/>
  <c r="AK5" i="12"/>
  <c r="AS5" i="12" s="1"/>
  <c r="AP5" i="12" a="1"/>
  <c r="AP5" i="12" s="1"/>
  <c r="AO5" i="12" a="1"/>
  <c r="AO5" i="12" s="1"/>
  <c r="AQ5" i="12" a="1"/>
  <c r="AQ5" i="12" s="1"/>
  <c r="AT575" i="12" a="1"/>
  <c r="AT575" i="12" s="1"/>
  <c r="AQ61" i="12" a="1"/>
  <c r="AQ61" i="12" s="1"/>
  <c r="AT61" i="12" s="1" a="1"/>
  <c r="AT61" i="12" s="1"/>
  <c r="AT137" i="12" a="1"/>
  <c r="AT137" i="12" s="1"/>
  <c r="AP127" i="12" a="1"/>
  <c r="AP127" i="12" s="1"/>
  <c r="AT127" i="12" s="1" a="1"/>
  <c r="AT127" i="12" s="1"/>
  <c r="AO325" i="12" a="1"/>
  <c r="AO325" i="12" s="1"/>
  <c r="AK216" i="12"/>
  <c r="AS216" i="12" s="1"/>
  <c r="AP216" i="12" a="1"/>
  <c r="AP216" i="12" s="1"/>
  <c r="AK488" i="12"/>
  <c r="AS488" i="12" s="1"/>
  <c r="AK71" i="12"/>
  <c r="AS71" i="12" s="1"/>
  <c r="AK86" i="12"/>
  <c r="AS86" i="12" s="1"/>
  <c r="AQ86" i="12" a="1"/>
  <c r="AQ86" i="12" s="1"/>
  <c r="AT157" i="12" a="1"/>
  <c r="AT157" i="12" s="1"/>
  <c r="AP406" i="12" a="1"/>
  <c r="AP406" i="12" s="1"/>
  <c r="AQ406" i="12" a="1"/>
  <c r="AQ406" i="12" s="1"/>
  <c r="AO406" i="12" a="1"/>
  <c r="AO406" i="12" s="1"/>
  <c r="AP6" i="12" a="1"/>
  <c r="AP6" i="12" s="1"/>
  <c r="AO6" i="12" a="1"/>
  <c r="AO6" i="12" s="1"/>
  <c r="AQ6" i="12" a="1"/>
  <c r="AQ6" i="12" s="1"/>
  <c r="AT203" i="12" a="1"/>
  <c r="AT203" i="12" s="1"/>
  <c r="AK182" i="12"/>
  <c r="AS182" i="12" s="1"/>
  <c r="AT182" i="12" s="1" a="1"/>
  <c r="AT182" i="12" s="1"/>
  <c r="AP470" i="12" a="1"/>
  <c r="AP470" i="12" s="1"/>
  <c r="AT470" i="12" s="1" a="1"/>
  <c r="AT470" i="12" s="1"/>
  <c r="AQ230" i="12" a="1"/>
  <c r="AQ230" i="12" s="1"/>
  <c r="AP230" i="12" a="1"/>
  <c r="AP230" i="12" s="1"/>
  <c r="AT79" i="12" a="1"/>
  <c r="AT79" i="12" s="1"/>
  <c r="AK128" i="12"/>
  <c r="AS128" i="12" s="1"/>
  <c r="AQ128" i="12" a="1"/>
  <c r="AQ128" i="12" s="1"/>
  <c r="AK660" i="12"/>
  <c r="AS660" i="12" s="1"/>
  <c r="AP660" i="12" a="1"/>
  <c r="AP660" i="12" s="1"/>
  <c r="AT133" i="12" a="1"/>
  <c r="AT133" i="12" s="1"/>
  <c r="AO17" i="12" a="1"/>
  <c r="AO17" i="12" s="1"/>
  <c r="AQ301" i="12" a="1"/>
  <c r="AQ301" i="12" s="1"/>
  <c r="AT367" i="12" a="1"/>
  <c r="AT367" i="12" s="1"/>
  <c r="AT690" i="12" a="1"/>
  <c r="AT690" i="12" s="1"/>
  <c r="AO252" i="12" a="1"/>
  <c r="AO252" i="12" s="1"/>
  <c r="AQ252" i="12" a="1"/>
  <c r="AQ252" i="12" s="1"/>
  <c r="AT459" i="12" a="1"/>
  <c r="AT459" i="12" s="1"/>
  <c r="AT599" i="12" a="1"/>
  <c r="AT599" i="12" s="1"/>
  <c r="AK409" i="12"/>
  <c r="AS409" i="12" s="1"/>
  <c r="AK520" i="12"/>
  <c r="AS520" i="12" s="1"/>
  <c r="AO520" i="12" a="1"/>
  <c r="AO520" i="12" s="1"/>
  <c r="AK428" i="12"/>
  <c r="AS428" i="12" s="1"/>
  <c r="AP428" i="12" a="1"/>
  <c r="AP428" i="12" s="1"/>
  <c r="AK49" i="12"/>
  <c r="AS49" i="12" s="1"/>
  <c r="AP49" i="12" a="1"/>
  <c r="AP49" i="12" s="1"/>
  <c r="AQ49" i="12" a="1"/>
  <c r="AQ49" i="12" s="1"/>
  <c r="AO49" i="12" a="1"/>
  <c r="AO49" i="12" s="1"/>
  <c r="AO495" i="12" a="1"/>
  <c r="AO495" i="12" s="1"/>
  <c r="AQ495" i="12" a="1"/>
  <c r="AQ495" i="12" s="1"/>
  <c r="AP495" i="12" a="1"/>
  <c r="AP495" i="12" s="1"/>
  <c r="AQ630" i="12" a="1"/>
  <c r="AQ630" i="12" s="1"/>
  <c r="AO630" i="12" a="1"/>
  <c r="AO630" i="12" s="1"/>
  <c r="AT140" i="12" a="1"/>
  <c r="AT140" i="12" s="1"/>
  <c r="AO397" i="12" a="1"/>
  <c r="AO397" i="12" s="1"/>
  <c r="AK397" i="12"/>
  <c r="AS397" i="12" s="1"/>
  <c r="AP714" i="12" a="1"/>
  <c r="AP714" i="12" s="1"/>
  <c r="AO714" i="12" a="1"/>
  <c r="AO714" i="12" s="1"/>
  <c r="AQ714" i="12" a="1"/>
  <c r="AQ714" i="12" s="1"/>
  <c r="AP325" i="12" a="1"/>
  <c r="AP325" i="12" s="1"/>
  <c r="AP171" i="12" a="1"/>
  <c r="AP171" i="12" s="1"/>
  <c r="AK462" i="12"/>
  <c r="AS462" i="12" s="1"/>
  <c r="AO462" i="12" a="1"/>
  <c r="AO462" i="12" s="1"/>
  <c r="AO448" i="12" a="1"/>
  <c r="AO448" i="12" s="1"/>
  <c r="AQ448" i="12" a="1"/>
  <c r="AQ448" i="12" s="1"/>
  <c r="AP448" i="12" a="1"/>
  <c r="AP448" i="12" s="1"/>
  <c r="AO473" i="12" a="1"/>
  <c r="AO473" i="12" s="1"/>
  <c r="AP473" i="12" a="1"/>
  <c r="AP473" i="12" s="1"/>
  <c r="AQ473" i="12" a="1"/>
  <c r="AQ473" i="12" s="1"/>
  <c r="AT473" i="12" s="1" a="1"/>
  <c r="AT473" i="12" s="1"/>
  <c r="AP539" i="12" a="1"/>
  <c r="AP539" i="12" s="1"/>
  <c r="AO539" i="12" a="1"/>
  <c r="AO539" i="12" s="1"/>
  <c r="AT550" i="12" a="1"/>
  <c r="AT550" i="12" s="1"/>
  <c r="AO662" i="12" a="1"/>
  <c r="AO662" i="12" s="1"/>
  <c r="AT662" i="12" s="1" a="1"/>
  <c r="AT662" i="12" s="1"/>
  <c r="AQ359" i="12" a="1"/>
  <c r="AQ359" i="12" s="1"/>
  <c r="AT359" i="12" s="1" a="1"/>
  <c r="AT359" i="12" s="1"/>
  <c r="AT106" i="12" a="1"/>
  <c r="AT106" i="12" s="1"/>
  <c r="AO645" i="12" a="1"/>
  <c r="AO645" i="12" s="1"/>
  <c r="AT645" i="12" s="1" a="1"/>
  <c r="AT645" i="12" s="1"/>
  <c r="AT258" i="12" a="1"/>
  <c r="AT258" i="12" s="1"/>
  <c r="AO235" i="12" a="1"/>
  <c r="AO235" i="12" s="1"/>
  <c r="AT235" i="12" s="1" a="1"/>
  <c r="AT235" i="12" s="1"/>
  <c r="AT307" i="12" a="1"/>
  <c r="AT307" i="12" s="1"/>
  <c r="AO280" i="12" a="1"/>
  <c r="AO280" i="12" s="1"/>
  <c r="AT280" i="12" s="1" a="1"/>
  <c r="AT280" i="12" s="1"/>
  <c r="AQ564" i="12" a="1"/>
  <c r="AQ564" i="12" s="1"/>
  <c r="AT564" i="12" s="1" a="1"/>
  <c r="AT564" i="12" s="1"/>
  <c r="AO262" i="12" a="1"/>
  <c r="AO262" i="12" s="1"/>
  <c r="AO26" i="12" a="1"/>
  <c r="AO26" i="12" s="1"/>
  <c r="AT26" i="12" s="1" a="1"/>
  <c r="AT26" i="12" s="1"/>
  <c r="AQ17" i="12" a="1"/>
  <c r="AQ17" i="12" s="1"/>
  <c r="AO301" i="12" a="1"/>
  <c r="AO301" i="12" s="1"/>
  <c r="AK461" i="12"/>
  <c r="AS461" i="12" s="1"/>
  <c r="AT461" i="12" s="1" a="1"/>
  <c r="AT461" i="12" s="1"/>
  <c r="AO451" i="12" a="1"/>
  <c r="AO451" i="12" s="1"/>
  <c r="AP651" i="12" a="1"/>
  <c r="AP651" i="12" s="1"/>
  <c r="AP464" i="12" a="1"/>
  <c r="AP464" i="12" s="1"/>
  <c r="AP423" i="12" a="1"/>
  <c r="AP423" i="12" s="1"/>
  <c r="AT88" i="12" a="1"/>
  <c r="AT88" i="12" s="1"/>
  <c r="AQ284" i="12" a="1"/>
  <c r="AQ284" i="12" s="1"/>
  <c r="AT284" i="12" s="1" a="1"/>
  <c r="AT284" i="12" s="1"/>
  <c r="AK286" i="12"/>
  <c r="AS286" i="12" s="1"/>
  <c r="AK650" i="12"/>
  <c r="AS650" i="12" s="1"/>
  <c r="AT650" i="12" s="1" a="1"/>
  <c r="AT650" i="12" s="1"/>
  <c r="AQ362" i="12" a="1"/>
  <c r="AQ362" i="12" s="1"/>
  <c r="AT69" i="12" a="1"/>
  <c r="AT69" i="12" s="1"/>
  <c r="AK178" i="12"/>
  <c r="AS178" i="12" s="1"/>
  <c r="AP178" i="12" a="1"/>
  <c r="AP178" i="12" s="1"/>
  <c r="AQ506" i="12" a="1"/>
  <c r="AQ506" i="12" s="1"/>
  <c r="AP684" i="12" a="1"/>
  <c r="AP684" i="12" s="1"/>
  <c r="AK669" i="12"/>
  <c r="AS669" i="12" s="1"/>
  <c r="AQ669" i="12" a="1"/>
  <c r="AQ669" i="12" s="1"/>
  <c r="AQ379" i="12" a="1"/>
  <c r="AQ379" i="12" s="1"/>
  <c r="AQ706" i="12" a="1"/>
  <c r="AQ706" i="12" s="1"/>
  <c r="AO706" i="12" a="1"/>
  <c r="AO706" i="12" s="1"/>
  <c r="AT517" i="12" a="1"/>
  <c r="AT517" i="12" s="1"/>
  <c r="AT484" i="12" a="1"/>
  <c r="AT484" i="12" s="1"/>
  <c r="AK679" i="12"/>
  <c r="AS679" i="12" s="1"/>
  <c r="AT679" i="12" s="1" a="1"/>
  <c r="AT679" i="12" s="1"/>
  <c r="AT466" i="12" a="1"/>
  <c r="AT466" i="12" s="1"/>
  <c r="AK171" i="12"/>
  <c r="AS171" i="12" s="1"/>
  <c r="AT345" i="12" a="1"/>
  <c r="AT345" i="12" s="1"/>
  <c r="AQ105" i="12" a="1"/>
  <c r="AQ105" i="12" s="1"/>
  <c r="AT105" i="12" s="1" a="1"/>
  <c r="AT105" i="12" s="1"/>
  <c r="AO529" i="12" a="1"/>
  <c r="AO529" i="12" s="1"/>
  <c r="AK529" i="12"/>
  <c r="AS529" i="12" s="1"/>
  <c r="AT529" i="12" s="1" a="1"/>
  <c r="AT529" i="12" s="1"/>
  <c r="AT525" i="12" a="1"/>
  <c r="AT525" i="12" s="1"/>
  <c r="AT437" i="12" a="1"/>
  <c r="AT437" i="12" s="1"/>
  <c r="AT172" i="12" a="1"/>
  <c r="AT172" i="12" s="1"/>
  <c r="AT717" i="12" a="1"/>
  <c r="AT717" i="12" s="1"/>
  <c r="AT643" i="12" a="1"/>
  <c r="AT643" i="12" s="1"/>
  <c r="AO36" i="12" a="1"/>
  <c r="AO36" i="12" s="1"/>
  <c r="AT36" i="12" s="1" a="1"/>
  <c r="AT36" i="12" s="1"/>
  <c r="AT565" i="12" a="1"/>
  <c r="AT565" i="12" s="1"/>
  <c r="AK262" i="12"/>
  <c r="AS262" i="12" s="1"/>
  <c r="AT442" i="12" a="1"/>
  <c r="AT442" i="12" s="1"/>
  <c r="AQ551" i="12" a="1"/>
  <c r="AQ551" i="12" s="1"/>
  <c r="AT551" i="12" s="1" a="1"/>
  <c r="AT551" i="12" s="1"/>
  <c r="AQ154" i="12" a="1"/>
  <c r="AQ154" i="12" s="1"/>
  <c r="AO651" i="12" a="1"/>
  <c r="AO651" i="12" s="1"/>
  <c r="AO493" i="12" a="1"/>
  <c r="AO493" i="12" s="1"/>
  <c r="AO362" i="12" a="1"/>
  <c r="AO362" i="12" s="1"/>
  <c r="AK276" i="12"/>
  <c r="AS276" i="12" s="1"/>
  <c r="AP276" i="12" a="1"/>
  <c r="AP276" i="12" s="1"/>
  <c r="AO276" i="12" a="1"/>
  <c r="AO276" i="12" s="1"/>
  <c r="AK96" i="12"/>
  <c r="AS96" i="12" s="1"/>
  <c r="AP96" i="12" a="1"/>
  <c r="AP96" i="12" s="1"/>
  <c r="AO725" i="12" a="1"/>
  <c r="AO725" i="12" s="1"/>
  <c r="AT725" i="12" s="1" a="1"/>
  <c r="AT725" i="12" s="1"/>
  <c r="AO558" i="12" a="1"/>
  <c r="AO558" i="12" s="1"/>
  <c r="AT319" i="12" a="1"/>
  <c r="AT319" i="12" s="1"/>
  <c r="AK270" i="12"/>
  <c r="AS270" i="12" s="1"/>
  <c r="AT516" i="12" a="1"/>
  <c r="AT516" i="12" s="1"/>
  <c r="AK506" i="12"/>
  <c r="AS506" i="12" s="1"/>
  <c r="AO684" i="12" a="1"/>
  <c r="AO684" i="12" s="1"/>
  <c r="AO37" i="12" a="1"/>
  <c r="AO37" i="12" s="1"/>
  <c r="AP379" i="12" a="1"/>
  <c r="AP379" i="12" s="1"/>
  <c r="AO118" i="12" a="1"/>
  <c r="AO118" i="12" s="1"/>
  <c r="AQ118" i="12" a="1"/>
  <c r="AQ118" i="12" s="1"/>
  <c r="AT118" i="12" s="1" a="1"/>
  <c r="AT118" i="12" s="1"/>
  <c r="AK360" i="12"/>
  <c r="AS360" i="12" s="1"/>
  <c r="AP360" i="12" a="1"/>
  <c r="AP360" i="12" s="1"/>
  <c r="AQ360" i="12" a="1"/>
  <c r="AQ360" i="12" s="1"/>
  <c r="AO360" i="12" a="1"/>
  <c r="AO360" i="12" s="1"/>
  <c r="AT700" i="12" a="1"/>
  <c r="AT700" i="12" s="1"/>
  <c r="AO225" i="12" a="1"/>
  <c r="AO225" i="12" s="1"/>
  <c r="AP225" i="12" a="1"/>
  <c r="AP225" i="12" s="1"/>
  <c r="AT225" i="12" s="1" a="1"/>
  <c r="AT225" i="12" s="1"/>
  <c r="AT290" i="12" a="1"/>
  <c r="AT290" i="12" s="1"/>
  <c r="AK237" i="12"/>
  <c r="AS237" i="12" s="1"/>
  <c r="AP237" i="12" a="1"/>
  <c r="AP237" i="12" s="1"/>
  <c r="AT712" i="12" a="1"/>
  <c r="AT712" i="12" s="1"/>
  <c r="AT705" i="12" a="1"/>
  <c r="AT705" i="12" s="1"/>
  <c r="AT334" i="12" a="1"/>
  <c r="AT334" i="12" s="1"/>
  <c r="AQ540" i="12" a="1"/>
  <c r="AQ540" i="12" s="1"/>
  <c r="AO540" i="12" a="1"/>
  <c r="AO540" i="12" s="1"/>
  <c r="AP540" i="12" a="1"/>
  <c r="AP540" i="12" s="1"/>
  <c r="AK129" i="12"/>
  <c r="AS129" i="12" s="1"/>
  <c r="AT129" i="12" s="1" a="1"/>
  <c r="AT129" i="12" s="1"/>
  <c r="AQ412" i="12" a="1"/>
  <c r="AQ412" i="12" s="1"/>
  <c r="AT395" i="12" a="1"/>
  <c r="AT395" i="12" s="1"/>
  <c r="AT199" i="12" a="1"/>
  <c r="AT199" i="12" s="1"/>
  <c r="AT481" i="12" a="1"/>
  <c r="AT481" i="12" s="1"/>
  <c r="AT527" i="12" a="1"/>
  <c r="AT527" i="12" s="1"/>
  <c r="AT483" i="12" a="1"/>
  <c r="AT483" i="12" s="1"/>
  <c r="AT159" i="12" a="1"/>
  <c r="AT159" i="12" s="1"/>
  <c r="AT436" i="12" a="1"/>
  <c r="AT436" i="12" s="1"/>
  <c r="AT509" i="12" a="1"/>
  <c r="AT509" i="12" s="1"/>
  <c r="AQ341" i="12" a="1"/>
  <c r="AQ341" i="12" s="1"/>
  <c r="AT341" i="12" s="1" a="1"/>
  <c r="AT341" i="12" s="1"/>
  <c r="AT510" i="12" a="1"/>
  <c r="AT510" i="12" s="1"/>
  <c r="AO370" i="12" a="1"/>
  <c r="AO370" i="12" s="1"/>
  <c r="AO701" i="12" a="1"/>
  <c r="AO701" i="12" s="1"/>
  <c r="AO16" i="12" a="1"/>
  <c r="AO16" i="12" s="1"/>
  <c r="AT16" i="12" s="1" a="1"/>
  <c r="AT16" i="12" s="1"/>
  <c r="AK139" i="12"/>
  <c r="AS139" i="12" s="1"/>
  <c r="AT139" i="12" s="1" a="1"/>
  <c r="AT139" i="12" s="1"/>
  <c r="AQ69" i="12" a="1"/>
  <c r="AQ69" i="12" s="1"/>
  <c r="AO380" i="12" a="1"/>
  <c r="AO380" i="12" s="1"/>
  <c r="AT380" i="12" s="1" a="1"/>
  <c r="AT380" i="12" s="1"/>
  <c r="AP232" i="12" a="1"/>
  <c r="AP232" i="12" s="1"/>
  <c r="AT232" i="12" s="1" a="1"/>
  <c r="AT232" i="12" s="1"/>
  <c r="AO478" i="12" a="1"/>
  <c r="AO478" i="12" s="1"/>
  <c r="AQ410" i="12" a="1"/>
  <c r="AQ410" i="12" s="1"/>
  <c r="AT410" i="12" s="1" a="1"/>
  <c r="AT410" i="12" s="1"/>
  <c r="AP57" i="12" a="1"/>
  <c r="AP57" i="12" s="1"/>
  <c r="AT57" i="12" s="1" a="1"/>
  <c r="AT57" i="12" s="1"/>
  <c r="AT169" i="12" a="1"/>
  <c r="AT169" i="12" s="1"/>
  <c r="AQ89" i="12" a="1"/>
  <c r="AQ89" i="12" s="1"/>
  <c r="AO458" i="12" a="1"/>
  <c r="AO458" i="12" s="1"/>
  <c r="AO603" i="12" a="1"/>
  <c r="AO603" i="12" s="1"/>
  <c r="AT603" i="12" s="1" a="1"/>
  <c r="AT603" i="12" s="1"/>
  <c r="AO326" i="12" a="1"/>
  <c r="AO326" i="12" s="1"/>
  <c r="AT326" i="12" s="1" a="1"/>
  <c r="AT326" i="12" s="1"/>
  <c r="AP14" i="12" a="1"/>
  <c r="AP14" i="12" s="1"/>
  <c r="AP487" i="12" a="1"/>
  <c r="AP487" i="12" s="1"/>
  <c r="AT487" i="12" s="1" a="1"/>
  <c r="AT487" i="12" s="1"/>
  <c r="AP75" i="12" a="1"/>
  <c r="AP75" i="12" s="1"/>
  <c r="AK135" i="12"/>
  <c r="AS135" i="12" s="1"/>
  <c r="AT135" i="12" s="1" a="1"/>
  <c r="AT135" i="12" s="1"/>
  <c r="AO39" i="12" a="1"/>
  <c r="AO39" i="12" s="1"/>
  <c r="AP309" i="12" a="1"/>
  <c r="AP309" i="12" s="1"/>
  <c r="AT309" i="12" s="1" a="1"/>
  <c r="AT309" i="12" s="1"/>
  <c r="AQ628" i="12" a="1"/>
  <c r="AQ628" i="12" s="1"/>
  <c r="AT628" i="12" s="1" a="1"/>
  <c r="AT628" i="12" s="1"/>
  <c r="AO120" i="12" a="1"/>
  <c r="AO120" i="12" s="1"/>
  <c r="AT120" i="12" s="1" a="1"/>
  <c r="AT120" i="12" s="1"/>
  <c r="AP59" i="12" a="1"/>
  <c r="AP59" i="12" s="1"/>
  <c r="AT59" i="12" s="1" a="1"/>
  <c r="AT59" i="12" s="1"/>
  <c r="AQ224" i="12" a="1"/>
  <c r="AQ224" i="12" s="1"/>
  <c r="AT224" i="12" s="1" a="1"/>
  <c r="AT224" i="12" s="1"/>
  <c r="AP329" i="12" a="1"/>
  <c r="AP329" i="12" s="1"/>
  <c r="AT329" i="12" s="1" a="1"/>
  <c r="AT329" i="12" s="1"/>
  <c r="AQ544" i="12" a="1"/>
  <c r="AQ544" i="12" s="1"/>
  <c r="AT544" i="12" s="1" a="1"/>
  <c r="AT544" i="12" s="1"/>
  <c r="AQ403" i="12" a="1"/>
  <c r="AQ403" i="12" s="1"/>
  <c r="AT403" i="12" s="1" a="1"/>
  <c r="AT403" i="12" s="1"/>
  <c r="AO514" i="12" a="1"/>
  <c r="AO514" i="12" s="1"/>
  <c r="AT514" i="12" s="1" a="1"/>
  <c r="AT514" i="12" s="1"/>
  <c r="AP91" i="12" a="1"/>
  <c r="AP91" i="12" s="1"/>
  <c r="AT91" i="12" s="1" a="1"/>
  <c r="AT91" i="12" s="1"/>
  <c r="AP249" i="12" a="1"/>
  <c r="AP249" i="12" s="1"/>
  <c r="AT249" i="12" s="1" a="1"/>
  <c r="AT249" i="12" s="1"/>
  <c r="AT727" i="12" a="1"/>
  <c r="AT727" i="12" s="1"/>
  <c r="AQ384" i="12" a="1"/>
  <c r="AQ384" i="12" s="1"/>
  <c r="AT384" i="12" s="1" a="1"/>
  <c r="AT384" i="12" s="1"/>
  <c r="AO685" i="12" a="1"/>
  <c r="AO685" i="12" s="1"/>
  <c r="AQ78" i="12" a="1"/>
  <c r="AQ78" i="12" s="1"/>
  <c r="AT78" i="12" s="1" a="1"/>
  <c r="AT78" i="12" s="1"/>
  <c r="AQ346" i="12" a="1"/>
  <c r="AQ346" i="12" s="1"/>
  <c r="AP254" i="12" a="1"/>
  <c r="AP254" i="12" s="1"/>
  <c r="AT254" i="12" s="1" a="1"/>
  <c r="AT254" i="12" s="1"/>
  <c r="AQ11" i="12" a="1"/>
  <c r="AQ11" i="12" s="1"/>
  <c r="AQ38" i="12" a="1"/>
  <c r="AQ38" i="12" s="1"/>
  <c r="AT38" i="12" s="1" a="1"/>
  <c r="AT38" i="12" s="1"/>
  <c r="AP450" i="12" a="1"/>
  <c r="AP450" i="12" s="1"/>
  <c r="AT450" i="12" s="1" a="1"/>
  <c r="AT450" i="12" s="1"/>
  <c r="AO305" i="12" a="1"/>
  <c r="AO305" i="12" s="1"/>
  <c r="AT305" i="12" s="1" a="1"/>
  <c r="AT305" i="12" s="1"/>
  <c r="AP543" i="12" a="1"/>
  <c r="AP543" i="12" s="1"/>
  <c r="AT543" i="12" s="1" a="1"/>
  <c r="AT543" i="12" s="1"/>
  <c r="AQ472" i="12" a="1"/>
  <c r="AQ472" i="12" s="1"/>
  <c r="AT472" i="12" s="1" a="1"/>
  <c r="AT472" i="12" s="1"/>
  <c r="AT272" i="12" a="1"/>
  <c r="AT272" i="12" s="1"/>
  <c r="AQ591" i="12" a="1"/>
  <c r="AQ591" i="12" s="1"/>
  <c r="AT591" i="12" s="1" a="1"/>
  <c r="AT591" i="12" s="1"/>
  <c r="AO296" i="12" a="1"/>
  <c r="AO296" i="12" s="1"/>
  <c r="AP184" i="12" a="1"/>
  <c r="AP184" i="12" s="1"/>
  <c r="AT184" i="12" s="1" a="1"/>
  <c r="AT184" i="12" s="1"/>
  <c r="AQ418" i="12" a="1"/>
  <c r="AQ418" i="12" s="1"/>
  <c r="AT418" i="12" s="1" a="1"/>
  <c r="AT418" i="12" s="1"/>
  <c r="AP116" i="12" a="1"/>
  <c r="AP116" i="12" s="1"/>
  <c r="AQ68" i="12" a="1"/>
  <c r="AQ68" i="12" s="1"/>
  <c r="AT68" i="12" s="1" a="1"/>
  <c r="AT68" i="12" s="1"/>
  <c r="AQ247" i="12" a="1"/>
  <c r="AQ247" i="12" s="1"/>
  <c r="AT247" i="12" s="1" a="1"/>
  <c r="AT247" i="12" s="1"/>
  <c r="AO218" i="12" a="1"/>
  <c r="AO218" i="12" s="1"/>
  <c r="AP465" i="12" a="1"/>
  <c r="AP465" i="12" s="1"/>
  <c r="AO304" i="12" a="1"/>
  <c r="AO304" i="12" s="1"/>
  <c r="AP555" i="12" a="1"/>
  <c r="AP555" i="12" s="1"/>
  <c r="AP639" i="12" a="1"/>
  <c r="AP639" i="12" s="1"/>
  <c r="AO386" i="12" a="1"/>
  <c r="AO386" i="12" s="1"/>
  <c r="AT386" i="12" s="1" a="1"/>
  <c r="AT386" i="12" s="1"/>
  <c r="AP239" i="12" a="1"/>
  <c r="AP239" i="12" s="1"/>
  <c r="AO41" i="12" a="1"/>
  <c r="AO41" i="12" s="1"/>
  <c r="AT41" i="12" s="1" a="1"/>
  <c r="AT41" i="12" s="1"/>
  <c r="AO196" i="12" a="1"/>
  <c r="AO196" i="12" s="1"/>
  <c r="AP703" i="12" a="1"/>
  <c r="AP703" i="12" s="1"/>
  <c r="AQ370" i="12" a="1"/>
  <c r="AQ370" i="12" s="1"/>
  <c r="AP701" i="12" a="1"/>
  <c r="AP701" i="12" s="1"/>
  <c r="AP478" i="12" a="1"/>
  <c r="AP478" i="12" s="1"/>
  <c r="AO89" i="12" a="1"/>
  <c r="AO89" i="12" s="1"/>
  <c r="AQ458" i="12" a="1"/>
  <c r="AQ458" i="12" s="1"/>
  <c r="AP85" i="12" a="1"/>
  <c r="AP85" i="12" s="1"/>
  <c r="AO75" i="12" a="1"/>
  <c r="AO75" i="12" s="1"/>
  <c r="AT243" i="12" a="1"/>
  <c r="AT243" i="12" s="1"/>
  <c r="AP430" i="12" a="1"/>
  <c r="AP430" i="12" s="1"/>
  <c r="AT430" i="12" s="1" a="1"/>
  <c r="AT430" i="12" s="1"/>
  <c r="AQ685" i="12" a="1"/>
  <c r="AQ685" i="12" s="1"/>
  <c r="AO346" i="12" a="1"/>
  <c r="AO346" i="12" s="1"/>
  <c r="AP296" i="12" a="1"/>
  <c r="AP296" i="12" s="1"/>
  <c r="AO116" i="12" a="1"/>
  <c r="AO116" i="12" s="1"/>
  <c r="AQ218" i="12" a="1"/>
  <c r="AQ218" i="12" s="1"/>
  <c r="AQ465" i="12" a="1"/>
  <c r="AQ465" i="12" s="1"/>
  <c r="AP48" i="12" a="1"/>
  <c r="AP48" i="12" s="1"/>
  <c r="AT48" i="12" s="1" a="1"/>
  <c r="AT48" i="12" s="1"/>
  <c r="AT131" i="12" a="1"/>
  <c r="AT131" i="12" s="1"/>
  <c r="AP304" i="12" a="1"/>
  <c r="AP304" i="12" s="1"/>
  <c r="AP356" i="12" a="1"/>
  <c r="AP356" i="12" s="1"/>
  <c r="AQ555" i="12" a="1"/>
  <c r="AQ555" i="12" s="1"/>
  <c r="AQ639" i="12" a="1"/>
  <c r="AQ639" i="12" s="1"/>
  <c r="AT639" i="12" s="1" a="1"/>
  <c r="AT639" i="12" s="1"/>
  <c r="AO239" i="12" a="1"/>
  <c r="AO239" i="12" s="1"/>
  <c r="AQ196" i="12" a="1"/>
  <c r="AQ196" i="12" s="1"/>
  <c r="AP63" i="12" a="1"/>
  <c r="AP63" i="12" s="1"/>
  <c r="AK703" i="12"/>
  <c r="AS703" i="12" s="1"/>
  <c r="AT188" i="12" a="1"/>
  <c r="AT188" i="12" s="1"/>
  <c r="AT54" i="12" a="1"/>
  <c r="AT54" i="12" s="1"/>
  <c r="AQ296" i="12" a="1"/>
  <c r="AQ296" i="12" s="1"/>
  <c r="AT677" i="12" a="1"/>
  <c r="AT677" i="12" s="1"/>
  <c r="K72" i="12"/>
  <c r="L72" i="12" s="1"/>
  <c r="AO465" i="12" a="1"/>
  <c r="AO465" i="12" s="1"/>
  <c r="AQ356" i="12" a="1"/>
  <c r="AQ356" i="12" s="1"/>
  <c r="AO574" i="12" a="1"/>
  <c r="AO574" i="12" s="1"/>
  <c r="AK63" i="12"/>
  <c r="AS63" i="12" s="1"/>
  <c r="AT119" i="12" a="1"/>
  <c r="AT119" i="12" s="1"/>
  <c r="AT454" i="12" a="1"/>
  <c r="AT454" i="12" s="1"/>
  <c r="AO85" i="12" a="1"/>
  <c r="AO85" i="12" s="1"/>
  <c r="AT85" i="12" s="1" a="1"/>
  <c r="AT85" i="12" s="1"/>
  <c r="AT421" i="12" a="1"/>
  <c r="AT421" i="12" s="1"/>
  <c r="AT65" i="12" a="1"/>
  <c r="AT65" i="12" s="1"/>
  <c r="AO311" i="12" a="1"/>
  <c r="AO311" i="12" s="1"/>
  <c r="AT311" i="12" s="1" a="1"/>
  <c r="AT311" i="12" s="1"/>
  <c r="AT151" i="12" a="1"/>
  <c r="AT151" i="12" s="1"/>
  <c r="AT576" i="12" a="1"/>
  <c r="AT576" i="12" s="1"/>
  <c r="AT109" i="12" a="1"/>
  <c r="AT109" i="12" s="1"/>
  <c r="B39" i="12" a="1"/>
  <c r="B39" i="12" s="1"/>
  <c r="AT502" i="12" a="1"/>
  <c r="AT502" i="12" s="1"/>
  <c r="AT631" i="12" a="1"/>
  <c r="AT631" i="12" s="1"/>
  <c r="AT570" i="12" a="1"/>
  <c r="AT570" i="12" s="1"/>
  <c r="AT408" i="12" a="1"/>
  <c r="AT408" i="12" s="1"/>
  <c r="AT486" i="12" a="1"/>
  <c r="AT486" i="12" s="1"/>
  <c r="AT8" i="12" a="1"/>
  <c r="AT8" i="12" s="1"/>
  <c r="AT440" i="12" a="1"/>
  <c r="AT440" i="12" s="1"/>
  <c r="AT573" i="12" a="1"/>
  <c r="AT573" i="12" s="1"/>
  <c r="AT11" i="12" a="1"/>
  <c r="AT11" i="12" s="1"/>
  <c r="AT382" i="12" a="1"/>
  <c r="AT382" i="12" s="1"/>
  <c r="AT636" i="12" a="1"/>
  <c r="AT636" i="12" s="1"/>
  <c r="AT474" i="12" a="1"/>
  <c r="AT474" i="12" s="1"/>
  <c r="AT422" i="12" a="1"/>
  <c r="AT422" i="12" s="1"/>
  <c r="AT173" i="12" a="1"/>
  <c r="AT173" i="12" s="1"/>
  <c r="AP318" i="12" a="1"/>
  <c r="AP318" i="12" s="1"/>
  <c r="AT318" i="12" s="1" a="1"/>
  <c r="AT318" i="12" s="1"/>
  <c r="AO692" i="12" a="1"/>
  <c r="AO692" i="12" s="1"/>
  <c r="AT692" i="12" s="1" a="1"/>
  <c r="AT692" i="12" s="1"/>
  <c r="AT574" i="12" a="1"/>
  <c r="AT574" i="12" s="1"/>
  <c r="AT672" i="12" a="1"/>
  <c r="AT672" i="12" s="1"/>
  <c r="AT58" i="12" a="1"/>
  <c r="AT58" i="12" s="1"/>
  <c r="AT571" i="12" a="1"/>
  <c r="AT571" i="12" s="1"/>
  <c r="AO607" i="12" a="1"/>
  <c r="AO607" i="12" s="1"/>
  <c r="AT607" i="12" s="1" a="1"/>
  <c r="AT607" i="12" s="1"/>
  <c r="AT592" i="12" a="1"/>
  <c r="AT592" i="12" s="1"/>
  <c r="AT349" i="12" a="1"/>
  <c r="AT349" i="12" s="1"/>
  <c r="AQ251" i="12" a="1"/>
  <c r="AQ251" i="12" s="1"/>
  <c r="AT251" i="12" s="1" a="1"/>
  <c r="AT251" i="12" s="1"/>
  <c r="D19" i="10"/>
  <c r="E19" i="10"/>
  <c r="J64" i="14"/>
  <c r="D25" i="14"/>
  <c r="D26" i="14"/>
  <c r="D27" i="14"/>
  <c r="D28" i="14" s="1"/>
  <c r="F67" i="14"/>
  <c r="E50" i="14"/>
  <c r="E38" i="14" s="1"/>
  <c r="H57" i="14"/>
  <c r="G60" i="14"/>
  <c r="AT615" i="12" l="1" a="1"/>
  <c r="AT615" i="12" s="1"/>
  <c r="AT353" i="12" a="1"/>
  <c r="AT353" i="12" s="1"/>
  <c r="AT296" i="12" a="1"/>
  <c r="AT296" i="12" s="1"/>
  <c r="AT15" i="12" a="1"/>
  <c r="AT15" i="12" s="1"/>
  <c r="AT121" i="12" a="1"/>
  <c r="AT121" i="12" s="1"/>
  <c r="AT579" i="12" a="1"/>
  <c r="AT579" i="12" s="1"/>
  <c r="AT87" i="12" a="1"/>
  <c r="AT87" i="12" s="1"/>
  <c r="AT519" i="12" a="1"/>
  <c r="AT519" i="12" s="1"/>
  <c r="AT130" i="12" a="1"/>
  <c r="AT130" i="12" s="1"/>
  <c r="AT523" i="12" a="1"/>
  <c r="AT523" i="12" s="1"/>
  <c r="AT134" i="12" a="1"/>
  <c r="AT134" i="12" s="1"/>
  <c r="AT301" i="12" a="1"/>
  <c r="AT301" i="12" s="1"/>
  <c r="AT194" i="12" a="1"/>
  <c r="AT194" i="12" s="1"/>
  <c r="AT357" i="12" a="1"/>
  <c r="AT357" i="12" s="1"/>
  <c r="AT350" i="12" a="1"/>
  <c r="AT350" i="12" s="1"/>
  <c r="AT709" i="12" a="1"/>
  <c r="AT709" i="12" s="1"/>
  <c r="AT287" i="12" a="1"/>
  <c r="AT287" i="12" s="1"/>
  <c r="AT146" i="12" a="1"/>
  <c r="AT146" i="12" s="1"/>
  <c r="AT304" i="12" a="1"/>
  <c r="AT304" i="12" s="1"/>
  <c r="AT274" i="12" a="1"/>
  <c r="AT274" i="12" s="1"/>
  <c r="AT330" i="12" a="1"/>
  <c r="AT330" i="12" s="1"/>
  <c r="AT168" i="12" a="1"/>
  <c r="AT168" i="12" s="1"/>
  <c r="AT39" i="12" a="1"/>
  <c r="AT39" i="12" s="1"/>
  <c r="AT635" i="12" a="1"/>
  <c r="AT635" i="12" s="1"/>
  <c r="AT666" i="12" a="1"/>
  <c r="AT666" i="12" s="1"/>
  <c r="AT116" i="12" a="1"/>
  <c r="AT116" i="12" s="1"/>
  <c r="AT230" i="12" a="1"/>
  <c r="AT230" i="12" s="1"/>
  <c r="AT76" i="12" a="1"/>
  <c r="AT76" i="12" s="1"/>
  <c r="AT632" i="12" a="1"/>
  <c r="AT632" i="12" s="1"/>
  <c r="AT695" i="12" a="1"/>
  <c r="AT695" i="12" s="1"/>
  <c r="AT651" i="12" a="1"/>
  <c r="AT651" i="12" s="1"/>
  <c r="AT156" i="12" a="1"/>
  <c r="AT156" i="12" s="1"/>
  <c r="AT63" i="12" a="1"/>
  <c r="AT63" i="12" s="1"/>
  <c r="AT75" i="12" a="1"/>
  <c r="AT75" i="12" s="1"/>
  <c r="AT286" i="12" a="1"/>
  <c r="AT286" i="12" s="1"/>
  <c r="AT45" i="12" a="1"/>
  <c r="AT45" i="12" s="1"/>
  <c r="AT457" i="12" a="1"/>
  <c r="AT457" i="12" s="1"/>
  <c r="AT569" i="12" a="1"/>
  <c r="AT569" i="12" s="1"/>
  <c r="AT392" i="12" a="1"/>
  <c r="AT392" i="12" s="1"/>
  <c r="AT377" i="12" a="1"/>
  <c r="AT377" i="12" s="1"/>
  <c r="AT268" i="12" a="1"/>
  <c r="AT268" i="12" s="1"/>
  <c r="AT593" i="12" a="1"/>
  <c r="AT593" i="12" s="1"/>
  <c r="AT496" i="12" a="1"/>
  <c r="AT496" i="12" s="1"/>
  <c r="AT642" i="12" a="1"/>
  <c r="AT642" i="12" s="1"/>
  <c r="AT416" i="12" a="1"/>
  <c r="AT416" i="12" s="1"/>
  <c r="AT132" i="12" a="1"/>
  <c r="AT132" i="12" s="1"/>
  <c r="AT212" i="12" a="1"/>
  <c r="AT212" i="12" s="1"/>
  <c r="AT218" i="12" a="1"/>
  <c r="AT218" i="12" s="1"/>
  <c r="AT30" i="12" a="1"/>
  <c r="AT30" i="12" s="1"/>
  <c r="AT234" i="12" a="1"/>
  <c r="AT234" i="12" s="1"/>
  <c r="AT590" i="12" a="1"/>
  <c r="AT590" i="12" s="1"/>
  <c r="AT111" i="12" a="1"/>
  <c r="AT111" i="12" s="1"/>
  <c r="AT614" i="12" a="1"/>
  <c r="AT614" i="12" s="1"/>
  <c r="AT239" i="12" a="1"/>
  <c r="AT239" i="12" s="1"/>
  <c r="AT321" i="12" a="1"/>
  <c r="AT321" i="12" s="1"/>
  <c r="AT399" i="12" a="1"/>
  <c r="AT399" i="12" s="1"/>
  <c r="AT205" i="12" a="1"/>
  <c r="AT205" i="12" s="1"/>
  <c r="AT497" i="12" a="1"/>
  <c r="AT497" i="12" s="1"/>
  <c r="AT428" i="12" a="1"/>
  <c r="AT428" i="12" s="1"/>
  <c r="AT433" i="12" a="1"/>
  <c r="AT433" i="12" s="1"/>
  <c r="AT263" i="12" a="1"/>
  <c r="AT263" i="12" s="1"/>
  <c r="AT460" i="12" a="1"/>
  <c r="AT460" i="12" s="1"/>
  <c r="AT228" i="12" a="1"/>
  <c r="AT228" i="12" s="1"/>
  <c r="AT339" i="12" a="1"/>
  <c r="AT339" i="12" s="1"/>
  <c r="AT346" i="12" a="1"/>
  <c r="AT346" i="12" s="1"/>
  <c r="AT652" i="12" a="1"/>
  <c r="AT652" i="12" s="1"/>
  <c r="AT539" i="12" a="1"/>
  <c r="AT539" i="12" s="1"/>
  <c r="AT82" i="12" a="1"/>
  <c r="AT82" i="12" s="1"/>
  <c r="AT114" i="12" a="1"/>
  <c r="AT114" i="12" s="1"/>
  <c r="AT372" i="12" a="1"/>
  <c r="AT372" i="12" s="1"/>
  <c r="AT44" i="12" a="1"/>
  <c r="AT44" i="12" s="1"/>
  <c r="AT554" i="12" a="1"/>
  <c r="AT554" i="12" s="1"/>
  <c r="AT397" i="12" a="1"/>
  <c r="AT397" i="12" s="1"/>
  <c r="AT265" i="12" a="1"/>
  <c r="AT265" i="12" s="1"/>
  <c r="AT549" i="12" a="1"/>
  <c r="AT549" i="12" s="1"/>
  <c r="AT597" i="12" a="1"/>
  <c r="AT597" i="12" s="1"/>
  <c r="AT117" i="12" a="1"/>
  <c r="AT117" i="12" s="1"/>
  <c r="AT653" i="12" a="1"/>
  <c r="AT653" i="12" s="1"/>
  <c r="AT147" i="12" a="1"/>
  <c r="AT147" i="12" s="1"/>
  <c r="AT385" i="12" a="1"/>
  <c r="AT385" i="12" s="1"/>
  <c r="AT522" i="12" a="1"/>
  <c r="AT522" i="12" s="1"/>
  <c r="AT161" i="12" a="1"/>
  <c r="AT161" i="12" s="1"/>
  <c r="AT589" i="12" a="1"/>
  <c r="AT589" i="12" s="1"/>
  <c r="AT314" i="12" a="1"/>
  <c r="AT314" i="12" s="1"/>
  <c r="AT252" i="12" a="1"/>
  <c r="AT252" i="12" s="1"/>
  <c r="AT558" i="12" a="1"/>
  <c r="AT558" i="12" s="1"/>
  <c r="AT555" i="12" a="1"/>
  <c r="AT555" i="12" s="1"/>
  <c r="AT241" i="12" a="1"/>
  <c r="AT241" i="12" s="1"/>
  <c r="AT281" i="12" a="1"/>
  <c r="AT281" i="12" s="1"/>
  <c r="AT95" i="12" a="1"/>
  <c r="AT95" i="12" s="1"/>
  <c r="AT89" i="12" a="1"/>
  <c r="AT89" i="12" s="1"/>
  <c r="AT356" i="12" a="1"/>
  <c r="AT356" i="12" s="1"/>
  <c r="AT478" i="12" a="1"/>
  <c r="AT478" i="12" s="1"/>
  <c r="AT37" i="12" a="1"/>
  <c r="AT37" i="12" s="1"/>
  <c r="AT495" i="12" a="1"/>
  <c r="AT495" i="12" s="1"/>
  <c r="AT626" i="12" a="1"/>
  <c r="AT626" i="12" s="1"/>
  <c r="AT479" i="12" a="1"/>
  <c r="AT479" i="12" s="1"/>
  <c r="AT337" i="12" a="1"/>
  <c r="AT337" i="12" s="1"/>
  <c r="AT441" i="12" a="1"/>
  <c r="AT441" i="12" s="1"/>
  <c r="AT110" i="12" a="1"/>
  <c r="AT110" i="12" s="1"/>
  <c r="AT108" i="12" a="1"/>
  <c r="AT108" i="12" s="1"/>
  <c r="AT154" i="12" a="1"/>
  <c r="AT154" i="12" s="1"/>
  <c r="AT171" i="12" a="1"/>
  <c r="AT171" i="12" s="1"/>
  <c r="AT492" i="12" a="1"/>
  <c r="AT492" i="12" s="1"/>
  <c r="AT566" i="12" a="1"/>
  <c r="AT566" i="12" s="1"/>
  <c r="AT417" i="12" a="1"/>
  <c r="AT417" i="12" s="1"/>
  <c r="E37" i="14"/>
  <c r="F82" i="14" s="1"/>
  <c r="AT294" i="12" a="1"/>
  <c r="AT294" i="12" s="1"/>
  <c r="AT684" i="12" a="1"/>
  <c r="AT684" i="12" s="1"/>
  <c r="AT245" i="12" a="1"/>
  <c r="AT245" i="12" s="1"/>
  <c r="AT724" i="12" a="1"/>
  <c r="AT724" i="12" s="1"/>
  <c r="AT674" i="12" a="1"/>
  <c r="AT674" i="12" s="1"/>
  <c r="AT183" i="12" a="1"/>
  <c r="AT183" i="12" s="1"/>
  <c r="AT659" i="12" a="1"/>
  <c r="AT659" i="12" s="1"/>
  <c r="AT721" i="12" a="1"/>
  <c r="AT721" i="12" s="1"/>
  <c r="AT14" i="12" a="1"/>
  <c r="AT14" i="12" s="1"/>
  <c r="AT572" i="12" a="1"/>
  <c r="AT572" i="12" s="1"/>
  <c r="AT443" i="12" a="1"/>
  <c r="AT443" i="12" s="1"/>
  <c r="AT701" i="12" a="1"/>
  <c r="AT701" i="12" s="1"/>
  <c r="AT706" i="12" a="1"/>
  <c r="AT706" i="12" s="1"/>
  <c r="AT688" i="12" a="1"/>
  <c r="AT688" i="12" s="1"/>
  <c r="AT670" i="12" a="1"/>
  <c r="AT670" i="12" s="1"/>
  <c r="AT222" i="12" a="1"/>
  <c r="AT222" i="12" s="1"/>
  <c r="AT697" i="12" a="1"/>
  <c r="AT697" i="12" s="1"/>
  <c r="AT723" i="12" a="1"/>
  <c r="AT723" i="12" s="1"/>
  <c r="AT718" i="12" a="1"/>
  <c r="AT718" i="12" s="1"/>
  <c r="AT398" i="12" a="1"/>
  <c r="AT398" i="12" s="1"/>
  <c r="AT335" i="12" a="1"/>
  <c r="AT335" i="12" s="1"/>
  <c r="AT124" i="12" a="1"/>
  <c r="AT124" i="12" s="1"/>
  <c r="AT685" i="12" a="1"/>
  <c r="AT685" i="12" s="1"/>
  <c r="AT379" i="12" a="1"/>
  <c r="AT379" i="12" s="1"/>
  <c r="AT458" i="12" a="1"/>
  <c r="AT458" i="12" s="1"/>
  <c r="AT196" i="12" a="1"/>
  <c r="AT196" i="12" s="1"/>
  <c r="AT270" i="12" a="1"/>
  <c r="AT270" i="12" s="1"/>
  <c r="AT6" i="12" a="1"/>
  <c r="AT6" i="12" s="1"/>
  <c r="AT113" i="12" a="1"/>
  <c r="AT113" i="12" s="1"/>
  <c r="AT699" i="12" a="1"/>
  <c r="AT699" i="12" s="1"/>
  <c r="AT256" i="12" a="1"/>
  <c r="AT256" i="12" s="1"/>
  <c r="AT275" i="12" a="1"/>
  <c r="AT275" i="12" s="1"/>
  <c r="AT406" i="12" a="1"/>
  <c r="AT406" i="12" s="1"/>
  <c r="AT167" i="12" a="1"/>
  <c r="AT167" i="12" s="1"/>
  <c r="AT638" i="12" a="1"/>
  <c r="AT638" i="12" s="1"/>
  <c r="AT23" i="12" a="1"/>
  <c r="AT23" i="12" s="1"/>
  <c r="AT507" i="12" a="1"/>
  <c r="AT507" i="12" s="1"/>
  <c r="AT429" i="12" a="1"/>
  <c r="AT429" i="12" s="1"/>
  <c r="AT553" i="12" a="1"/>
  <c r="AT553" i="12" s="1"/>
  <c r="AT715" i="12" a="1"/>
  <c r="AT715" i="12" s="1"/>
  <c r="AT128" i="12" a="1"/>
  <c r="AT128" i="12" s="1"/>
  <c r="AT86" i="12" a="1"/>
  <c r="AT86" i="12" s="1"/>
  <c r="AT259" i="12" a="1"/>
  <c r="AT259" i="12" s="1"/>
  <c r="AT471" i="12" a="1"/>
  <c r="AT471" i="12" s="1"/>
  <c r="AT456" i="12" a="1"/>
  <c r="AT456" i="12" s="1"/>
  <c r="AT606" i="12" a="1"/>
  <c r="AT606" i="12" s="1"/>
  <c r="AT84" i="12" a="1"/>
  <c r="AT84" i="12" s="1"/>
  <c r="AT490" i="12" a="1"/>
  <c r="AT490" i="12" s="1"/>
  <c r="AT541" i="12" a="1"/>
  <c r="AT541" i="12" s="1"/>
  <c r="AT582" i="12" a="1"/>
  <c r="AT582" i="12" s="1"/>
  <c r="AT618" i="12" a="1"/>
  <c r="AT618" i="12" s="1"/>
  <c r="AT585" i="12" a="1"/>
  <c r="AT585" i="12" s="1"/>
  <c r="AT362" i="12" a="1"/>
  <c r="AT362" i="12" s="1"/>
  <c r="AT409" i="12" a="1"/>
  <c r="AT409" i="12" s="1"/>
  <c r="AT221" i="12" a="1"/>
  <c r="AT221" i="12" s="1"/>
  <c r="AT424" i="12" a="1"/>
  <c r="AT424" i="12" s="1"/>
  <c r="AT102" i="12" a="1"/>
  <c r="AT102" i="12" s="1"/>
  <c r="AT271" i="12" a="1"/>
  <c r="AT271" i="12" s="1"/>
  <c r="AT163" i="12" a="1"/>
  <c r="AT163" i="12" s="1"/>
  <c r="AT420" i="12" a="1"/>
  <c r="AT420" i="12" s="1"/>
  <c r="AT370" i="12" a="1"/>
  <c r="AT370" i="12" s="1"/>
  <c r="AT293" i="12" a="1"/>
  <c r="AT293" i="12" s="1"/>
  <c r="AT467" i="12" a="1"/>
  <c r="AT467" i="12" s="1"/>
  <c r="AT103" i="12" a="1"/>
  <c r="AT103" i="12" s="1"/>
  <c r="AT223" i="12" a="1"/>
  <c r="AT223" i="12" s="1"/>
  <c r="AT521" i="12" a="1"/>
  <c r="AT521" i="12" s="1"/>
  <c r="AT540" i="12" a="1"/>
  <c r="AT540" i="12" s="1"/>
  <c r="AT630" i="12" a="1"/>
  <c r="AT630" i="12" s="1"/>
  <c r="AT238" i="12" a="1"/>
  <c r="AT238" i="12" s="1"/>
  <c r="AT624" i="12" a="1"/>
  <c r="AT624" i="12" s="1"/>
  <c r="AT634" i="12" a="1"/>
  <c r="AT634" i="12" s="1"/>
  <c r="AT567" i="12" a="1"/>
  <c r="AT567" i="12" s="1"/>
  <c r="AT292" i="12" a="1"/>
  <c r="AT292" i="12" s="1"/>
  <c r="AT177" i="12" a="1"/>
  <c r="AT177" i="12" s="1"/>
  <c r="AT226" i="12" a="1"/>
  <c r="AT226" i="12" s="1"/>
  <c r="AT34" i="12" a="1"/>
  <c r="AT34" i="12" s="1"/>
  <c r="AT189" i="12" a="1"/>
  <c r="AT189" i="12" s="1"/>
  <c r="AT237" i="12" a="1"/>
  <c r="AT237" i="12" s="1"/>
  <c r="AT262" i="12" a="1"/>
  <c r="AT262" i="12" s="1"/>
  <c r="AT295" i="12" a="1"/>
  <c r="AT295" i="12" s="1"/>
  <c r="W72" i="12"/>
  <c r="AT92" i="12" a="1"/>
  <c r="AT92" i="12" s="1"/>
  <c r="AE72" i="12"/>
  <c r="AT538" i="12" a="1"/>
  <c r="AT538" i="12" s="1"/>
  <c r="AT299" i="12" a="1"/>
  <c r="AT299" i="12" s="1"/>
  <c r="AT70" i="12" a="1"/>
  <c r="AT70" i="12" s="1"/>
  <c r="U72" i="12"/>
  <c r="V72" i="12"/>
  <c r="AT464" i="12" a="1"/>
  <c r="AT464" i="12" s="1"/>
  <c r="AC72" i="12"/>
  <c r="AD72" i="12"/>
  <c r="AT644" i="12" a="1"/>
  <c r="AT644" i="12" s="1"/>
  <c r="AT682" i="12" a="1"/>
  <c r="AT682" i="12" s="1"/>
  <c r="AT451" i="12" a="1"/>
  <c r="AT451" i="12" s="1"/>
  <c r="AT547" i="12" a="1"/>
  <c r="AT547" i="12" s="1"/>
  <c r="AT714" i="12" a="1"/>
  <c r="AT714" i="12" s="1"/>
  <c r="AT703" i="12" a="1"/>
  <c r="AT703" i="12" s="1"/>
  <c r="AT462" i="12" a="1"/>
  <c r="AT462" i="12" s="1"/>
  <c r="AT94" i="12" a="1"/>
  <c r="AT94" i="12" s="1"/>
  <c r="AT710" i="12" a="1"/>
  <c r="AT710" i="12" s="1"/>
  <c r="AT112" i="12" a="1"/>
  <c r="AT112" i="12" s="1"/>
  <c r="AT713" i="12" a="1"/>
  <c r="AT713" i="12" s="1"/>
  <c r="AT387" i="12" a="1"/>
  <c r="AT387" i="12" s="1"/>
  <c r="AT162" i="12" a="1"/>
  <c r="AT162" i="12" s="1"/>
  <c r="AT468" i="12" a="1"/>
  <c r="AT468" i="12" s="1"/>
  <c r="AT489" i="12" a="1"/>
  <c r="AT489" i="12" s="1"/>
  <c r="AT197" i="12" a="1"/>
  <c r="AT197" i="12" s="1"/>
  <c r="AT348" i="12" a="1"/>
  <c r="AT348" i="12" s="1"/>
  <c r="AT351" i="12" a="1"/>
  <c r="AT351" i="12" s="1"/>
  <c r="AT56" i="12" a="1"/>
  <c r="AT56" i="12" s="1"/>
  <c r="AT520" i="12" a="1"/>
  <c r="AT520" i="12" s="1"/>
  <c r="AT5" i="12" a="1"/>
  <c r="AT5" i="12" s="1"/>
  <c r="AT534" i="12" a="1"/>
  <c r="AT534" i="12" s="1"/>
  <c r="AT498" i="12" a="1"/>
  <c r="AT498" i="12" s="1"/>
  <c r="AT354" i="12" a="1"/>
  <c r="AT354" i="12" s="1"/>
  <c r="AT298" i="12" a="1"/>
  <c r="AT298" i="12" s="1"/>
  <c r="AT404" i="12" a="1"/>
  <c r="AT404" i="12" s="1"/>
  <c r="AT35" i="12" a="1"/>
  <c r="AT35" i="12" s="1"/>
  <c r="AT548" i="12" a="1"/>
  <c r="AT548" i="12" s="1"/>
  <c r="B43" i="12"/>
  <c r="B41" i="12"/>
  <c r="B40" i="12"/>
  <c r="B42" i="12"/>
  <c r="AT465" i="12" a="1"/>
  <c r="AT465" i="12" s="1"/>
  <c r="O72" i="12"/>
  <c r="AT96" i="12" a="1"/>
  <c r="AT96" i="12" s="1"/>
  <c r="AT71" i="12" a="1"/>
  <c r="AT71" i="12" s="1"/>
  <c r="AT656" i="12" a="1"/>
  <c r="AT656" i="12" s="1"/>
  <c r="AT217" i="12" a="1"/>
  <c r="AT217" i="12" s="1"/>
  <c r="AT21" i="12" a="1"/>
  <c r="AT21" i="12" s="1"/>
  <c r="AT568" i="12" a="1"/>
  <c r="AT568" i="12" s="1"/>
  <c r="AT201" i="12" a="1"/>
  <c r="AT201" i="12" s="1"/>
  <c r="AT153" i="12" a="1"/>
  <c r="AT153" i="12" s="1"/>
  <c r="AT604" i="12" a="1"/>
  <c r="AT604" i="12" s="1"/>
  <c r="AT506" i="12" a="1"/>
  <c r="AT506" i="12" s="1"/>
  <c r="N72" i="12"/>
  <c r="M72" i="12"/>
  <c r="AT360" i="12" a="1"/>
  <c r="AT360" i="12" s="1"/>
  <c r="AT325" i="12" a="1"/>
  <c r="AT325" i="12" s="1"/>
  <c r="AT488" i="12" a="1"/>
  <c r="AT488" i="12" s="1"/>
  <c r="AT560" i="12" a="1"/>
  <c r="AT560" i="12" s="1"/>
  <c r="AT195" i="12" a="1"/>
  <c r="AT195" i="12" s="1"/>
  <c r="AT423" i="12" a="1"/>
  <c r="AT423" i="12" s="1"/>
  <c r="AT602" i="12" a="1"/>
  <c r="AT602" i="12" s="1"/>
  <c r="AT391" i="12" a="1"/>
  <c r="AT391" i="12" s="1"/>
  <c r="AT648" i="12" a="1"/>
  <c r="AT648" i="12" s="1"/>
  <c r="AT276" i="12" a="1"/>
  <c r="AT276" i="12" s="1"/>
  <c r="AT669" i="12" a="1"/>
  <c r="AT669" i="12" s="1"/>
  <c r="AT49" i="12" a="1"/>
  <c r="AT49" i="12" s="1"/>
  <c r="AT660" i="12" a="1"/>
  <c r="AT660" i="12" s="1"/>
  <c r="AT216" i="12" a="1"/>
  <c r="AT216" i="12" s="1"/>
  <c r="AT503" i="12" a="1"/>
  <c r="AT503" i="12" s="1"/>
  <c r="AT412" i="12" a="1"/>
  <c r="AT412" i="12" s="1"/>
  <c r="AT98" i="12" a="1"/>
  <c r="AT98" i="12" s="1"/>
  <c r="AT655" i="12" a="1"/>
  <c r="AT655" i="12" s="1"/>
  <c r="AT289" i="12" a="1"/>
  <c r="AT289" i="12" s="1"/>
  <c r="AT361" i="12" a="1"/>
  <c r="AT361" i="12" s="1"/>
  <c r="AT255" i="12" a="1"/>
  <c r="AT255" i="12" s="1"/>
  <c r="AT491" i="12" a="1"/>
  <c r="AT491" i="12" s="1"/>
  <c r="AT667" i="12" a="1"/>
  <c r="AT667" i="12" s="1"/>
  <c r="AT407" i="12" a="1"/>
  <c r="AT407" i="12" s="1"/>
  <c r="AT427" i="12" a="1"/>
  <c r="AT427" i="12" s="1"/>
  <c r="AT264" i="12" a="1"/>
  <c r="AT264" i="12" s="1"/>
  <c r="AT668" i="12" a="1"/>
  <c r="AT668" i="12" s="1"/>
  <c r="AT577" i="12" a="1"/>
  <c r="AT577" i="12" s="1"/>
  <c r="AT389" i="12" a="1"/>
  <c r="AT389" i="12" s="1"/>
  <c r="AT257" i="12" a="1"/>
  <c r="AT257" i="12" s="1"/>
  <c r="AT444" i="12" a="1"/>
  <c r="AT444" i="12" s="1"/>
  <c r="AT393" i="12" a="1"/>
  <c r="AT393" i="12" s="1"/>
  <c r="AT67" i="12" a="1"/>
  <c r="AT67" i="12" s="1"/>
  <c r="AT126" i="12" a="1"/>
  <c r="AT126" i="12" s="1"/>
  <c r="AT13" i="12" a="1"/>
  <c r="AT13" i="12" s="1"/>
  <c r="AT388" i="12" a="1"/>
  <c r="AT388" i="12" s="1"/>
  <c r="AT178" i="12" a="1"/>
  <c r="AT178" i="12" s="1"/>
  <c r="AT616" i="12" a="1"/>
  <c r="AT616" i="12" s="1"/>
  <c r="AT493" i="12" a="1"/>
  <c r="AT493" i="12" s="1"/>
  <c r="AT43" i="12" a="1"/>
  <c r="AT43" i="12" s="1"/>
  <c r="AT559" i="12" a="1"/>
  <c r="AT559" i="12" s="1"/>
  <c r="AT176" i="12" a="1"/>
  <c r="AT176" i="12" s="1"/>
  <c r="AT665" i="12" a="1"/>
  <c r="AT665" i="12" s="1"/>
  <c r="AT317" i="12" a="1"/>
  <c r="AT317" i="12" s="1"/>
  <c r="AT150" i="12" a="1"/>
  <c r="AT150" i="12" s="1"/>
  <c r="AT17" i="12" a="1"/>
  <c r="AT17" i="12" s="1"/>
  <c r="AT253" i="12" a="1"/>
  <c r="AT253" i="12" s="1"/>
  <c r="AT55" i="12" a="1"/>
  <c r="AT55" i="12" s="1"/>
  <c r="AT383" i="12" a="1"/>
  <c r="AT383" i="12" s="1"/>
  <c r="AT448" i="12" a="1"/>
  <c r="AT448" i="12" s="1"/>
  <c r="AT696" i="12" a="1"/>
  <c r="AT696" i="12" s="1"/>
  <c r="AT242" i="12" a="1"/>
  <c r="AT242" i="12" s="1"/>
  <c r="AT28" i="12" a="1"/>
  <c r="AT28" i="12" s="1"/>
  <c r="AT719" i="12" a="1"/>
  <c r="AT719" i="12" s="1"/>
  <c r="B20" i="10"/>
  <c r="C20" i="10" s="1"/>
  <c r="E30" i="14"/>
  <c r="E51" i="14"/>
  <c r="E16" i="14"/>
  <c r="D23" i="14"/>
  <c r="K64" i="14"/>
  <c r="I57" i="14"/>
  <c r="H60" i="14"/>
  <c r="E50" i="12" l="1" a="1"/>
  <c r="E50" i="12" s="1"/>
  <c r="E49" i="12" a="1"/>
  <c r="E49" i="12" s="1"/>
  <c r="E43" i="12" a="1"/>
  <c r="E43" i="12" s="1"/>
  <c r="E45" i="12" a="1"/>
  <c r="E45" i="12" s="1"/>
  <c r="E48" i="12" a="1"/>
  <c r="E48" i="12" s="1"/>
  <c r="AA73" i="12"/>
  <c r="AB73" i="12" s="1"/>
  <c r="S73" i="12"/>
  <c r="T73" i="12" s="1"/>
  <c r="E46" i="12" a="1"/>
  <c r="E46" i="12" s="1"/>
  <c r="E47" i="12" a="1"/>
  <c r="E47" i="12" s="1"/>
  <c r="K73" i="12"/>
  <c r="L73" i="12" s="1"/>
  <c r="E44" i="12" a="1"/>
  <c r="E44" i="12" s="1"/>
  <c r="D20" i="10"/>
  <c r="B21" i="10" s="1"/>
  <c r="C21" i="10" s="1"/>
  <c r="E20" i="10"/>
  <c r="J57" i="14"/>
  <c r="I60" i="14"/>
  <c r="L64" i="14"/>
  <c r="G67" i="14"/>
  <c r="E39" i="14"/>
  <c r="E17" i="14"/>
  <c r="E18" i="14" s="1"/>
  <c r="E19" i="14" s="1"/>
  <c r="E20" i="14" s="1"/>
  <c r="E22" i="14" s="1"/>
  <c r="E32" i="14" s="1"/>
  <c r="E24" i="14"/>
  <c r="D34" i="14"/>
  <c r="D35" i="14" s="1"/>
  <c r="D33" i="14"/>
  <c r="D21" i="10" l="1"/>
  <c r="E21" i="10"/>
  <c r="W73" i="12"/>
  <c r="S74" i="12" s="1"/>
  <c r="T74" i="12" s="1"/>
  <c r="O73" i="12"/>
  <c r="M73" i="12"/>
  <c r="N73" i="12"/>
  <c r="U73" i="12"/>
  <c r="V73" i="12"/>
  <c r="AE73" i="12"/>
  <c r="AC73" i="12"/>
  <c r="AD73" i="12"/>
  <c r="H67" i="14"/>
  <c r="M64" i="14"/>
  <c r="F50" i="14"/>
  <c r="F38" i="14" s="1"/>
  <c r="E26" i="14"/>
  <c r="E25" i="14"/>
  <c r="K57" i="14"/>
  <c r="J60" i="14"/>
  <c r="E27" i="14"/>
  <c r="E28" i="14" s="1"/>
  <c r="F37" i="14" l="1"/>
  <c r="G82" i="14" s="1"/>
  <c r="AA74" i="12"/>
  <c r="AB74" i="12" s="1"/>
  <c r="W74" i="12"/>
  <c r="U74" i="12"/>
  <c r="V74" i="12"/>
  <c r="K74" i="12"/>
  <c r="L74" i="12" s="1"/>
  <c r="I67" i="14"/>
  <c r="E23" i="14"/>
  <c r="F51" i="14"/>
  <c r="F16" i="14"/>
  <c r="F30" i="14"/>
  <c r="N64" i="14"/>
  <c r="K60" i="14"/>
  <c r="L57" i="14"/>
  <c r="M74" i="12" l="1"/>
  <c r="N74" i="12"/>
  <c r="AE74" i="12"/>
  <c r="O74" i="12"/>
  <c r="S75" i="12"/>
  <c r="T75" i="12" s="1"/>
  <c r="AD74" i="12"/>
  <c r="AC74" i="12"/>
  <c r="O64" i="14"/>
  <c r="F17" i="14"/>
  <c r="F18" i="14" s="1"/>
  <c r="F19" i="14" s="1"/>
  <c r="F20" i="14" s="1"/>
  <c r="F22" i="14" s="1"/>
  <c r="F32" i="14" s="1"/>
  <c r="F24" i="14"/>
  <c r="E34" i="14"/>
  <c r="E35" i="14" s="1"/>
  <c r="E33" i="14"/>
  <c r="J67" i="14"/>
  <c r="M57" i="14"/>
  <c r="L60" i="14"/>
  <c r="F39" i="14"/>
  <c r="W75" i="12" l="1"/>
  <c r="V75" i="12"/>
  <c r="U75" i="12"/>
  <c r="S76" i="12"/>
  <c r="T76" i="12" s="1"/>
  <c r="K75" i="12"/>
  <c r="L75" i="12" s="1"/>
  <c r="AA75" i="12"/>
  <c r="AB75" i="12" s="1"/>
  <c r="G50" i="14"/>
  <c r="G38" i="14" s="1"/>
  <c r="N57" i="14"/>
  <c r="M60" i="14"/>
  <c r="F27" i="14"/>
  <c r="F28" i="14" s="1"/>
  <c r="F26" i="14"/>
  <c r="F25" i="14"/>
  <c r="P64" i="14"/>
  <c r="G37" i="14" l="1"/>
  <c r="H82" i="14" s="1"/>
  <c r="AE75" i="12"/>
  <c r="AA76" i="12" s="1"/>
  <c r="AB76" i="12" s="1"/>
  <c r="AC75" i="12"/>
  <c r="AD75" i="12"/>
  <c r="O75" i="12"/>
  <c r="M75" i="12"/>
  <c r="N75" i="12"/>
  <c r="W76" i="12"/>
  <c r="U76" i="12"/>
  <c r="V76" i="12"/>
  <c r="F23" i="14"/>
  <c r="O57" i="14"/>
  <c r="N60" i="14"/>
  <c r="G16" i="14"/>
  <c r="G51" i="14"/>
  <c r="G30" i="14"/>
  <c r="K67" i="14"/>
  <c r="Q64" i="14"/>
  <c r="AC76" i="12" l="1"/>
  <c r="AD76" i="12"/>
  <c r="S77" i="12"/>
  <c r="T77" i="12" s="1"/>
  <c r="K76" i="12"/>
  <c r="L76" i="12" s="1"/>
  <c r="AE76" i="12"/>
  <c r="L67" i="14"/>
  <c r="G39" i="14"/>
  <c r="G24" i="14"/>
  <c r="G17" i="14"/>
  <c r="G18" i="14" s="1"/>
  <c r="G19" i="14" s="1"/>
  <c r="G20" i="14" s="1"/>
  <c r="G22" i="14" s="1"/>
  <c r="G32" i="14" s="1"/>
  <c r="P57" i="14"/>
  <c r="O60" i="14"/>
  <c r="F33" i="14"/>
  <c r="F34" i="14"/>
  <c r="F35" i="14" s="1"/>
  <c r="R64" i="14"/>
  <c r="O76" i="12" l="1"/>
  <c r="W77" i="12"/>
  <c r="S78" i="12" s="1"/>
  <c r="T78" i="12" s="1"/>
  <c r="AA77" i="12"/>
  <c r="AB77" i="12" s="1"/>
  <c r="M76" i="12"/>
  <c r="N76" i="12"/>
  <c r="U77" i="12"/>
  <c r="V77" i="12"/>
  <c r="K77" i="12"/>
  <c r="L77" i="12" s="1"/>
  <c r="M67" i="14"/>
  <c r="G27" i="14"/>
  <c r="G28" i="14" s="1"/>
  <c r="H50" i="14"/>
  <c r="H38" i="14" s="1"/>
  <c r="G26" i="14"/>
  <c r="G25" i="14"/>
  <c r="P60" i="14"/>
  <c r="Q57" i="14"/>
  <c r="S64" i="14"/>
  <c r="H37" i="14" l="1"/>
  <c r="I82" i="14" s="1"/>
  <c r="W78" i="12"/>
  <c r="AE77" i="12"/>
  <c r="O77" i="12"/>
  <c r="AA78" i="12"/>
  <c r="AB78" i="12" s="1"/>
  <c r="N77" i="12"/>
  <c r="M77" i="12"/>
  <c r="S79" i="12"/>
  <c r="T79" i="12" s="1"/>
  <c r="U78" i="12"/>
  <c r="V78" i="12"/>
  <c r="AD77" i="12"/>
  <c r="AC77" i="12"/>
  <c r="N67" i="14"/>
  <c r="Q60" i="14"/>
  <c r="R57" i="14"/>
  <c r="H16" i="14"/>
  <c r="H30" i="14"/>
  <c r="H51" i="14"/>
  <c r="T64" i="14"/>
  <c r="G23" i="14"/>
  <c r="AE78" i="12" l="1"/>
  <c r="W79" i="12"/>
  <c r="V79" i="12"/>
  <c r="U79" i="12"/>
  <c r="AA79" i="12"/>
  <c r="AB79" i="12" s="1"/>
  <c r="AD78" i="12"/>
  <c r="AC78" i="12"/>
  <c r="K78" i="12"/>
  <c r="L78" i="12" s="1"/>
  <c r="U64" i="14"/>
  <c r="H24" i="14"/>
  <c r="H17" i="14"/>
  <c r="H18" i="14" s="1"/>
  <c r="H19" i="14" s="1"/>
  <c r="H20" i="14" s="1"/>
  <c r="H22" i="14" s="1"/>
  <c r="H32" i="14" s="1"/>
  <c r="S57" i="14"/>
  <c r="R60" i="14"/>
  <c r="G34" i="14"/>
  <c r="G35" i="14" s="1"/>
  <c r="G33" i="14"/>
  <c r="I50" i="14"/>
  <c r="I38" i="14" s="1"/>
  <c r="I37" i="14" l="1"/>
  <c r="J82" i="14" s="1"/>
  <c r="O78" i="12"/>
  <c r="K79" i="12" s="1"/>
  <c r="L79" i="12" s="1"/>
  <c r="AC79" i="12"/>
  <c r="AD79" i="12"/>
  <c r="S80" i="12"/>
  <c r="T80" i="12" s="1"/>
  <c r="M78" i="12"/>
  <c r="N78" i="12"/>
  <c r="AE79" i="12"/>
  <c r="O67" i="14"/>
  <c r="I16" i="14"/>
  <c r="I51" i="14"/>
  <c r="I30" i="14"/>
  <c r="S60" i="14"/>
  <c r="T57" i="14"/>
  <c r="H27" i="14"/>
  <c r="H28" i="14" s="1"/>
  <c r="H26" i="14"/>
  <c r="H25" i="14"/>
  <c r="V64" i="14"/>
  <c r="W80" i="12" l="1"/>
  <c r="N79" i="12"/>
  <c r="M79" i="12"/>
  <c r="O79" i="12"/>
  <c r="AA80" i="12"/>
  <c r="AB80" i="12" s="1"/>
  <c r="S81" i="12"/>
  <c r="T81" i="12" s="1"/>
  <c r="V80" i="12"/>
  <c r="U80" i="12"/>
  <c r="H36" i="14"/>
  <c r="H39" i="14" s="1"/>
  <c r="H23" i="14"/>
  <c r="I17" i="14"/>
  <c r="I18" i="14" s="1"/>
  <c r="I19" i="14" s="1"/>
  <c r="I24" i="14"/>
  <c r="W64" i="14"/>
  <c r="U57" i="14"/>
  <c r="T60" i="14"/>
  <c r="J50" i="14"/>
  <c r="J38" i="14" s="1"/>
  <c r="J37" i="14" l="1"/>
  <c r="K82" i="14" s="1"/>
  <c r="K80" i="12"/>
  <c r="L80" i="12" s="1"/>
  <c r="AC80" i="12"/>
  <c r="AD80" i="12"/>
  <c r="W81" i="12"/>
  <c r="V81" i="12"/>
  <c r="U81" i="12"/>
  <c r="AE80" i="12"/>
  <c r="I20" i="14"/>
  <c r="I27" i="14" s="1"/>
  <c r="I28" i="14" s="1"/>
  <c r="J16" i="14"/>
  <c r="J51" i="14"/>
  <c r="J30" i="14"/>
  <c r="H34" i="14"/>
  <c r="H35" i="14" s="1"/>
  <c r="H33" i="14"/>
  <c r="V57" i="14"/>
  <c r="U60" i="14"/>
  <c r="P67" i="14"/>
  <c r="X64" i="14"/>
  <c r="I26" i="14"/>
  <c r="I25" i="14"/>
  <c r="AA81" i="12" l="1"/>
  <c r="AB81" i="12" s="1"/>
  <c r="O80" i="12"/>
  <c r="M80" i="12"/>
  <c r="N80" i="12"/>
  <c r="I22" i="14"/>
  <c r="Q67" i="14"/>
  <c r="Y64" i="14"/>
  <c r="W57" i="14"/>
  <c r="I36" i="14"/>
  <c r="I39" i="14" s="1"/>
  <c r="J17" i="14"/>
  <c r="J18" i="14" s="1"/>
  <c r="J19" i="14" s="1"/>
  <c r="J20" i="14" s="1"/>
  <c r="J22" i="14" s="1"/>
  <c r="J32" i="14" s="1"/>
  <c r="J24" i="14"/>
  <c r="K50" i="14"/>
  <c r="K38" i="14" s="1"/>
  <c r="I23" i="14" l="1"/>
  <c r="I32" i="14"/>
  <c r="I34" i="14" s="1"/>
  <c r="I35" i="14" s="1"/>
  <c r="K37" i="14"/>
  <c r="L82" i="14" s="1"/>
  <c r="AC81" i="12"/>
  <c r="AD81" i="12"/>
  <c r="K81" i="12"/>
  <c r="L81" i="12" s="1"/>
  <c r="AE81" i="12"/>
  <c r="R67" i="14"/>
  <c r="J27" i="14"/>
  <c r="J28" i="14" s="1"/>
  <c r="J25" i="14"/>
  <c r="J26" i="14"/>
  <c r="X57" i="14"/>
  <c r="Z64" i="14"/>
  <c r="K16" i="14"/>
  <c r="K30" i="14"/>
  <c r="K51" i="14"/>
  <c r="M81" i="12" l="1"/>
  <c r="N81" i="12"/>
  <c r="O81" i="12"/>
  <c r="I33" i="14"/>
  <c r="L50" i="14"/>
  <c r="L38" i="14" s="1"/>
  <c r="Y57" i="14"/>
  <c r="K17" i="14"/>
  <c r="K18" i="14" s="1"/>
  <c r="K19" i="14" s="1"/>
  <c r="K20" i="14" s="1"/>
  <c r="K22" i="14" s="1"/>
  <c r="K32" i="14" s="1"/>
  <c r="K24" i="14"/>
  <c r="AA64" i="14"/>
  <c r="J36" i="14"/>
  <c r="J23" i="14"/>
  <c r="L37" i="14" l="1"/>
  <c r="M82" i="14" s="1"/>
  <c r="S67" i="14"/>
  <c r="T67" i="14"/>
  <c r="AB64" i="14"/>
  <c r="Z57" i="14"/>
  <c r="K36" i="14"/>
  <c r="J39" i="14"/>
  <c r="K26" i="14"/>
  <c r="K25" i="14"/>
  <c r="J34" i="14"/>
  <c r="J35" i="14" s="1"/>
  <c r="J33" i="14"/>
  <c r="K27" i="14"/>
  <c r="K28" i="14" s="1"/>
  <c r="L16" i="14"/>
  <c r="L51" i="14"/>
  <c r="L30" i="14"/>
  <c r="L36" i="14" l="1"/>
  <c r="K39" i="14"/>
  <c r="M50" i="14"/>
  <c r="M38" i="14" s="1"/>
  <c r="K23" i="14"/>
  <c r="AA57" i="14"/>
  <c r="L17" i="14"/>
  <c r="L18" i="14" s="1"/>
  <c r="L19" i="14" s="1"/>
  <c r="L20" i="14" s="1"/>
  <c r="L22" i="14" s="1"/>
  <c r="L32" i="14" s="1"/>
  <c r="L24" i="14"/>
  <c r="AC64" i="14"/>
  <c r="M37" i="14" l="1"/>
  <c r="N82" i="14" s="1"/>
  <c r="AB57" i="14"/>
  <c r="AD64" i="14"/>
  <c r="K34" i="14"/>
  <c r="K35" i="14" s="1"/>
  <c r="K33" i="14"/>
  <c r="L27" i="14"/>
  <c r="L28" i="14" s="1"/>
  <c r="U67" i="14"/>
  <c r="L26" i="14"/>
  <c r="L25" i="14"/>
  <c r="M16" i="14"/>
  <c r="M30" i="14"/>
  <c r="M51" i="14"/>
  <c r="M36" i="14"/>
  <c r="L39" i="14"/>
  <c r="M24" i="14" l="1"/>
  <c r="M17" i="14"/>
  <c r="M18" i="14" s="1"/>
  <c r="M19" i="14" s="1"/>
  <c r="M20" i="14" s="1"/>
  <c r="M22" i="14" s="1"/>
  <c r="M32" i="14" s="1"/>
  <c r="L23" i="14"/>
  <c r="AE64" i="14"/>
  <c r="N50" i="14"/>
  <c r="N38" i="14" s="1"/>
  <c r="N36" i="14"/>
  <c r="M39" i="14"/>
  <c r="AC57" i="14"/>
  <c r="N37" i="14" l="1"/>
  <c r="O82" i="14" s="1"/>
  <c r="AD57" i="14"/>
  <c r="N51" i="14"/>
  <c r="N30" i="14"/>
  <c r="N16" i="14"/>
  <c r="L33" i="14"/>
  <c r="L34" i="14"/>
  <c r="L35" i="14" s="1"/>
  <c r="O36" i="14"/>
  <c r="AF64" i="14"/>
  <c r="AG64" i="14" s="1"/>
  <c r="M27" i="14"/>
  <c r="M28" i="14" s="1"/>
  <c r="M26" i="14"/>
  <c r="M25" i="14"/>
  <c r="AH64" i="14" l="1"/>
  <c r="M23" i="14"/>
  <c r="O50" i="14"/>
  <c r="O38" i="14" s="1"/>
  <c r="N39" i="14"/>
  <c r="P36" i="14"/>
  <c r="N17" i="14"/>
  <c r="N18" i="14" s="1"/>
  <c r="N19" i="14" s="1"/>
  <c r="N20" i="14" s="1"/>
  <c r="N22" i="14" s="1"/>
  <c r="N32" i="14" s="1"/>
  <c r="N24" i="14"/>
  <c r="AE57" i="14"/>
  <c r="O37" i="14" l="1"/>
  <c r="P82" i="14" s="1"/>
  <c r="AI64" i="14"/>
  <c r="AF57" i="14"/>
  <c r="AG57" i="14" s="1"/>
  <c r="N27" i="14"/>
  <c r="N28" i="14" s="1"/>
  <c r="O16" i="14"/>
  <c r="O30" i="14"/>
  <c r="O51" i="14"/>
  <c r="N25" i="14"/>
  <c r="N26" i="14"/>
  <c r="Q36" i="14"/>
  <c r="M34" i="14"/>
  <c r="M35" i="14" s="1"/>
  <c r="M33" i="14"/>
  <c r="AH57" i="14" l="1"/>
  <c r="AJ64" i="14"/>
  <c r="R36" i="14"/>
  <c r="N23" i="14"/>
  <c r="O17" i="14"/>
  <c r="O18" i="14" s="1"/>
  <c r="O19" i="14" s="1"/>
  <c r="O20" i="14" s="1"/>
  <c r="O22" i="14" s="1"/>
  <c r="O32" i="14" s="1"/>
  <c r="O24" i="14"/>
  <c r="P50" i="14"/>
  <c r="P38" i="14" s="1"/>
  <c r="O39" i="14"/>
  <c r="P37" i="14" l="1"/>
  <c r="Q82" i="14" s="1"/>
  <c r="AK64" i="14"/>
  <c r="AI57" i="14"/>
  <c r="AJ57" i="14" s="1"/>
  <c r="O27" i="14"/>
  <c r="O28" i="14" s="1"/>
  <c r="N34" i="14"/>
  <c r="N35" i="14" s="1"/>
  <c r="N33" i="14"/>
  <c r="P16" i="14"/>
  <c r="P51" i="14"/>
  <c r="P30" i="14"/>
  <c r="O25" i="14"/>
  <c r="O26" i="14"/>
  <c r="S36" i="14"/>
  <c r="AK57" i="14" l="1"/>
  <c r="AL64" i="14"/>
  <c r="T36" i="14"/>
  <c r="P24" i="14"/>
  <c r="P17" i="14"/>
  <c r="P18" i="14" s="1"/>
  <c r="P19" i="14" s="1"/>
  <c r="P20" i="14" s="1"/>
  <c r="P22" i="14" s="1"/>
  <c r="P32" i="14" s="1"/>
  <c r="Q50" i="14"/>
  <c r="Q38" i="14" s="1"/>
  <c r="P39" i="14"/>
  <c r="O23" i="14"/>
  <c r="Q37" i="14" l="1"/>
  <c r="R82" i="14" s="1"/>
  <c r="AM64" i="14"/>
  <c r="AL57" i="14"/>
  <c r="Q16" i="14"/>
  <c r="Q51" i="14"/>
  <c r="Q30" i="14"/>
  <c r="O34" i="14"/>
  <c r="O35" i="14" s="1"/>
  <c r="O33" i="14"/>
  <c r="P27" i="14"/>
  <c r="P28" i="14" s="1"/>
  <c r="P26" i="14"/>
  <c r="P25" i="14"/>
  <c r="U36" i="14"/>
  <c r="AM57" i="14" l="1"/>
  <c r="AN64" i="14"/>
  <c r="V36" i="14"/>
  <c r="P23" i="14"/>
  <c r="R50" i="14"/>
  <c r="R38" i="14" s="1"/>
  <c r="Q39" i="14"/>
  <c r="Q24" i="14"/>
  <c r="Q17" i="14"/>
  <c r="Q18" i="14" s="1"/>
  <c r="Q19" i="14" s="1"/>
  <c r="Q20" i="14" s="1"/>
  <c r="Q22" i="14" s="1"/>
  <c r="Q32" i="14" s="1"/>
  <c r="R37" i="14" l="1"/>
  <c r="S82" i="14" s="1"/>
  <c r="AO64" i="14"/>
  <c r="AN57" i="14"/>
  <c r="Q27" i="14"/>
  <c r="Q28" i="14" s="1"/>
  <c r="Q26" i="14"/>
  <c r="Q25" i="14"/>
  <c r="R16" i="14"/>
  <c r="R30" i="14"/>
  <c r="R51" i="14"/>
  <c r="P34" i="14"/>
  <c r="P35" i="14" s="1"/>
  <c r="P33" i="14"/>
  <c r="W36" i="14"/>
  <c r="AO57" i="14" l="1"/>
  <c r="AP64" i="14"/>
  <c r="X36" i="14"/>
  <c r="R17" i="14"/>
  <c r="R18" i="14" s="1"/>
  <c r="R19" i="14" s="1"/>
  <c r="R20" i="14" s="1"/>
  <c r="R22" i="14" s="1"/>
  <c r="R32" i="14" s="1"/>
  <c r="R24" i="14"/>
  <c r="S50" i="14"/>
  <c r="R39" i="14"/>
  <c r="Q23" i="14"/>
  <c r="S37" i="14" l="1"/>
  <c r="S38" i="14"/>
  <c r="AQ64" i="14"/>
  <c r="AP57" i="14"/>
  <c r="Q33" i="14"/>
  <c r="Q34" i="14"/>
  <c r="Q35" i="14" s="1"/>
  <c r="S16" i="14"/>
  <c r="S51" i="14"/>
  <c r="S30" i="14"/>
  <c r="R26" i="14"/>
  <c r="R25" i="14"/>
  <c r="R27" i="14"/>
  <c r="R28" i="14" s="1"/>
  <c r="Y36" i="14"/>
  <c r="T82" i="14" l="1"/>
  <c r="T50" i="14"/>
  <c r="T38" i="14" s="1"/>
  <c r="AQ57" i="14"/>
  <c r="AR64" i="14"/>
  <c r="R23" i="14"/>
  <c r="S17" i="14"/>
  <c r="S18" i="14" s="1"/>
  <c r="S19" i="14" s="1"/>
  <c r="S20" i="14" s="1"/>
  <c r="S22" i="14" s="1"/>
  <c r="S32" i="14" s="1"/>
  <c r="S24" i="14"/>
  <c r="Z36" i="14"/>
  <c r="S39" i="14"/>
  <c r="T51" i="14" l="1"/>
  <c r="T37" i="14"/>
  <c r="T39" i="14" s="1"/>
  <c r="T30" i="14"/>
  <c r="T16" i="14"/>
  <c r="AS64" i="14"/>
  <c r="AR57" i="14"/>
  <c r="U50" i="14"/>
  <c r="U38" i="14" s="1"/>
  <c r="AA36" i="14"/>
  <c r="S25" i="14"/>
  <c r="S26" i="14"/>
  <c r="T24" i="14"/>
  <c r="T17" i="14"/>
  <c r="T18" i="14" s="1"/>
  <c r="T19" i="14" s="1"/>
  <c r="T20" i="14" s="1"/>
  <c r="T22" i="14" s="1"/>
  <c r="T32" i="14" s="1"/>
  <c r="S27" i="14"/>
  <c r="S28" i="14" s="1"/>
  <c r="R34" i="14"/>
  <c r="R35" i="14" s="1"/>
  <c r="R33" i="14"/>
  <c r="U82" i="14" l="1"/>
  <c r="U37" i="14"/>
  <c r="AS57" i="14"/>
  <c r="AT64" i="14"/>
  <c r="S23" i="14"/>
  <c r="U30" i="14"/>
  <c r="U51" i="14"/>
  <c r="U16" i="14"/>
  <c r="T27" i="14"/>
  <c r="T28" i="14" s="1"/>
  <c r="T26" i="14"/>
  <c r="T25" i="14"/>
  <c r="AB36" i="14"/>
  <c r="AU64" i="14" l="1"/>
  <c r="AT57" i="14"/>
  <c r="T23" i="14"/>
  <c r="U24" i="14"/>
  <c r="U17" i="14"/>
  <c r="U18" i="14" s="1"/>
  <c r="U19" i="14" s="1"/>
  <c r="U20" i="14" s="1"/>
  <c r="U22" i="14" s="1"/>
  <c r="U32" i="14" s="1"/>
  <c r="V15" i="14"/>
  <c r="V31" i="14" s="1"/>
  <c r="U39" i="14"/>
  <c r="AC36" i="14"/>
  <c r="S33" i="14"/>
  <c r="S34" i="14"/>
  <c r="S35" i="14" s="1"/>
  <c r="V107" i="14" l="1"/>
  <c r="V83" i="14" a="1"/>
  <c r="V83" i="14" s="1"/>
  <c r="V106" i="14"/>
  <c r="V105" i="14"/>
  <c r="V104" i="14"/>
  <c r="V82" i="14"/>
  <c r="AU57" i="14"/>
  <c r="AV64" i="14"/>
  <c r="V9" i="14"/>
  <c r="U25" i="14"/>
  <c r="U26" i="14"/>
  <c r="AD36" i="14"/>
  <c r="U27" i="14"/>
  <c r="U28" i="14" s="1"/>
  <c r="T33" i="14"/>
  <c r="T34" i="14"/>
  <c r="T35" i="14" s="1"/>
  <c r="AV57" i="14" l="1"/>
  <c r="AW64" i="14"/>
  <c r="V50" i="14"/>
  <c r="AE36" i="14"/>
  <c r="U23" i="14"/>
  <c r="V37" i="14" l="1"/>
  <c r="V38" i="14"/>
  <c r="V16" i="14"/>
  <c r="AX64" i="14"/>
  <c r="AW57" i="14"/>
  <c r="V51" i="14"/>
  <c r="V30" i="14"/>
  <c r="V60" i="14"/>
  <c r="W15" i="14"/>
  <c r="W31" i="14" s="1"/>
  <c r="V17" i="14"/>
  <c r="V18" i="14" s="1"/>
  <c r="V19" i="14" s="1"/>
  <c r="V20" i="14" s="1"/>
  <c r="V22" i="14" s="1"/>
  <c r="V32" i="14" s="1"/>
  <c r="V24" i="14"/>
  <c r="U34" i="14"/>
  <c r="U35" i="14" s="1"/>
  <c r="U33" i="14"/>
  <c r="AF36" i="14"/>
  <c r="AG36" i="14" s="1"/>
  <c r="W83" i="14" l="1" a="1"/>
  <c r="W83" i="14" s="1"/>
  <c r="W107" i="14"/>
  <c r="W106" i="14"/>
  <c r="W105" i="14"/>
  <c r="W104" i="14"/>
  <c r="W82" i="14"/>
  <c r="AH36" i="14"/>
  <c r="AX57" i="14"/>
  <c r="V39" i="14"/>
  <c r="AY64" i="14"/>
  <c r="V27" i="14"/>
  <c r="V28" i="14" s="1"/>
  <c r="V26" i="14"/>
  <c r="V25" i="14"/>
  <c r="V67" i="14"/>
  <c r="W9" i="14"/>
  <c r="W50" i="14" l="1"/>
  <c r="AY57" i="14"/>
  <c r="AI36" i="14"/>
  <c r="V23" i="14"/>
  <c r="W37" i="14" l="1"/>
  <c r="W38" i="14"/>
  <c r="W16" i="14"/>
  <c r="W17" i="14" s="1"/>
  <c r="W18" i="14" s="1"/>
  <c r="W19" i="14" s="1"/>
  <c r="W20" i="14" s="1"/>
  <c r="W22" i="14" s="1"/>
  <c r="W32" i="14" s="1"/>
  <c r="W30" i="14"/>
  <c r="W51" i="14"/>
  <c r="AJ36" i="14"/>
  <c r="V33" i="14"/>
  <c r="V34" i="14"/>
  <c r="V35" i="14" s="1"/>
  <c r="W60" i="14"/>
  <c r="X15" i="14"/>
  <c r="X31" i="14" s="1"/>
  <c r="W24" i="14" l="1"/>
  <c r="W25" i="14" s="1"/>
  <c r="X83" i="14" a="1"/>
  <c r="X83" i="14" s="1"/>
  <c r="X107" i="14"/>
  <c r="X106" i="14"/>
  <c r="X105" i="14"/>
  <c r="X104" i="14"/>
  <c r="X82" i="14"/>
  <c r="W39" i="14"/>
  <c r="AK36" i="14"/>
  <c r="W27" i="14"/>
  <c r="W28" i="14" s="1"/>
  <c r="X9" i="14"/>
  <c r="X50" i="14" s="1"/>
  <c r="X38" i="14" s="1"/>
  <c r="W67" i="14"/>
  <c r="W26" i="14" l="1"/>
  <c r="X37" i="14"/>
  <c r="AL36" i="14"/>
  <c r="X16" i="14"/>
  <c r="X51" i="14"/>
  <c r="X30" i="14"/>
  <c r="W23" i="14"/>
  <c r="AM36" i="14" l="1"/>
  <c r="W33" i="14"/>
  <c r="W34" i="14"/>
  <c r="W35" i="14" s="1"/>
  <c r="X60" i="14"/>
  <c r="Y15" i="14"/>
  <c r="Y31" i="14" s="1"/>
  <c r="X39" i="14"/>
  <c r="X17" i="14"/>
  <c r="X18" i="14" s="1"/>
  <c r="X19" i="14" s="1"/>
  <c r="X20" i="14" s="1"/>
  <c r="X22" i="14" s="1"/>
  <c r="X32" i="14" s="1"/>
  <c r="X24" i="14"/>
  <c r="Y107" i="14" l="1"/>
  <c r="Y106" i="14"/>
  <c r="Y105" i="14"/>
  <c r="Y83" i="14" a="1"/>
  <c r="Y83" i="14" s="1"/>
  <c r="Y104" i="14"/>
  <c r="Y82" i="14"/>
  <c r="AN36" i="14"/>
  <c r="X25" i="14"/>
  <c r="X26" i="14"/>
  <c r="X67" i="14"/>
  <c r="X27" i="14"/>
  <c r="X28" i="14" s="1"/>
  <c r="Y9" i="14"/>
  <c r="AO36" i="14" l="1"/>
  <c r="Y50" i="14"/>
  <c r="X23" i="14"/>
  <c r="Y37" i="14" l="1"/>
  <c r="Z37" i="14" s="1"/>
  <c r="Y38" i="14"/>
  <c r="Z38" i="14" s="1"/>
  <c r="AP36" i="14"/>
  <c r="X34" i="14"/>
  <c r="X35" i="14" s="1"/>
  <c r="X33" i="14"/>
  <c r="Y60" i="14"/>
  <c r="Y51" i="14"/>
  <c r="Y16" i="14"/>
  <c r="Y30" i="14"/>
  <c r="Z82" i="14" l="1"/>
  <c r="AQ36" i="14"/>
  <c r="Y39" i="14"/>
  <c r="Y17" i="14"/>
  <c r="Y18" i="14" s="1"/>
  <c r="Y19" i="14" s="1"/>
  <c r="Y20" i="14" s="1"/>
  <c r="Y22" i="14" s="1"/>
  <c r="Y32" i="14" s="1"/>
  <c r="Y24" i="14"/>
  <c r="Y67" i="14"/>
  <c r="Z60" i="14"/>
  <c r="AR36" i="14" l="1"/>
  <c r="AA15" i="14"/>
  <c r="Z39" i="14"/>
  <c r="AA63" i="14"/>
  <c r="Y26" i="14"/>
  <c r="Y25" i="14"/>
  <c r="Y27" i="14"/>
  <c r="Y28" i="14" s="1"/>
  <c r="Z30" i="14"/>
  <c r="Z35" i="14" s="1"/>
  <c r="AA65" i="14" l="1"/>
  <c r="AA68" i="14"/>
  <c r="AA66" i="14"/>
  <c r="AA31" i="14"/>
  <c r="AA104" i="14"/>
  <c r="AA83" i="14" a="1"/>
  <c r="AA83" i="14" s="1"/>
  <c r="AA82" i="14"/>
  <c r="AA87" i="14" s="1"/>
  <c r="AS36" i="14"/>
  <c r="AB15" i="14"/>
  <c r="Y23" i="14"/>
  <c r="Z67" i="14"/>
  <c r="AA9" i="14"/>
  <c r="AB31" i="14" l="1"/>
  <c r="AA49" i="14"/>
  <c r="AA107" i="14"/>
  <c r="AB104" i="14"/>
  <c r="AB83" i="14" a="1"/>
  <c r="AB83" i="14" s="1"/>
  <c r="AT36" i="14"/>
  <c r="Y33" i="14"/>
  <c r="Y34" i="14"/>
  <c r="Y35" i="14" s="1"/>
  <c r="AC15" i="14"/>
  <c r="AB9" i="14"/>
  <c r="AC31" i="14" l="1"/>
  <c r="AC104" i="14"/>
  <c r="AC83" i="14" a="1"/>
  <c r="AC83" i="14" s="1"/>
  <c r="AU36" i="14"/>
  <c r="AD15" i="14"/>
  <c r="AC9" i="14"/>
  <c r="AA60" i="14"/>
  <c r="AB63" i="14" l="1"/>
  <c r="AD31" i="14"/>
  <c r="AD104" i="14"/>
  <c r="AD83" i="14" a="1"/>
  <c r="AD83" i="14" s="1"/>
  <c r="AV36" i="14"/>
  <c r="AB60" i="14"/>
  <c r="AE15" i="14"/>
  <c r="AA67" i="14"/>
  <c r="AD9" i="14"/>
  <c r="AB68" i="14" l="1"/>
  <c r="AB66" i="14"/>
  <c r="AB65" i="14"/>
  <c r="AC63" i="14" s="1"/>
  <c r="AE31" i="14"/>
  <c r="AE104" i="14"/>
  <c r="AE83" i="14" a="1"/>
  <c r="AE83" i="14" s="1"/>
  <c r="AW36" i="14"/>
  <c r="AF15" i="14"/>
  <c r="AE9" i="14"/>
  <c r="AB67" i="14"/>
  <c r="AC60" i="14"/>
  <c r="AC68" i="14" l="1"/>
  <c r="AC66" i="14"/>
  <c r="AC65" i="14"/>
  <c r="AC67" i="14" s="1"/>
  <c r="AF31" i="14"/>
  <c r="AF104" i="14"/>
  <c r="AF83" i="14" a="1"/>
  <c r="AF83" i="14" s="1"/>
  <c r="AX36" i="14"/>
  <c r="AD60" i="14"/>
  <c r="AF9" i="14"/>
  <c r="AD63" i="14" l="1"/>
  <c r="AD68" i="14" s="1"/>
  <c r="AY36" i="14"/>
  <c r="AE60" i="14"/>
  <c r="AD66" i="14" l="1"/>
  <c r="AD65" i="14"/>
  <c r="AE63" i="14" s="1"/>
  <c r="AG60" i="14"/>
  <c r="AF60" i="14"/>
  <c r="AD67" i="14" l="1"/>
  <c r="AE68" i="14"/>
  <c r="AE66" i="14"/>
  <c r="AE65" i="14"/>
  <c r="AH60" i="14"/>
  <c r="AE67" i="14" l="1"/>
  <c r="AF63" i="14"/>
  <c r="AF68" i="14" s="1"/>
  <c r="AI60" i="14"/>
  <c r="AF66" i="14" l="1"/>
  <c r="AF65" i="14"/>
  <c r="AJ60" i="14"/>
  <c r="AF67" i="14" l="1"/>
  <c r="AG63" i="14"/>
  <c r="AK60" i="14"/>
  <c r="AG65" i="14" l="1"/>
  <c r="AG68" i="14"/>
  <c r="AG66" i="14"/>
  <c r="AH63" i="14"/>
  <c r="AH68" i="14" s="1"/>
  <c r="AL60" i="14"/>
  <c r="AG67" i="14" l="1"/>
  <c r="AH66" i="14"/>
  <c r="AH65" i="14"/>
  <c r="AO96" i="14"/>
  <c r="AO61" i="14" s="1"/>
  <c r="AM60" i="14"/>
  <c r="AH67" i="14" l="1"/>
  <c r="AI63" i="14"/>
  <c r="AI68" i="14" s="1"/>
  <c r="BB80" i="14" a="1"/>
  <c r="BB80" i="14" s="1"/>
  <c r="AA85" i="14" s="1" a="1"/>
  <c r="AA85" i="14" s="1"/>
  <c r="AO58" i="14"/>
  <c r="AN60" i="14"/>
  <c r="AO84" i="14" l="1"/>
  <c r="N84" i="14"/>
  <c r="N89" i="14" s="1"/>
  <c r="W84" i="14"/>
  <c r="W89" i="14" s="1"/>
  <c r="H84" i="14"/>
  <c r="H95" i="14" s="1"/>
  <c r="AC84" i="14"/>
  <c r="AS84" i="14"/>
  <c r="P84" i="14"/>
  <c r="P95" i="14" s="1"/>
  <c r="O84" i="14"/>
  <c r="O89" i="14" s="1"/>
  <c r="Y84" i="14"/>
  <c r="Y95" i="14" s="1"/>
  <c r="AH84" i="14"/>
  <c r="M84" i="14"/>
  <c r="M90" i="14" s="1"/>
  <c r="AF84" i="14"/>
  <c r="V84" i="14"/>
  <c r="V90" i="14" s="1"/>
  <c r="AM84" i="14"/>
  <c r="AT84" i="14"/>
  <c r="E84" i="14"/>
  <c r="E89" i="14" s="1"/>
  <c r="AU84" i="14"/>
  <c r="R84" i="14"/>
  <c r="R95" i="14" s="1"/>
  <c r="X84" i="14"/>
  <c r="X89" i="14" s="1"/>
  <c r="AN84" i="14"/>
  <c r="AW84" i="14"/>
  <c r="AA86" i="14"/>
  <c r="AA106" i="14" s="1"/>
  <c r="AA90" i="14" s="1"/>
  <c r="AA105" i="14"/>
  <c r="AA89" i="14" s="1"/>
  <c r="AV84" i="14"/>
  <c r="Q84" i="14"/>
  <c r="Q95" i="14" s="1"/>
  <c r="I84" i="14"/>
  <c r="I95" i="14" s="1"/>
  <c r="J84" i="14"/>
  <c r="J89" i="14" s="1"/>
  <c r="AG84" i="14"/>
  <c r="Z84" i="14"/>
  <c r="Z95" i="14" s="1"/>
  <c r="AI84" i="14"/>
  <c r="AP84" i="14"/>
  <c r="D84" i="14"/>
  <c r="D95" i="14" s="1"/>
  <c r="AX84" i="14"/>
  <c r="K84" i="14"/>
  <c r="K89" i="14" s="1"/>
  <c r="T84" i="14"/>
  <c r="S84" i="14"/>
  <c r="S95" i="14" s="1"/>
  <c r="AA84" i="14"/>
  <c r="AA91" i="14" s="1"/>
  <c r="AJ84" i="14"/>
  <c r="AK84" i="14"/>
  <c r="AY84" i="14"/>
  <c r="AQ84" i="14"/>
  <c r="F84" i="14"/>
  <c r="F91" i="14" s="1"/>
  <c r="U84" i="14"/>
  <c r="U91" i="14" s="1"/>
  <c r="L84" i="14"/>
  <c r="L89" i="14" s="1"/>
  <c r="AL84" i="14"/>
  <c r="AD84" i="14"/>
  <c r="AB84" i="14"/>
  <c r="G84" i="14"/>
  <c r="G91" i="14" s="1"/>
  <c r="AE84" i="14"/>
  <c r="AR84" i="14"/>
  <c r="AI66" i="14"/>
  <c r="AI65" i="14"/>
  <c r="AJ63" i="14" s="1"/>
  <c r="AJ68" i="14" s="1"/>
  <c r="N91" i="14"/>
  <c r="N95" i="14"/>
  <c r="N90" i="14"/>
  <c r="T89" i="14"/>
  <c r="T90" i="14"/>
  <c r="T95" i="14"/>
  <c r="T91" i="14"/>
  <c r="H90" i="14"/>
  <c r="H89" i="14"/>
  <c r="X90" i="14"/>
  <c r="X91" i="14"/>
  <c r="X95" i="14"/>
  <c r="AP96" i="14"/>
  <c r="W90" i="14" l="1"/>
  <c r="W95" i="14"/>
  <c r="W91" i="14"/>
  <c r="Q91" i="14"/>
  <c r="P91" i="14"/>
  <c r="P90" i="14"/>
  <c r="H91" i="14"/>
  <c r="P89" i="14"/>
  <c r="S90" i="14"/>
  <c r="S89" i="14"/>
  <c r="AI67" i="14"/>
  <c r="S91" i="14"/>
  <c r="Y91" i="14"/>
  <c r="M89" i="14"/>
  <c r="Y90" i="14"/>
  <c r="Q90" i="14"/>
  <c r="Q89" i="14"/>
  <c r="Y89" i="14"/>
  <c r="O90" i="14"/>
  <c r="O91" i="14"/>
  <c r="O95" i="14"/>
  <c r="K95" i="14"/>
  <c r="V95" i="14"/>
  <c r="E91" i="14"/>
  <c r="K91" i="14"/>
  <c r="K90" i="14"/>
  <c r="V91" i="14"/>
  <c r="E90" i="14"/>
  <c r="V89" i="14"/>
  <c r="R90" i="14"/>
  <c r="R91" i="14"/>
  <c r="R89" i="14"/>
  <c r="E95" i="14"/>
  <c r="M95" i="14"/>
  <c r="M91" i="14"/>
  <c r="J90" i="14"/>
  <c r="U95" i="14"/>
  <c r="J91" i="14"/>
  <c r="F89" i="14"/>
  <c r="I89" i="14"/>
  <c r="Z90" i="14"/>
  <c r="F90" i="14"/>
  <c r="D89" i="14"/>
  <c r="U89" i="14"/>
  <c r="I91" i="14"/>
  <c r="L91" i="14"/>
  <c r="Z89" i="14"/>
  <c r="L90" i="14"/>
  <c r="I90" i="14"/>
  <c r="AJ66" i="14"/>
  <c r="G95" i="14"/>
  <c r="G89" i="14"/>
  <c r="U90" i="14"/>
  <c r="J95" i="14"/>
  <c r="Z91" i="14"/>
  <c r="L95" i="14"/>
  <c r="F95" i="14"/>
  <c r="D90" i="14"/>
  <c r="G90" i="14"/>
  <c r="AP58" i="14"/>
  <c r="AQ96" i="14" s="1"/>
  <c r="AP61" i="14"/>
  <c r="D91" i="14"/>
  <c r="AJ65" i="14"/>
  <c r="AA92" i="14"/>
  <c r="AA29" i="14" s="1"/>
  <c r="AO60" i="14"/>
  <c r="AJ67" i="14" l="1"/>
  <c r="AA50" i="14"/>
  <c r="AA51" i="14" s="1"/>
  <c r="AQ58" i="14"/>
  <c r="AQ61" i="14"/>
  <c r="AA38" i="14"/>
  <c r="AA37" i="14"/>
  <c r="AA16" i="14"/>
  <c r="AK63" i="14"/>
  <c r="AK68" i="14" s="1"/>
  <c r="AA94" i="14"/>
  <c r="AA30" i="14"/>
  <c r="AA93" i="14"/>
  <c r="AP60" i="14"/>
  <c r="AK66" i="14" l="1"/>
  <c r="AA24" i="14"/>
  <c r="AA17" i="14"/>
  <c r="AA18" i="14" s="1"/>
  <c r="AA19" i="14" s="1"/>
  <c r="AA20" i="14" s="1"/>
  <c r="AA39" i="14"/>
  <c r="AB82" i="14"/>
  <c r="AK65" i="14"/>
  <c r="AA95" i="14"/>
  <c r="AR96" i="14"/>
  <c r="AK67" i="14"/>
  <c r="AR58" i="14" l="1"/>
  <c r="AR61" i="14"/>
  <c r="AB87" i="14"/>
  <c r="AB85" i="14" a="1"/>
  <c r="AB85" i="14" s="1"/>
  <c r="AB49" i="14"/>
  <c r="AA22" i="14"/>
  <c r="AA27" i="14"/>
  <c r="AA28" i="14" s="1"/>
  <c r="AA25" i="14"/>
  <c r="AA26" i="14"/>
  <c r="AL63" i="14"/>
  <c r="AQ60" i="14"/>
  <c r="AL65" i="14" l="1"/>
  <c r="AL68" i="14"/>
  <c r="AL66" i="14"/>
  <c r="AA32" i="14"/>
  <c r="AA23" i="14"/>
  <c r="AB86" i="14"/>
  <c r="AB105" i="14"/>
  <c r="AB89" i="14" s="1"/>
  <c r="AB107" i="14"/>
  <c r="AB91" i="14" s="1"/>
  <c r="AM63" i="14"/>
  <c r="AR60" i="14"/>
  <c r="AL67" i="14"/>
  <c r="AM65" i="14" l="1"/>
  <c r="AM68" i="14"/>
  <c r="AM66" i="14"/>
  <c r="AB106" i="14"/>
  <c r="AB90" i="14" s="1"/>
  <c r="AB92" i="14" s="1"/>
  <c r="AA33" i="14"/>
  <c r="AA34" i="14"/>
  <c r="AA35" i="14" s="1"/>
  <c r="AN63" i="14"/>
  <c r="AN65" i="14" l="1"/>
  <c r="AN68" i="14"/>
  <c r="AN66" i="14"/>
  <c r="AB29" i="14"/>
  <c r="AB94" i="14"/>
  <c r="AB93" i="14"/>
  <c r="AM67" i="14"/>
  <c r="AB50" i="14" l="1"/>
  <c r="AB51" i="14" s="1"/>
  <c r="AB95" i="14"/>
  <c r="AO97" i="14"/>
  <c r="AO63" i="14" s="1"/>
  <c r="AB37" i="14" l="1"/>
  <c r="AB38" i="14"/>
  <c r="AB30" i="14"/>
  <c r="AB16" i="14"/>
  <c r="AO65" i="14"/>
  <c r="AO68" i="14"/>
  <c r="AO66" i="14"/>
  <c r="AB24" i="14"/>
  <c r="AB17" i="14"/>
  <c r="AB18" i="14" s="1"/>
  <c r="AB19" i="14" s="1"/>
  <c r="AB20" i="14" s="1"/>
  <c r="AN67" i="14"/>
  <c r="AB39" i="14" l="1"/>
  <c r="AC82" i="14"/>
  <c r="AC87" i="14" s="1"/>
  <c r="AB26" i="14"/>
  <c r="AB25" i="14"/>
  <c r="AB22" i="14"/>
  <c r="AB27" i="14"/>
  <c r="AB28" i="14" s="1"/>
  <c r="AP97" i="14"/>
  <c r="AP63" i="14" s="1"/>
  <c r="AC49" i="14" l="1"/>
  <c r="AC85" i="14" a="1"/>
  <c r="AC85" i="14" s="1"/>
  <c r="AC108" i="14" s="1"/>
  <c r="AP65" i="14"/>
  <c r="AP68" i="14"/>
  <c r="AP66" i="14"/>
  <c r="AB32" i="14"/>
  <c r="AB23" i="14"/>
  <c r="AC110" i="14"/>
  <c r="AC107" i="14"/>
  <c r="AO67" i="14"/>
  <c r="AC86" i="14" l="1"/>
  <c r="AC105" i="14"/>
  <c r="AC89" i="14" s="1"/>
  <c r="AC91" i="14"/>
  <c r="AC109" i="14"/>
  <c r="AC106" i="14"/>
  <c r="AB34" i="14"/>
  <c r="AB35" i="14" s="1"/>
  <c r="AB33" i="14"/>
  <c r="AQ97" i="14"/>
  <c r="AQ63" i="14" s="1"/>
  <c r="AQ65" i="14" l="1"/>
  <c r="AQ68" i="14"/>
  <c r="AQ66" i="14"/>
  <c r="AC90" i="14"/>
  <c r="AC92" i="14" s="1"/>
  <c r="AC29" i="14" s="1"/>
  <c r="AP67" i="14"/>
  <c r="AC93" i="14" l="1"/>
  <c r="AC94" i="14"/>
  <c r="AC50" i="14"/>
  <c r="AR97" i="14"/>
  <c r="AR63" i="14" s="1"/>
  <c r="AR66" i="14" s="1"/>
  <c r="AR65" i="14" l="1"/>
  <c r="AR68" i="14"/>
  <c r="AC95" i="14"/>
  <c r="AC51" i="14"/>
  <c r="AC16" i="14"/>
  <c r="AC38" i="14"/>
  <c r="AC37" i="14"/>
  <c r="AC30" i="14"/>
  <c r="AQ67" i="14"/>
  <c r="AC39" i="14" l="1"/>
  <c r="AD82" i="14"/>
  <c r="AC24" i="14"/>
  <c r="AC17" i="14"/>
  <c r="AC18" i="14" s="1"/>
  <c r="AC19" i="14" s="1"/>
  <c r="AC20" i="14" s="1"/>
  <c r="AS97" i="14"/>
  <c r="AS63" i="14" s="1"/>
  <c r="AS65" i="14" l="1"/>
  <c r="AS68" i="14"/>
  <c r="AS66" i="14"/>
  <c r="AC22" i="14"/>
  <c r="AC27" i="14"/>
  <c r="AC28" i="14" s="1"/>
  <c r="AE98" i="14"/>
  <c r="AC25" i="14"/>
  <c r="AC26" i="14"/>
  <c r="AD87" i="14"/>
  <c r="AD85" i="14" a="1"/>
  <c r="AD85" i="14" s="1"/>
  <c r="AD49" i="14"/>
  <c r="AR67" i="14"/>
  <c r="AD105" i="14" l="1"/>
  <c r="AD86" i="14"/>
  <c r="AD108" i="14"/>
  <c r="AD110" i="14"/>
  <c r="AD107" i="14"/>
  <c r="AC32" i="14"/>
  <c r="AC23" i="14"/>
  <c r="AT97" i="14"/>
  <c r="AT63" i="14" s="1"/>
  <c r="AT65" i="14" l="1"/>
  <c r="AT68" i="14"/>
  <c r="AD91" i="14"/>
  <c r="AT66" i="14"/>
  <c r="AD89" i="14"/>
  <c r="AC34" i="14"/>
  <c r="AC35" i="14" s="1"/>
  <c r="AC33" i="14"/>
  <c r="AD109" i="14"/>
  <c r="AD106" i="14"/>
  <c r="AS67" i="14"/>
  <c r="AD90" i="14" l="1"/>
  <c r="AD92" i="14" s="1"/>
  <c r="AD29" i="14" s="1"/>
  <c r="AD94" i="14" l="1"/>
  <c r="AD93" i="14"/>
  <c r="AD50" i="14"/>
  <c r="AU97" i="14"/>
  <c r="AU63" i="14" s="1"/>
  <c r="AT67" i="14"/>
  <c r="AD95" i="14" l="1"/>
  <c r="AU68" i="14"/>
  <c r="AU66" i="14"/>
  <c r="AD51" i="14"/>
  <c r="AD16" i="14"/>
  <c r="AD30" i="14"/>
  <c r="AD37" i="14"/>
  <c r="AD38" i="14"/>
  <c r="AU65" i="14"/>
  <c r="AV97" i="14" s="1"/>
  <c r="AV63" i="14" s="1"/>
  <c r="AV68" i="14" s="1"/>
  <c r="AV66" i="14" l="1"/>
  <c r="AD39" i="14"/>
  <c r="AE82" i="14"/>
  <c r="AD24" i="14"/>
  <c r="AD17" i="14"/>
  <c r="AD18" i="14" s="1"/>
  <c r="AD19" i="14" s="1"/>
  <c r="AD20" i="14" s="1"/>
  <c r="AV65" i="14"/>
  <c r="AU67" i="14"/>
  <c r="AV67" i="14" l="1"/>
  <c r="AW97" i="14"/>
  <c r="AW63" i="14" s="1"/>
  <c r="AW68" i="14" s="1"/>
  <c r="AD22" i="14"/>
  <c r="AD27" i="14"/>
  <c r="AD28" i="14" s="1"/>
  <c r="AF98" i="14"/>
  <c r="AD26" i="14"/>
  <c r="AD25" i="14"/>
  <c r="AE87" i="14"/>
  <c r="AE85" i="14" a="1"/>
  <c r="AE85" i="14" s="1"/>
  <c r="AE49" i="14"/>
  <c r="AW65" i="14" l="1"/>
  <c r="AW66" i="14"/>
  <c r="AE86" i="14"/>
  <c r="AE105" i="14"/>
  <c r="AE108" i="14"/>
  <c r="AE107" i="14"/>
  <c r="AE110" i="14"/>
  <c r="AD32" i="14"/>
  <c r="AD23" i="14"/>
  <c r="AW67" i="14"/>
  <c r="AX97" i="14"/>
  <c r="AX63" i="14" s="1"/>
  <c r="AX65" i="14" l="1"/>
  <c r="AX68" i="14"/>
  <c r="AX66" i="14"/>
  <c r="AE91" i="14"/>
  <c r="AE89" i="14"/>
  <c r="AD33" i="14"/>
  <c r="AD34" i="14"/>
  <c r="AD35" i="14" s="1"/>
  <c r="AE106" i="14"/>
  <c r="AE109" i="14"/>
  <c r="AX67" i="14" l="1"/>
  <c r="AY97" i="14"/>
  <c r="AY63" i="14" s="1"/>
  <c r="AY65" i="14" s="1"/>
  <c r="AE90" i="14"/>
  <c r="AE92" i="14" s="1"/>
  <c r="AE29" i="14" s="1"/>
  <c r="D54" i="14" l="1"/>
  <c r="C14" i="16" s="1"/>
  <c r="AY68" i="14"/>
  <c r="D71" i="14" s="1"/>
  <c r="AY66" i="14"/>
  <c r="AE94" i="14"/>
  <c r="AE93" i="14"/>
  <c r="AE50" i="14"/>
  <c r="D77" i="14"/>
  <c r="C18" i="16" s="1"/>
  <c r="AY67" i="14"/>
  <c r="D73" i="14" s="1"/>
  <c r="C16" i="16" s="1"/>
  <c r="AE95" i="14" l="1"/>
  <c r="D14" i="16"/>
  <c r="C15" i="16"/>
  <c r="D102" i="14"/>
  <c r="C19" i="16" s="1"/>
  <c r="D75" i="14"/>
  <c r="C17" i="16" s="1"/>
  <c r="D17" i="16" s="1"/>
  <c r="AE51" i="14"/>
  <c r="AE16" i="14"/>
  <c r="AE30" i="14"/>
  <c r="AE38" i="14"/>
  <c r="AE37" i="14"/>
  <c r="AE39" i="14" l="1"/>
  <c r="AF82" i="14"/>
  <c r="AE17" i="14"/>
  <c r="AE18" i="14" s="1"/>
  <c r="AE19" i="14" s="1"/>
  <c r="AE20" i="14" s="1"/>
  <c r="AE24" i="14"/>
  <c r="AE22" i="14" l="1"/>
  <c r="AE27" i="14"/>
  <c r="AE28" i="14" s="1"/>
  <c r="AG98" i="14"/>
  <c r="AE26" i="14"/>
  <c r="AE25" i="14"/>
  <c r="AF87" i="14"/>
  <c r="AF85" i="14" a="1"/>
  <c r="AF85" i="14" s="1"/>
  <c r="AF49" i="14"/>
  <c r="AF107" i="14" l="1"/>
  <c r="AF110" i="14"/>
  <c r="AF86" i="14"/>
  <c r="AF108" i="14"/>
  <c r="AF105" i="14"/>
  <c r="AE32" i="14"/>
  <c r="AE23" i="14"/>
  <c r="AF89" i="14" l="1"/>
  <c r="AF91" i="14"/>
  <c r="AE34" i="14"/>
  <c r="AE35" i="14" s="1"/>
  <c r="AE33" i="14"/>
  <c r="AF109" i="14"/>
  <c r="AF106" i="14"/>
  <c r="AF90" i="14" l="1"/>
  <c r="AF92" i="14" s="1"/>
  <c r="AF29" i="14" s="1"/>
  <c r="AF93" i="14" l="1"/>
  <c r="AF94" i="14"/>
  <c r="AF50" i="14"/>
  <c r="AF95" i="14" l="1"/>
  <c r="AF51" i="14"/>
  <c r="AF16" i="14"/>
  <c r="AF30" i="14"/>
  <c r="AF37" i="14"/>
  <c r="AF38" i="14"/>
  <c r="AG82" i="14" l="1"/>
  <c r="AF39" i="14"/>
  <c r="AF17" i="14"/>
  <c r="AF18" i="14" s="1"/>
  <c r="AF19" i="14" s="1"/>
  <c r="AF20" i="14" s="1"/>
  <c r="AF24" i="14"/>
  <c r="AH98" i="14" l="1"/>
  <c r="AF25" i="14"/>
  <c r="AF26" i="14"/>
  <c r="AF22" i="14"/>
  <c r="AF27" i="14"/>
  <c r="AF28" i="14" s="1"/>
  <c r="AG49" i="14"/>
  <c r="AG85" i="14" a="1"/>
  <c r="AG85" i="14" s="1"/>
  <c r="AG87" i="14"/>
  <c r="AG105" i="14" l="1"/>
  <c r="AG108" i="14"/>
  <c r="AG86" i="14"/>
  <c r="AG107" i="14"/>
  <c r="AG110" i="14"/>
  <c r="AF32" i="14"/>
  <c r="AF23" i="14"/>
  <c r="AG91" i="14" l="1"/>
  <c r="AG89" i="14"/>
  <c r="AG109" i="14"/>
  <c r="AG106" i="14"/>
  <c r="AG90" i="14" s="1"/>
  <c r="AG92" i="14" s="1"/>
  <c r="AF33" i="14"/>
  <c r="AF34" i="14"/>
  <c r="AF35" i="14" s="1"/>
  <c r="AG29" i="14" l="1"/>
  <c r="AG94" i="14"/>
  <c r="AG93" i="14"/>
  <c r="AG95" i="14" l="1"/>
  <c r="AG50" i="14"/>
  <c r="AG51" i="14" l="1"/>
  <c r="AG16" i="14"/>
  <c r="AG38" i="14"/>
  <c r="AG37" i="14"/>
  <c r="AG30" i="14"/>
  <c r="AG24" i="14" l="1"/>
  <c r="AG17" i="14"/>
  <c r="AG18" i="14" s="1"/>
  <c r="AG19" i="14" s="1"/>
  <c r="AG20" i="14" s="1"/>
  <c r="AH82" i="14"/>
  <c r="AG39" i="14"/>
  <c r="AH87" i="14" l="1"/>
  <c r="AH49" i="14"/>
  <c r="AH85" i="14" a="1"/>
  <c r="AH85" i="14" s="1"/>
  <c r="AG27" i="14"/>
  <c r="AG28" i="14" s="1"/>
  <c r="AG22" i="14"/>
  <c r="AG25" i="14"/>
  <c r="AI98" i="14"/>
  <c r="AG26" i="14"/>
  <c r="AG23" i="14" l="1"/>
  <c r="AG32" i="14"/>
  <c r="AH108" i="14"/>
  <c r="AH86" i="14"/>
  <c r="AH105" i="14"/>
  <c r="AH89" i="14" s="1"/>
  <c r="AH110" i="14"/>
  <c r="AH107" i="14"/>
  <c r="AH91" i="14" l="1"/>
  <c r="AH109" i="14"/>
  <c r="AH106" i="14"/>
  <c r="AG34" i="14"/>
  <c r="AG35" i="14" s="1"/>
  <c r="AG33" i="14"/>
  <c r="AH90" i="14" l="1"/>
  <c r="AH92" i="14" s="1"/>
  <c r="AH29" i="14" s="1"/>
  <c r="AH94" i="14" l="1"/>
  <c r="AH93" i="14"/>
  <c r="AH50" i="14"/>
  <c r="AH95" i="14" l="1"/>
  <c r="AH51" i="14"/>
  <c r="AH16" i="14"/>
  <c r="AH38" i="14"/>
  <c r="AH37" i="14"/>
  <c r="AH30" i="14"/>
  <c r="AI82" i="14" l="1"/>
  <c r="AH39" i="14"/>
  <c r="AH24" i="14"/>
  <c r="AH17" i="14"/>
  <c r="AH18" i="14" s="1"/>
  <c r="AH19" i="14" s="1"/>
  <c r="AH20" i="14" s="1"/>
  <c r="AH27" i="14" l="1"/>
  <c r="AH28" i="14" s="1"/>
  <c r="AH22" i="14"/>
  <c r="AH26" i="14"/>
  <c r="AJ98" i="14"/>
  <c r="AH25" i="14"/>
  <c r="AI85" i="14" a="1"/>
  <c r="AI85" i="14" s="1"/>
  <c r="AI87" i="14"/>
  <c r="AI49" i="14"/>
  <c r="AI105" i="14" l="1"/>
  <c r="AI86" i="14"/>
  <c r="AI108" i="14"/>
  <c r="AI107" i="14"/>
  <c r="AI110" i="14"/>
  <c r="AH23" i="14"/>
  <c r="AH32" i="14"/>
  <c r="AI91" i="14" l="1"/>
  <c r="AI89" i="14"/>
  <c r="AH33" i="14"/>
  <c r="AH34" i="14"/>
  <c r="AH35" i="14" s="1"/>
  <c r="AI106" i="14"/>
  <c r="AI109" i="14"/>
  <c r="AI90" i="14" l="1"/>
  <c r="AI92" i="14" s="1"/>
  <c r="AI29" i="14" s="1"/>
  <c r="AI93" i="14" l="1"/>
  <c r="AI94" i="14"/>
  <c r="AI50" i="14"/>
  <c r="AI95" i="14" l="1"/>
  <c r="AI51" i="14"/>
  <c r="AI16" i="14"/>
  <c r="AI37" i="14"/>
  <c r="AI38" i="14"/>
  <c r="AI30" i="14"/>
  <c r="AJ82" i="14" l="1"/>
  <c r="AI39" i="14"/>
  <c r="AI24" i="14"/>
  <c r="AI17" i="14"/>
  <c r="AI18" i="14" s="1"/>
  <c r="AI19" i="14" s="1"/>
  <c r="AI20" i="14" s="1"/>
  <c r="AK98" i="14" l="1"/>
  <c r="AI26" i="14"/>
  <c r="AI25" i="14"/>
  <c r="AI22" i="14"/>
  <c r="AI27" i="14"/>
  <c r="AI28" i="14" s="1"/>
  <c r="AJ49" i="14"/>
  <c r="AJ87" i="14"/>
  <c r="AJ85" i="14" a="1"/>
  <c r="AJ85" i="14" s="1"/>
  <c r="AJ110" i="14" l="1"/>
  <c r="AJ107" i="14"/>
  <c r="AI32" i="14"/>
  <c r="AI23" i="14"/>
  <c r="AJ108" i="14"/>
  <c r="AJ105" i="14"/>
  <c r="AJ86" i="14"/>
  <c r="AJ91" i="14" l="1"/>
  <c r="AJ89" i="14"/>
  <c r="AI33" i="14"/>
  <c r="AI34" i="14"/>
  <c r="AI35" i="14" s="1"/>
  <c r="AJ106" i="14"/>
  <c r="AJ109" i="14"/>
  <c r="AJ90" i="14" l="1"/>
  <c r="AJ92" i="14" s="1"/>
  <c r="AJ29" i="14" s="1"/>
  <c r="AJ93" i="14" l="1"/>
  <c r="AJ94" i="14"/>
  <c r="AJ50" i="14"/>
  <c r="AJ95" i="14" l="1"/>
  <c r="AJ51" i="14"/>
  <c r="AJ16" i="14"/>
  <c r="AJ38" i="14"/>
  <c r="AJ37" i="14"/>
  <c r="AJ30" i="14"/>
  <c r="AK82" i="14" l="1"/>
  <c r="AJ39" i="14"/>
  <c r="AJ24" i="14"/>
  <c r="AJ17" i="14"/>
  <c r="AJ18" i="14" s="1"/>
  <c r="AJ19" i="14" s="1"/>
  <c r="AJ20" i="14" s="1"/>
  <c r="AL98" i="14" l="1"/>
  <c r="AJ26" i="14"/>
  <c r="AJ25" i="14"/>
  <c r="AJ27" i="14"/>
  <c r="AJ28" i="14" s="1"/>
  <c r="AJ22" i="14"/>
  <c r="AK49" i="14"/>
  <c r="AK85" i="14" a="1"/>
  <c r="AK85" i="14" s="1"/>
  <c r="AK87" i="14"/>
  <c r="AK108" i="14" l="1"/>
  <c r="AK105" i="14"/>
  <c r="AK86" i="14"/>
  <c r="AK110" i="14"/>
  <c r="AK107" i="14"/>
  <c r="AJ23" i="14"/>
  <c r="AJ32" i="14"/>
  <c r="AK91" i="14" l="1"/>
  <c r="AK89" i="14"/>
  <c r="AK106" i="14"/>
  <c r="AK109" i="14"/>
  <c r="AJ34" i="14"/>
  <c r="AJ35" i="14" s="1"/>
  <c r="AJ33" i="14"/>
  <c r="AK90" i="14" l="1"/>
  <c r="AK92" i="14" s="1"/>
  <c r="AK29" i="14" s="1"/>
  <c r="AK94" i="14" l="1"/>
  <c r="AK93" i="14"/>
  <c r="AK50" i="14"/>
  <c r="AK95" i="14" l="1"/>
  <c r="AK51" i="14"/>
  <c r="AK16" i="14"/>
  <c r="AK37" i="14"/>
  <c r="AK38" i="14"/>
  <c r="AK30" i="14"/>
  <c r="AL82" i="14" l="1"/>
  <c r="AK39" i="14"/>
  <c r="AK24" i="14"/>
  <c r="AK17" i="14"/>
  <c r="AK18" i="14" s="1"/>
  <c r="AK19" i="14" s="1"/>
  <c r="AK20" i="14" s="1"/>
  <c r="AK22" i="14" l="1"/>
  <c r="AK27" i="14"/>
  <c r="AK28" i="14" s="1"/>
  <c r="AM98" i="14"/>
  <c r="AK25" i="14"/>
  <c r="AK26" i="14"/>
  <c r="AL49" i="14"/>
  <c r="AL87" i="14"/>
  <c r="AL85" i="14" a="1"/>
  <c r="AL85" i="14" s="1"/>
  <c r="AL110" i="14" l="1"/>
  <c r="AL107" i="14"/>
  <c r="AL105" i="14"/>
  <c r="AL108" i="14"/>
  <c r="AL86" i="14"/>
  <c r="AK32" i="14"/>
  <c r="AK23" i="14"/>
  <c r="AL91" i="14" l="1"/>
  <c r="AL89" i="14"/>
  <c r="AK34" i="14"/>
  <c r="AK35" i="14" s="1"/>
  <c r="AK33" i="14"/>
  <c r="AL106" i="14"/>
  <c r="AL109" i="14"/>
  <c r="AL90" i="14" l="1"/>
  <c r="AL92" i="14" s="1"/>
  <c r="AL29" i="14" s="1"/>
  <c r="AL94" i="14" l="1"/>
  <c r="AL93" i="14"/>
  <c r="AL50" i="14"/>
  <c r="AL95" i="14" l="1"/>
  <c r="AL51" i="14"/>
  <c r="AL16" i="14"/>
  <c r="AL38" i="14"/>
  <c r="AL37" i="14"/>
  <c r="AL30" i="14"/>
  <c r="AM82" i="14" l="1"/>
  <c r="AL39" i="14"/>
  <c r="AL24" i="14"/>
  <c r="AL17" i="14"/>
  <c r="AL18" i="14" s="1"/>
  <c r="AL19" i="14" s="1"/>
  <c r="AL20" i="14" s="1"/>
  <c r="AN98" i="14" l="1"/>
  <c r="AL26" i="14"/>
  <c r="AL25" i="14"/>
  <c r="AM49" i="14"/>
  <c r="AM87" i="14"/>
  <c r="AM85" i="14" a="1"/>
  <c r="AM85" i="14" s="1"/>
  <c r="AL22" i="14"/>
  <c r="AL27" i="14"/>
  <c r="AL28" i="14" s="1"/>
  <c r="AM108" i="14" l="1"/>
  <c r="AM86" i="14"/>
  <c r="AM105" i="14"/>
  <c r="AL23" i="14"/>
  <c r="AL32" i="14"/>
  <c r="AM110" i="14"/>
  <c r="AM107" i="14"/>
  <c r="AM91" i="14" l="1"/>
  <c r="AM89" i="14"/>
  <c r="AL34" i="14"/>
  <c r="AL35" i="14" s="1"/>
  <c r="AL33" i="14"/>
  <c r="AM109" i="14"/>
  <c r="AM106" i="14"/>
  <c r="AM90" i="14" l="1"/>
  <c r="AM92" i="14" s="1"/>
  <c r="AM29" i="14" s="1"/>
  <c r="AM94" i="14" l="1"/>
  <c r="AM93" i="14"/>
  <c r="AM50" i="14"/>
  <c r="AM95" i="14" l="1"/>
  <c r="AM51" i="14"/>
  <c r="AM16" i="14"/>
  <c r="AM37" i="14"/>
  <c r="AM38" i="14"/>
  <c r="AM30" i="14"/>
  <c r="AN82" i="14" l="1"/>
  <c r="AM39" i="14"/>
  <c r="AM17" i="14"/>
  <c r="AM18" i="14" s="1"/>
  <c r="AM19" i="14" s="1"/>
  <c r="AM20" i="14" s="1"/>
  <c r="AM24" i="14"/>
  <c r="AM27" i="14" l="1"/>
  <c r="AM28" i="14" s="1"/>
  <c r="AM22" i="14"/>
  <c r="AO98" i="14"/>
  <c r="AM26" i="14"/>
  <c r="AM25" i="14"/>
  <c r="AN49" i="14"/>
  <c r="AN85" i="14" a="1"/>
  <c r="AN85" i="14" s="1"/>
  <c r="AN87" i="14"/>
  <c r="AN110" i="14" l="1"/>
  <c r="AN107" i="14"/>
  <c r="AN108" i="14"/>
  <c r="AN105" i="14"/>
  <c r="AN86" i="14"/>
  <c r="AM32" i="14"/>
  <c r="AM23" i="14"/>
  <c r="AN91" i="14" l="1"/>
  <c r="AN89" i="14"/>
  <c r="AN109" i="14"/>
  <c r="AN106" i="14"/>
  <c r="AM33" i="14"/>
  <c r="AM34" i="14"/>
  <c r="AM35" i="14" s="1"/>
  <c r="AN90" i="14" l="1"/>
  <c r="AN92" i="14" s="1"/>
  <c r="AN29" i="14" s="1"/>
  <c r="AN93" i="14" l="1"/>
  <c r="AN94" i="14"/>
  <c r="AN50" i="14"/>
  <c r="AN95" i="14" l="1"/>
  <c r="AN51" i="14"/>
  <c r="AN16" i="14"/>
  <c r="AN38" i="14"/>
  <c r="AN37" i="14"/>
  <c r="AN30" i="14"/>
  <c r="AO15" i="14" l="1"/>
  <c r="AO82" i="14" s="1"/>
  <c r="AO87" i="14" s="1"/>
  <c r="AO110" i="14" s="1"/>
  <c r="AN39" i="14"/>
  <c r="AN24" i="14"/>
  <c r="AN17" i="14"/>
  <c r="AN18" i="14" s="1"/>
  <c r="AN19" i="14" s="1"/>
  <c r="AN20" i="14" s="1"/>
  <c r="AP98" i="14" l="1"/>
  <c r="AN26" i="14"/>
  <c r="AN25" i="14"/>
  <c r="AN22" i="14"/>
  <c r="AN27" i="14"/>
  <c r="AN28" i="14" s="1"/>
  <c r="AO31" i="14"/>
  <c r="AO104" i="14"/>
  <c r="AO83" i="14" a="1"/>
  <c r="AO83" i="14" s="1"/>
  <c r="AO9" i="14"/>
  <c r="AO85" i="14" a="1"/>
  <c r="AO85" i="14" s="1"/>
  <c r="AO105" i="14" s="1"/>
  <c r="AO107" i="14"/>
  <c r="AO49" i="14"/>
  <c r="AO91" i="14" l="1"/>
  <c r="AO86" i="14"/>
  <c r="AO106" i="14" s="1"/>
  <c r="AO108" i="14"/>
  <c r="AO89" i="14" s="1"/>
  <c r="AN23" i="14"/>
  <c r="AN32" i="14"/>
  <c r="AO109" i="14" l="1"/>
  <c r="AO90" i="14" s="1"/>
  <c r="AO92" i="14" s="1"/>
  <c r="AN33" i="14"/>
  <c r="AN34" i="14"/>
  <c r="AN35" i="14" s="1"/>
  <c r="AO29" i="14" l="1"/>
  <c r="AO93" i="14"/>
  <c r="AO94" i="14"/>
  <c r="AO95" i="14" s="1"/>
  <c r="AO50" i="14" l="1"/>
  <c r="AO51" i="14" l="1"/>
  <c r="AO16" i="14"/>
  <c r="AO37" i="14"/>
  <c r="AO38" i="14"/>
  <c r="AO30" i="14"/>
  <c r="AO39" i="14" l="1"/>
  <c r="AP15" i="14"/>
  <c r="AP82" i="14" s="1"/>
  <c r="AP87" i="14" s="1"/>
  <c r="AP107" i="14" s="1"/>
  <c r="AO17" i="14"/>
  <c r="AO18" i="14" s="1"/>
  <c r="AO19" i="14" s="1"/>
  <c r="AO20" i="14" s="1"/>
  <c r="AO24" i="14"/>
  <c r="AQ98" i="14" l="1"/>
  <c r="AO26" i="14"/>
  <c r="AO25" i="14"/>
  <c r="AO27" i="14"/>
  <c r="AO28" i="14" s="1"/>
  <c r="AO22" i="14"/>
  <c r="AP104" i="14"/>
  <c r="AP31" i="14"/>
  <c r="AP83" i="14" a="1"/>
  <c r="AP83" i="14" s="1"/>
  <c r="AP9" i="14"/>
  <c r="AP85" i="14" a="1"/>
  <c r="AP85" i="14" s="1"/>
  <c r="AP105" i="14" s="1"/>
  <c r="AP110" i="14"/>
  <c r="AP91" i="14" s="1"/>
  <c r="AP49" i="14"/>
  <c r="AP86" i="14" l="1"/>
  <c r="AP106" i="14" s="1"/>
  <c r="AP108" i="14"/>
  <c r="AP89" i="14" s="1"/>
  <c r="AO32" i="14"/>
  <c r="AO23" i="14"/>
  <c r="AP109" i="14" l="1"/>
  <c r="AP90" i="14" s="1"/>
  <c r="AP92" i="14" s="1"/>
  <c r="AO34" i="14"/>
  <c r="AO35" i="14" s="1"/>
  <c r="AO33" i="14"/>
  <c r="AP29" i="14" l="1"/>
  <c r="AP93" i="14"/>
  <c r="AP94" i="14"/>
  <c r="AP95" i="14" s="1"/>
  <c r="AP50" i="14" l="1"/>
  <c r="AP51" i="14" l="1"/>
  <c r="AP16" i="14"/>
  <c r="AP38" i="14"/>
  <c r="AP37" i="14"/>
  <c r="AP30" i="14"/>
  <c r="AQ15" i="14" l="1"/>
  <c r="AQ82" i="14" s="1"/>
  <c r="AQ87" i="14" s="1"/>
  <c r="AQ110" i="14" s="1"/>
  <c r="AP39" i="14"/>
  <c r="AP17" i="14"/>
  <c r="AP18" i="14" s="1"/>
  <c r="AP19" i="14" s="1"/>
  <c r="AP20" i="14" s="1"/>
  <c r="AP24" i="14"/>
  <c r="AR98" i="14" l="1"/>
  <c r="AP26" i="14"/>
  <c r="AP25" i="14"/>
  <c r="AP22" i="14"/>
  <c r="AP27" i="14"/>
  <c r="AP28" i="14" s="1"/>
  <c r="AQ104" i="14"/>
  <c r="AQ83" i="14" a="1"/>
  <c r="AQ83" i="14" s="1"/>
  <c r="AQ31" i="14"/>
  <c r="AQ9" i="14"/>
  <c r="AQ107" i="14"/>
  <c r="AQ91" i="14" s="1"/>
  <c r="AQ85" i="14" a="1"/>
  <c r="AQ85" i="14" s="1"/>
  <c r="AQ108" i="14" s="1"/>
  <c r="AQ49" i="14"/>
  <c r="AQ86" i="14" l="1"/>
  <c r="AQ105" i="14"/>
  <c r="AQ89" i="14" s="1"/>
  <c r="AP32" i="14"/>
  <c r="AP23" i="14"/>
  <c r="AP34" i="14" l="1"/>
  <c r="AP35" i="14" s="1"/>
  <c r="AP33" i="14"/>
  <c r="AQ106" i="14"/>
  <c r="AQ109" i="14"/>
  <c r="AQ90" i="14" l="1"/>
  <c r="AQ92" i="14" s="1"/>
  <c r="AQ29" i="14" s="1"/>
  <c r="AQ94" i="14" l="1"/>
  <c r="AQ93" i="14"/>
  <c r="AQ95" i="14" s="1"/>
  <c r="AQ50" i="14"/>
  <c r="AQ51" i="14" l="1"/>
  <c r="AQ16" i="14"/>
  <c r="AQ37" i="14"/>
  <c r="AQ38" i="14"/>
  <c r="AQ30" i="14"/>
  <c r="AR15" i="14" l="1"/>
  <c r="AR82" i="14" s="1"/>
  <c r="AR87" i="14" s="1"/>
  <c r="AR110" i="14" s="1"/>
  <c r="AQ39" i="14"/>
  <c r="AQ17" i="14"/>
  <c r="AQ18" i="14" s="1"/>
  <c r="AQ19" i="14" s="1"/>
  <c r="AQ20" i="14" s="1"/>
  <c r="AQ24" i="14"/>
  <c r="AQ27" i="14" l="1"/>
  <c r="AQ28" i="14" s="1"/>
  <c r="AQ22" i="14"/>
  <c r="AQ25" i="14"/>
  <c r="AQ26" i="14"/>
  <c r="AS98" i="14"/>
  <c r="AR31" i="14"/>
  <c r="AR104" i="14"/>
  <c r="AR83" i="14" a="1"/>
  <c r="AR83" i="14" s="1"/>
  <c r="AR9" i="14"/>
  <c r="AS96" i="14" s="1"/>
  <c r="AR49" i="14"/>
  <c r="AR107" i="14"/>
  <c r="AR91" i="14" s="1"/>
  <c r="AR85" i="14" a="1"/>
  <c r="AR85" i="14" s="1"/>
  <c r="AR105" i="14" s="1"/>
  <c r="AS58" i="14" l="1"/>
  <c r="AS61" i="14"/>
  <c r="AR86" i="14"/>
  <c r="AR108" i="14"/>
  <c r="AR89" i="14" s="1"/>
  <c r="AQ23" i="14"/>
  <c r="AQ32" i="14"/>
  <c r="AT96" i="14" l="1"/>
  <c r="AS60" i="14"/>
  <c r="AQ34" i="14"/>
  <c r="AQ35" i="14" s="1"/>
  <c r="AQ33" i="14"/>
  <c r="AR106" i="14"/>
  <c r="AR109" i="14"/>
  <c r="AT58" i="14" l="1"/>
  <c r="AT61" i="14"/>
  <c r="AR90" i="14"/>
  <c r="AR92" i="14" s="1"/>
  <c r="AR29" i="14" s="1"/>
  <c r="AR94" i="14" l="1"/>
  <c r="AR93" i="14"/>
  <c r="AU96" i="14"/>
  <c r="AT60" i="14"/>
  <c r="AR50" i="14"/>
  <c r="AR95" i="14" l="1"/>
  <c r="AU58" i="14"/>
  <c r="AU61" i="14"/>
  <c r="AR51" i="14"/>
  <c r="AR16" i="14"/>
  <c r="AR38" i="14"/>
  <c r="AR37" i="14"/>
  <c r="AR30" i="14"/>
  <c r="AV96" i="14" l="1"/>
  <c r="AU60" i="14"/>
  <c r="AS15" i="14"/>
  <c r="AS82" i="14" s="1"/>
  <c r="AS87" i="14" s="1"/>
  <c r="AS107" i="14" s="1"/>
  <c r="AR39" i="14"/>
  <c r="AR24" i="14"/>
  <c r="AR17" i="14"/>
  <c r="AR18" i="14" s="1"/>
  <c r="AR19" i="14" s="1"/>
  <c r="AR20" i="14" s="1"/>
  <c r="AV58" i="14" l="1"/>
  <c r="AV61" i="14"/>
  <c r="AT98" i="14"/>
  <c r="AR25" i="14"/>
  <c r="AR26" i="14"/>
  <c r="AR27" i="14"/>
  <c r="AR28" i="14" s="1"/>
  <c r="AR22" i="14"/>
  <c r="AS104" i="14"/>
  <c r="AS83" i="14" a="1"/>
  <c r="AS83" i="14" s="1"/>
  <c r="AS9" i="14"/>
  <c r="AS31" i="14"/>
  <c r="AS49" i="14"/>
  <c r="AS85" i="14" a="1"/>
  <c r="AS85" i="14" s="1"/>
  <c r="AS86" i="14" s="1"/>
  <c r="AS110" i="14"/>
  <c r="AS91" i="14" s="1"/>
  <c r="AV60" i="14" l="1"/>
  <c r="AW96" i="14"/>
  <c r="AS106" i="14"/>
  <c r="AS109" i="14"/>
  <c r="AS108" i="14"/>
  <c r="AR23" i="14"/>
  <c r="AR32" i="14"/>
  <c r="AS105" i="14"/>
  <c r="AS89" i="14" l="1"/>
  <c r="AS90" i="14"/>
  <c r="AW58" i="14"/>
  <c r="AW61" i="14"/>
  <c r="AR33" i="14"/>
  <c r="AR34" i="14"/>
  <c r="AR35" i="14" s="1"/>
  <c r="AS92" i="14" l="1"/>
  <c r="AS29" i="14" s="1"/>
  <c r="AX96" i="14"/>
  <c r="AW60" i="14"/>
  <c r="AS93" i="14" l="1"/>
  <c r="AS94" i="14"/>
  <c r="AX58" i="14"/>
  <c r="AX61" i="14"/>
  <c r="AS50" i="14"/>
  <c r="AS95" i="14" l="1"/>
  <c r="AY96" i="14"/>
  <c r="AX60" i="14"/>
  <c r="AS51" i="14"/>
  <c r="AS16" i="14"/>
  <c r="AS37" i="14"/>
  <c r="AS38" i="14"/>
  <c r="AS30" i="14"/>
  <c r="AY58" i="14" l="1"/>
  <c r="AY61" i="14"/>
  <c r="D70" i="14" s="1"/>
  <c r="AT15" i="14"/>
  <c r="AT82" i="14" s="1"/>
  <c r="AT87" i="14" s="1"/>
  <c r="AT110" i="14" s="1"/>
  <c r="AS39" i="14"/>
  <c r="AS24" i="14"/>
  <c r="AS17" i="14"/>
  <c r="AS18" i="14" s="1"/>
  <c r="AS19" i="14" s="1"/>
  <c r="AS20" i="14" s="1"/>
  <c r="B15" i="16" l="1"/>
  <c r="C20" i="16"/>
  <c r="D20" i="16" s="1"/>
  <c r="D78" i="14"/>
  <c r="D101" i="14"/>
  <c r="B19" i="16" s="1"/>
  <c r="D19" i="16" s="1"/>
  <c r="D76" i="14"/>
  <c r="B18" i="16" s="1"/>
  <c r="D18" i="16" s="1"/>
  <c r="AY60" i="14"/>
  <c r="D72" i="14" s="1"/>
  <c r="B16" i="16" s="1"/>
  <c r="D16" i="16" s="1"/>
  <c r="AU98" i="14"/>
  <c r="AS26" i="14"/>
  <c r="AS25" i="14"/>
  <c r="AS27" i="14"/>
  <c r="AS28" i="14" s="1"/>
  <c r="AS22" i="14"/>
  <c r="AT104" i="14"/>
  <c r="AT31" i="14"/>
  <c r="AT83" i="14" a="1"/>
  <c r="AT83" i="14" s="1"/>
  <c r="AT9" i="14"/>
  <c r="AT49" i="14"/>
  <c r="AT85" i="14" a="1"/>
  <c r="AT85" i="14" s="1"/>
  <c r="AT108" i="14" s="1"/>
  <c r="AT107" i="14"/>
  <c r="D15" i="16" l="1"/>
  <c r="A23" i="16"/>
  <c r="AT91" i="14"/>
  <c r="AT105" i="14"/>
  <c r="AT89" i="14" s="1"/>
  <c r="AT86" i="14"/>
  <c r="AS32" i="14"/>
  <c r="AS23" i="14"/>
  <c r="AS33" i="14" l="1"/>
  <c r="AS34" i="14"/>
  <c r="AS35" i="14" s="1"/>
  <c r="AT106" i="14"/>
  <c r="AT109" i="14"/>
  <c r="AT90" i="14" l="1"/>
  <c r="AT92" i="14" s="1"/>
  <c r="AT29" i="14" s="1"/>
  <c r="AT94" i="14"/>
  <c r="AT93" i="14" l="1"/>
  <c r="AT95" i="14" s="1"/>
  <c r="AT50" i="14"/>
  <c r="AT51" i="14" l="1"/>
  <c r="AT16" i="14"/>
  <c r="AT38" i="14"/>
  <c r="AT37" i="14"/>
  <c r="AT30" i="14"/>
  <c r="AT39" i="14" l="1"/>
  <c r="AU15" i="14"/>
  <c r="AU82" i="14" s="1"/>
  <c r="AU87" i="14" s="1"/>
  <c r="AU107" i="14" s="1"/>
  <c r="AT24" i="14"/>
  <c r="AT17" i="14"/>
  <c r="AT18" i="14" s="1"/>
  <c r="AT19" i="14" s="1"/>
  <c r="AT20" i="14" s="1"/>
  <c r="AV98" i="14" l="1"/>
  <c r="AT26" i="14"/>
  <c r="AT25" i="14"/>
  <c r="AT27" i="14"/>
  <c r="AT28" i="14" s="1"/>
  <c r="AT22" i="14"/>
  <c r="AU83" i="14" a="1"/>
  <c r="AU83" i="14" s="1"/>
  <c r="AU104" i="14"/>
  <c r="AU9" i="14"/>
  <c r="AU31" i="14"/>
  <c r="AU85" i="14" a="1"/>
  <c r="AU85" i="14" s="1"/>
  <c r="AU105" i="14" s="1"/>
  <c r="AU49" i="14"/>
  <c r="AU110" i="14"/>
  <c r="AU91" i="14" s="1"/>
  <c r="AU108" i="14" l="1"/>
  <c r="AU89" i="14" s="1"/>
  <c r="AU86" i="14"/>
  <c r="AT32" i="14"/>
  <c r="AT23" i="14"/>
  <c r="AT34" i="14" l="1"/>
  <c r="AT35" i="14" s="1"/>
  <c r="AT33" i="14"/>
  <c r="AU109" i="14"/>
  <c r="AU106" i="14"/>
  <c r="AU90" i="14" l="1"/>
  <c r="AU92" i="14" s="1"/>
  <c r="AU29" i="14" s="1"/>
  <c r="AU93" i="14" l="1"/>
  <c r="AU94" i="14"/>
  <c r="AU50" i="14"/>
  <c r="AU95" i="14" l="1"/>
  <c r="AU51" i="14"/>
  <c r="AU16" i="14"/>
  <c r="AU38" i="14"/>
  <c r="AU37" i="14"/>
  <c r="AU30" i="14"/>
  <c r="AV15" i="14" l="1"/>
  <c r="AV82" i="14" s="1"/>
  <c r="AV87" i="14" s="1"/>
  <c r="AU39" i="14"/>
  <c r="AU17" i="14"/>
  <c r="AU18" i="14" s="1"/>
  <c r="AU19" i="14" s="1"/>
  <c r="AU20" i="14" s="1"/>
  <c r="AU24" i="14"/>
  <c r="AW98" i="14" l="1"/>
  <c r="AU26" i="14"/>
  <c r="AU25" i="14"/>
  <c r="AU22" i="14"/>
  <c r="AU27" i="14"/>
  <c r="AU28" i="14" s="1"/>
  <c r="AV110" i="14"/>
  <c r="AV107" i="14"/>
  <c r="AV31" i="14"/>
  <c r="AV104" i="14"/>
  <c r="AV83" i="14" a="1"/>
  <c r="AV83" i="14" s="1"/>
  <c r="AV9" i="14"/>
  <c r="AV49" i="14"/>
  <c r="AV85" i="14" a="1"/>
  <c r="AV85" i="14" s="1"/>
  <c r="AV108" i="14" s="1"/>
  <c r="AV91" i="14" l="1"/>
  <c r="AU32" i="14"/>
  <c r="AU23" i="14"/>
  <c r="AV86" i="14"/>
  <c r="AV105" i="14"/>
  <c r="AV89" i="14" s="1"/>
  <c r="AV109" i="14" l="1"/>
  <c r="AV106" i="14"/>
  <c r="AU33" i="14"/>
  <c r="AU34" i="14"/>
  <c r="AU35" i="14" s="1"/>
  <c r="AV90" i="14" l="1"/>
  <c r="AV92" i="14" s="1"/>
  <c r="AV29" i="14" s="1"/>
  <c r="AV94" i="14" l="1"/>
  <c r="AV93" i="14"/>
  <c r="AV50" i="14"/>
  <c r="AV95" i="14" l="1"/>
  <c r="AV51" i="14"/>
  <c r="AV16" i="14"/>
  <c r="AV37" i="14"/>
  <c r="AV38" i="14"/>
  <c r="AV30" i="14"/>
  <c r="AV39" i="14" l="1"/>
  <c r="AW15" i="14"/>
  <c r="AV17" i="14"/>
  <c r="AV18" i="14" s="1"/>
  <c r="AV19" i="14" s="1"/>
  <c r="AV20" i="14" s="1"/>
  <c r="AV24" i="14"/>
  <c r="AW31" i="14" l="1"/>
  <c r="AW9" i="14"/>
  <c r="AW83" i="14" a="1"/>
  <c r="AW83" i="14" s="1"/>
  <c r="AW104" i="14"/>
  <c r="AV27" i="14"/>
  <c r="AV28" i="14" s="1"/>
  <c r="AV22" i="14"/>
  <c r="AW82" i="14"/>
  <c r="AW87" i="14" s="1"/>
  <c r="AW110" i="14" s="1"/>
  <c r="AX98" i="14"/>
  <c r="AV25" i="14"/>
  <c r="AV26" i="14"/>
  <c r="AV32" i="14" l="1"/>
  <c r="AV23" i="14"/>
  <c r="AW49" i="14"/>
  <c r="AW107" i="14"/>
  <c r="AW91" i="14" s="1"/>
  <c r="AW85" i="14" a="1"/>
  <c r="AW85" i="14" s="1"/>
  <c r="AW108" i="14" l="1"/>
  <c r="AW86" i="14"/>
  <c r="AW105" i="14"/>
  <c r="AV33" i="14"/>
  <c r="AV34" i="14"/>
  <c r="AV35" i="14" s="1"/>
  <c r="AW89" i="14" l="1"/>
  <c r="AW106" i="14"/>
  <c r="AW109" i="14"/>
  <c r="AW90" i="14" l="1"/>
  <c r="AW92" i="14" s="1"/>
  <c r="AW29" i="14" s="1"/>
  <c r="AW94" i="14" l="1"/>
  <c r="AW93" i="14"/>
  <c r="AW50" i="14"/>
  <c r="AW95" i="14" l="1"/>
  <c r="AW51" i="14"/>
  <c r="AW16" i="14"/>
  <c r="AW38" i="14"/>
  <c r="AW37" i="14"/>
  <c r="AW30" i="14"/>
  <c r="AX15" i="14" l="1"/>
  <c r="AX82" i="14" s="1"/>
  <c r="AX87" i="14" s="1"/>
  <c r="AX107" i="14" s="1"/>
  <c r="AW39" i="14"/>
  <c r="AW24" i="14"/>
  <c r="AW17" i="14"/>
  <c r="AW18" i="14" s="1"/>
  <c r="AW19" i="14" s="1"/>
  <c r="AW20" i="14" s="1"/>
  <c r="AY98" i="14" l="1"/>
  <c r="D99" i="14" s="1"/>
  <c r="AW26" i="14"/>
  <c r="AW25" i="14"/>
  <c r="AW22" i="14"/>
  <c r="AW27" i="14"/>
  <c r="AW28" i="14" s="1"/>
  <c r="AX31" i="14"/>
  <c r="AX104" i="14"/>
  <c r="AX9" i="14"/>
  <c r="AX83" i="14" a="1"/>
  <c r="AX83" i="14" s="1"/>
  <c r="AX85" i="14" a="1"/>
  <c r="AX85" i="14" s="1"/>
  <c r="AX108" i="14" s="1"/>
  <c r="AX49" i="14"/>
  <c r="AX110" i="14"/>
  <c r="AX91" i="14" s="1"/>
  <c r="AX105" i="14" l="1"/>
  <c r="AX89" i="14" s="1"/>
  <c r="AW32" i="14"/>
  <c r="AW23" i="14"/>
  <c r="AX86" i="14"/>
  <c r="AX106" i="14" l="1"/>
  <c r="AX109" i="14"/>
  <c r="AW33" i="14"/>
  <c r="AW34" i="14"/>
  <c r="AW35" i="14" s="1"/>
  <c r="AX90" i="14" l="1"/>
  <c r="AX92" i="14" s="1"/>
  <c r="AX29" i="14" s="1"/>
  <c r="AX93" i="14" l="1"/>
  <c r="AX94" i="14"/>
  <c r="AX50" i="14"/>
  <c r="AX95" i="14" l="1"/>
  <c r="AX51" i="14"/>
  <c r="AX16" i="14"/>
  <c r="AX37" i="14"/>
  <c r="AX38" i="14"/>
  <c r="AX30" i="14"/>
  <c r="AX39" i="14" l="1"/>
  <c r="AY15" i="14"/>
  <c r="AX24" i="14"/>
  <c r="AX17" i="14"/>
  <c r="AX18" i="14" s="1"/>
  <c r="AX19" i="14" s="1"/>
  <c r="AX20" i="14" s="1"/>
  <c r="AX25" i="14" l="1"/>
  <c r="AX26" i="14"/>
  <c r="AY104" i="14"/>
  <c r="AY9" i="14"/>
  <c r="AY31" i="14"/>
  <c r="AY83" i="14" a="1"/>
  <c r="AY83" i="14" s="1"/>
  <c r="AX22" i="14"/>
  <c r="AX27" i="14"/>
  <c r="AX28" i="14" s="1"/>
  <c r="AY82" i="14"/>
  <c r="AY87" i="14" s="1"/>
  <c r="AY110" i="14" l="1"/>
  <c r="AY85" i="14" a="1"/>
  <c r="AY85" i="14" s="1"/>
  <c r="AY107" i="14"/>
  <c r="AY91" i="14" s="1"/>
  <c r="AX32" i="14"/>
  <c r="AX23" i="14"/>
  <c r="AY49" i="14"/>
  <c r="AX33" i="14" l="1"/>
  <c r="AX34" i="14"/>
  <c r="AX35" i="14" s="1"/>
  <c r="AY86" i="14"/>
  <c r="AY108" i="14"/>
  <c r="AY105" i="14"/>
  <c r="AY89" i="14" l="1"/>
  <c r="AY106" i="14"/>
  <c r="AY109" i="14"/>
  <c r="AY90" i="14" l="1"/>
  <c r="AY92" i="14" s="1"/>
  <c r="AY29" i="14" s="1"/>
  <c r="AY94" i="14" l="1"/>
  <c r="AY93" i="14"/>
  <c r="A32" i="16" a="1"/>
  <c r="A32" i="16" s="1"/>
  <c r="B9" i="16" a="1"/>
  <c r="B9" i="16" s="1"/>
  <c r="D32" i="16" a="1"/>
  <c r="D32" i="16" s="1"/>
  <c r="C32" i="16" a="1"/>
  <c r="C32" i="16" s="1"/>
  <c r="B32" i="16" a="1"/>
  <c r="B32" i="16" s="1"/>
  <c r="A19" i="15" a="1"/>
  <c r="A19" i="15" s="1"/>
  <c r="AY95" i="14"/>
  <c r="D103" i="14" s="1"/>
  <c r="AY50" i="14"/>
  <c r="D53" i="14"/>
  <c r="B16" i="15" l="1"/>
  <c r="B8" i="16"/>
  <c r="B15" i="15"/>
  <c r="B17" i="15" s="1"/>
  <c r="B7" i="16"/>
  <c r="AY51" i="14"/>
  <c r="AY16" i="14"/>
  <c r="D42" i="14"/>
  <c r="AY37" i="14"/>
  <c r="AY38" i="14"/>
  <c r="D45" i="14" s="1"/>
  <c r="B10" i="15" s="1"/>
  <c r="AY30" i="14"/>
  <c r="D100" i="14" l="1"/>
  <c r="B8" i="15" s="1"/>
  <c r="AY39" i="14"/>
  <c r="D43" i="14" s="1"/>
  <c r="B7" i="15" s="1"/>
  <c r="D44" i="14"/>
  <c r="B9" i="15" s="1"/>
  <c r="D10" i="15" s="1"/>
  <c r="B29" i="10"/>
  <c r="AY24" i="14"/>
  <c r="AY17" i="14"/>
  <c r="AY18" i="14" s="1"/>
  <c r="AY19" i="14" s="1"/>
  <c r="AY20" i="14" s="1"/>
  <c r="AY22" i="14" l="1"/>
  <c r="AY27" i="14"/>
  <c r="AY28" i="14" s="1"/>
  <c r="D47" i="14" s="1"/>
  <c r="B12" i="15" s="1"/>
  <c r="AY25" i="14"/>
  <c r="D46" i="14" s="1"/>
  <c r="B11" i="15" s="1"/>
  <c r="AY26" i="14"/>
  <c r="B79" i="9"/>
  <c r="B28" i="8" l="1"/>
  <c r="AY32" i="14"/>
  <c r="AY23" i="14"/>
  <c r="D41" i="14"/>
  <c r="B6" i="15" s="1"/>
  <c r="F28" i="11" l="1"/>
  <c r="AY34" i="14"/>
  <c r="AY35" i="14" s="1"/>
  <c r="AY33" i="14"/>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<sst xmlns="http://schemas.openxmlformats.org/spreadsheetml/2006/main" count="1080" uniqueCount="785">
  <si>
    <t>RateList</t>
  </si>
  <si>
    <t>OwnList</t>
  </si>
  <si>
    <t>FilingStatusList</t>
  </si>
  <si>
    <t>Single</t>
  </si>
  <si>
    <t>PROFILE</t>
  </si>
  <si>
    <t>Married Filing Jointly</t>
  </si>
  <si>
    <t>Primary DOB</t>
  </si>
  <si>
    <t>(edit if needed)</t>
  </si>
  <si>
    <t>Married Filing Separately</t>
  </si>
  <si>
    <t>Current Age</t>
  </si>
  <si>
    <t>Head of Household</t>
  </si>
  <si>
    <t>Filing Status</t>
  </si>
  <si>
    <t>Surviving spouse: QSS up to 2 yrs, then Single/HoH</t>
  </si>
  <si>
    <t>Qualifying Surviving Spouse</t>
  </si>
  <si>
    <t>State</t>
  </si>
  <si>
    <t>Target Retirement Age</t>
  </si>
  <si>
    <t>Planning Horizon Age</t>
  </si>
  <si>
    <t>MARKET ASSUMPTIONS</t>
  </si>
  <si>
    <t>Expected Inflation</t>
  </si>
  <si>
    <t>Expected Portfolio Return</t>
  </si>
  <si>
    <t>Safe Withdrawal Rate (SWR)</t>
  </si>
  <si>
    <t>Monthly Rent / Property Income</t>
  </si>
  <si>
    <t>TARGET PORTFOLIO BALANCES (at retirement)</t>
  </si>
  <si>
    <t>Target — Roth IRA</t>
  </si>
  <si>
    <t>Total Target Investable</t>
  </si>
  <si>
    <t>PROPERTY OWNERSHIP %</t>
  </si>
  <si>
    <t>Account ID</t>
  </si>
  <si>
    <t>Account Name</t>
  </si>
  <si>
    <t>Tax Type</t>
  </si>
  <si>
    <t>Category</t>
  </si>
  <si>
    <t>Owner</t>
  </si>
  <si>
    <t>Ownership %</t>
  </si>
  <si>
    <t>RMD Eligible</t>
  </si>
  <si>
    <t>Roth Conversion Source</t>
  </si>
  <si>
    <t>Withdrawal Priority Note</t>
  </si>
  <si>
    <t>Active</t>
  </si>
  <si>
    <t>Brokerage</t>
  </si>
  <si>
    <t>Liquid</t>
  </si>
  <si>
    <t>Primary</t>
  </si>
  <si>
    <t>No</t>
  </si>
  <si>
    <t>Taxable gains — prefer LTCG harvesting</t>
  </si>
  <si>
    <t>Yes</t>
  </si>
  <si>
    <t>Taxable — coordinate with tax bracket</t>
  </si>
  <si>
    <t>Traditional 401k</t>
  </si>
  <si>
    <t>Pre-tax — RMD + Roth conversion candidate</t>
  </si>
  <si>
    <t>Cash</t>
  </si>
  <si>
    <t>Liquidity buffer — first for spending</t>
  </si>
  <si>
    <t>Other</t>
  </si>
  <si>
    <t>Other asset — classify further if needed</t>
  </si>
  <si>
    <t>Taxable brokerage</t>
  </si>
  <si>
    <t>Taxable / alt brokerage</t>
  </si>
  <si>
    <t>Traditional IRA</t>
  </si>
  <si>
    <t>Placeholder — add when opened</t>
  </si>
  <si>
    <t>Roth IRA</t>
  </si>
  <si>
    <t>Tax-free — last resort / legacy; conversion target</t>
  </si>
  <si>
    <t>Real Estate</t>
  </si>
  <si>
    <t>Property</t>
  </si>
  <si>
    <t>Illiquid — equity only in NW</t>
  </si>
  <si>
    <t>Illiquid</t>
  </si>
  <si>
    <t>TAX TYPE LEGEND (for app logic)</t>
  </si>
  <si>
    <t>No RMD; ordinary income on interest; first spend source</t>
  </si>
  <si>
    <t>No RMD; LTCG/qualified dividends; basis tracking later</t>
  </si>
  <si>
    <t>Traditional 401k / IRA</t>
  </si>
  <si>
    <t>RMD from RMD age; ordinary income; Roth conversion source</t>
  </si>
  <si>
    <t>No lifetime RMD (owner); tax-free qualified; conversion destination</t>
  </si>
  <si>
    <t>Illiquid; rental income separate; not in SWR portfolio by default</t>
  </si>
  <si>
    <t>Manual treatment — refine before withdrawal engine</t>
  </si>
  <si>
    <t>Monthly Account Balances — Enter blue cells each month | $ actual</t>
  </si>
  <si>
    <t>LIQUID / INVESTMENT ACCOUNTS</t>
  </si>
  <si>
    <t>Date</t>
  </si>
  <si>
    <t>Total Liquid</t>
  </si>
  <si>
    <t>Pre-Tax</t>
  </si>
  <si>
    <t>Roth</t>
  </si>
  <si>
    <t>MoM Δ</t>
  </si>
  <si>
    <t>YoY Δ</t>
  </si>
  <si>
    <t>MoM %</t>
  </si>
  <si>
    <t>Age</t>
  </si>
  <si>
    <t>Prop Equity</t>
  </si>
  <si>
    <t>Net Worth</t>
  </si>
  <si>
    <t>Net Worth &amp; Allocation Dashboard | $ actual</t>
  </si>
  <si>
    <t>LATEST SNAPSHOT</t>
  </si>
  <si>
    <t>As-of Date</t>
  </si>
  <si>
    <t>Property Equity</t>
  </si>
  <si>
    <t>BY TAX BUCKET (Liquid)</t>
  </si>
  <si>
    <t>Bucket</t>
  </si>
  <si>
    <t>Balance</t>
  </si>
  <si>
    <t>% of Liquid</t>
  </si>
  <si>
    <t>Monthly @ SWR</t>
  </si>
  <si>
    <t>Brokerage (taxable)</t>
  </si>
  <si>
    <t>ACCOUNT DETAIL (Latest)</t>
  </si>
  <si>
    <t>Account</t>
  </si>
  <si>
    <t>TREND (from Monthly Balances)</t>
  </si>
  <si>
    <t>MoM Liquid Δ</t>
  </si>
  <si>
    <t>YoY Liquid Δ</t>
  </si>
  <si>
    <t>Retirement Gap &amp; Target Income | $ actual</t>
  </si>
  <si>
    <t>CURRENT PORTFOLIO vs TARGET</t>
  </si>
  <si>
    <t>Account / Bucket</t>
  </si>
  <si>
    <t>Current</t>
  </si>
  <si>
    <t>Target</t>
  </si>
  <si>
    <t>Gap (Current−Target)</t>
  </si>
  <si>
    <t>Target Monthly @ SWR</t>
  </si>
  <si>
    <t>Investable Total</t>
  </si>
  <si>
    <t>TARGET MONTHLY INCOME BUILD</t>
  </si>
  <si>
    <t>Component</t>
  </si>
  <si>
    <t>Current Path</t>
  </si>
  <si>
    <t>At Target Balances</t>
  </si>
  <si>
    <t>Portfolio SWR (investable)</t>
  </si>
  <si>
    <t>Social Security (couple)</t>
  </si>
  <si>
    <t>Rent / Property Income</t>
  </si>
  <si>
    <t>Total Monthly Income</t>
  </si>
  <si>
    <t>PROJECTED VALUE AT RETIREMENT AGE</t>
  </si>
  <si>
    <t>Years to Retirement</t>
  </si>
  <si>
    <t>Inflation</t>
  </si>
  <si>
    <t>GAP SUMMARY</t>
  </si>
  <si>
    <t>Investable gap to target</t>
  </si>
  <si>
    <t>Years of savings if filling gap evenly</t>
  </si>
  <si>
    <t>Annual savings to close gap (no growth)</t>
  </si>
  <si>
    <t>Annual savings to close gap (w/ growth)</t>
  </si>
  <si>
    <t>Notes: Gap negative = below target. SWR portfolio excludes Cash buffer, JLB Other, and Property equity (rent handled separately). Growth projection is balances only — no future contributions unless you add savings in B39.</t>
  </si>
  <si>
    <t>Social Security Claim-Age Table | $ actual / monthly</t>
  </si>
  <si>
    <t>PRIMARY BENEFITS (edit blue)</t>
  </si>
  <si>
    <t>Claim Age</t>
  </si>
  <si>
    <t>Primary SS $/mo</t>
  </si>
  <si>
    <t>Spouse @ 50%</t>
  </si>
  <si>
    <t>Couple Monthly</t>
  </si>
  <si>
    <t>Couple Annual</t>
  </si>
  <si>
    <t>Years to Age</t>
  </si>
  <si>
    <t>Cumulative to 70</t>
  </si>
  <si>
    <t>Cumulative to 75</t>
  </si>
  <si>
    <t>Cumulative to 80</t>
  </si>
  <si>
    <t>Cumulative to 85</t>
  </si>
  <si>
    <t>SELECTED CLAIM SCENARIO</t>
  </si>
  <si>
    <t>Planned Claim Age</t>
  </si>
  <si>
    <t>Primary SS at Claim</t>
  </si>
  <si>
    <t>Couple Monthly (Primary+50%)</t>
  </si>
  <si>
    <t>Note</t>
  </si>
  <si>
    <t>Spouse 50% is a simplified placeholder — replace with actual spousal benefit when known.</t>
  </si>
  <si>
    <t>IRMAA Module (Placeholder) — Medicare Income-Related Monthly Adjustment Amount</t>
  </si>
  <si>
    <t>PURPOSE</t>
  </si>
  <si>
    <t>Track MAGI vs IRMAA brackets so withdrawals and Roth conversions stay under cliffs. Populate brackets annually; wire MAGI from Tax + What-If sheets.</t>
  </si>
  <si>
    <t>INPUTS</t>
  </si>
  <si>
    <t>Tax Year</t>
  </si>
  <si>
    <t>Projected MAGI</t>
  </si>
  <si>
    <t>of which: SS taxable</t>
  </si>
  <si>
    <t>of which: Roth conversions</t>
  </si>
  <si>
    <t>of which: 401k/IRA withdrawals</t>
  </si>
  <si>
    <t>Tier</t>
  </si>
  <si>
    <t>MAGI From</t>
  </si>
  <si>
    <t>MAGI To</t>
  </si>
  <si>
    <t>Part B IRMAA/mo</t>
  </si>
  <si>
    <t>Part D IRMAA/mo</t>
  </si>
  <si>
    <t>APP HOOKS</t>
  </si>
  <si>
    <t>Status</t>
  </si>
  <si>
    <t>Live years in IRMAA</t>
  </si>
  <si>
    <t>Cliff input</t>
  </si>
  <si>
    <t>RMD — Required Minimum Distributions</t>
  </si>
  <si>
    <t>Compute RMDs on pre-tax accounts (401k, Trad IRA) using Uniform Lifetime Table; feed Tax and withdrawal optimizer.</t>
  </si>
  <si>
    <t>PROFILE LINKS</t>
  </si>
  <si>
    <t>DOB</t>
  </si>
  <si>
    <t>RMD Start Age (SECURE 2.0)</t>
  </si>
  <si>
    <t>Years Until RMD</t>
  </si>
  <si>
    <t>RMD Applies Now?</t>
  </si>
  <si>
    <t>Factor at RMD Start Age</t>
  </si>
  <si>
    <t>PRE-TAX BALANCES (latest)</t>
  </si>
  <si>
    <t>Prior Year-End (for RMD)</t>
  </si>
  <si>
    <t>Life Expectancy Factor</t>
  </si>
  <si>
    <t>RMD Amount</t>
  </si>
  <si>
    <t>Total RMD</t>
  </si>
  <si>
    <t>UNIFORM LIFETIME TABLE — IRS TABLE III (current factors)</t>
  </si>
  <si>
    <t>Factor</t>
  </si>
  <si>
    <t>Live RMD path</t>
  </si>
  <si>
    <t>Timeline row RMD_Required. Pre-tax drains via conversions.</t>
  </si>
  <si>
    <t>Ending pre-tax</t>
  </si>
  <si>
    <t>Roth Conversion Optimizer (Placeholder)</t>
  </si>
  <si>
    <t>Model annual conversions from 401k/Trad IRA → Roth IRA within tax bracket and IRMAA headroom; minimize lifetime tax + RMD.</t>
  </si>
  <si>
    <t>SOURCE / DESTINATION</t>
  </si>
  <si>
    <t>Pre-Tax Available</t>
  </si>
  <si>
    <t>Current Roth Balance</t>
  </si>
  <si>
    <t>Planned Conversion (this year)</t>
  </si>
  <si>
    <t>Federal Bracket Cap (taxable income room)</t>
  </si>
  <si>
    <t>IRMAA Headroom</t>
  </si>
  <si>
    <t>Max Conversion (min of constraints)</t>
  </si>
  <si>
    <t>Conversion within cap?</t>
  </si>
  <si>
    <t>MULTI-YEAR PLAN (inputs)</t>
  </si>
  <si>
    <t>Year</t>
  </si>
  <si>
    <t>Conversion $</t>
  </si>
  <si>
    <t>Ending Pre-Tax</t>
  </si>
  <si>
    <t>Ending Roth</t>
  </si>
  <si>
    <t>• optimalConversion(bracketRoom, irmaaRoom, preTaxBal, yearsToRMD)</t>
  </si>
  <si>
    <t>• lifetimeTaxWithVsWithoutConversion(...)</t>
  </si>
  <si>
    <t>Live plan</t>
  </si>
  <si>
    <t>Total planned conversions</t>
  </si>
  <si>
    <t>Edit yearly amounts on Timeline Roth_Conversion (yellow)</t>
  </si>
  <si>
    <t>Tax Engine — Brackets by Filing Status &amp; Tax Year | 2025-2026 IRS; later inflation-indexed to horizon</t>
  </si>
  <si>
    <t>YEAR LIST</t>
  </si>
  <si>
    <t>StartYear</t>
  </si>
  <si>
    <t>FILING STATUS (from Inputs)</t>
  </si>
  <si>
    <t>ANNUAL TAX CALCULATOR</t>
  </si>
  <si>
    <t>EndYear</t>
  </si>
  <si>
    <t>Active filing status</t>
  </si>
  <si>
    <t>Wages / other ordinary</t>
  </si>
  <si>
    <t>Tax year</t>
  </si>
  <si>
    <t>Ends at Inputs horizon (DOB year + B9). 2025-2026 = IRS; later = inflate from 2026.</t>
  </si>
  <si>
    <t>401k/IRA withdrawals</t>
  </si>
  <si>
    <t>Count</t>
  </si>
  <si>
    <t>First tax year (list start)</t>
  </si>
  <si>
    <t>Roth conversions</t>
  </si>
  <si>
    <t>ACTIVE PARAMETERS (filing status x tax year)</t>
  </si>
  <si>
    <t>Taxable interest / non-QD</t>
  </si>
  <si>
    <t>Param source</t>
  </si>
  <si>
    <t>Qualified div + LTCG</t>
  </si>
  <si>
    <t>TaxYearList</t>
  </si>
  <si>
    <t>Social Security (gross)</t>
  </si>
  <si>
    <t>Standard deduction</t>
  </si>
  <si>
    <t>Ordinary 10% top</t>
  </si>
  <si>
    <t>Ordinary excl. SS</t>
  </si>
  <si>
    <t>Ordinary 12% top</t>
  </si>
  <si>
    <t>Provisional income</t>
  </si>
  <si>
    <t>Ordinary 22% top</t>
  </si>
  <si>
    <t>Taxable SS %</t>
  </si>
  <si>
    <t>Ordinary 24% top</t>
  </si>
  <si>
    <t>Taxable SS $</t>
  </si>
  <si>
    <t>Ordinary 32% top</t>
  </si>
  <si>
    <t>Total ordinary (incl tax SS)</t>
  </si>
  <si>
    <t>Ordinary 35% top</t>
  </si>
  <si>
    <t>Std deduction (status)</t>
  </si>
  <si>
    <t>Ordinary 37% starts above</t>
  </si>
  <si>
    <t>Taxable ordinary</t>
  </si>
  <si>
    <t>LTCG 0% top (taxable income)</t>
  </si>
  <si>
    <t>LTCG / QD</t>
  </si>
  <si>
    <t>NIIT MAGI threshold</t>
  </si>
  <si>
    <t>Ordinary tax</t>
  </si>
  <si>
    <t>SS provisional base (0 to 50%)</t>
  </si>
  <si>
    <t>LTCG tax (stacked)</t>
  </si>
  <si>
    <t>SS provisional base (50 to 85%)</t>
  </si>
  <si>
    <t>NIIT 3.8%</t>
  </si>
  <si>
    <t>Total federal tax</t>
  </si>
  <si>
    <t>ACTIVE ORDINARY BRACKETS</t>
  </si>
  <si>
    <t>Effective rate</t>
  </si>
  <si>
    <t>Rate</t>
  </si>
  <si>
    <t>Taxable income from</t>
  </si>
  <si>
    <t>Taxable income to</t>
  </si>
  <si>
    <t>LINKED TO TIMELINE</t>
  </si>
  <si>
    <t>StdDed, ord tops, LTCG, NIIT, SS bases → Timeline AI cells</t>
  </si>
  <si>
    <t>Live lifetime tax (Timeline)</t>
  </si>
  <si>
    <t>No limit</t>
  </si>
  <si>
    <t>SURVIVING SPOUSE / STATUS CHANGE</t>
  </si>
  <si>
    <t>Year of death: often still MFJ if eligible. Next FY: Qualifying Surviving Spouse (if rules met) up to 2 years — MFJ-like brackets/std ded.</t>
  </si>
  <si>
    <t>After QSS ends: Single or HoH — brackets tighten, std ded drops, NIIT often $200k, SS bases use single thresholds.</t>
  </si>
  <si>
    <t>Change Inputs B6 → Tax brackets update → Timeline tax engine reads these parameters.</t>
  </si>
  <si>
    <t>BRACKET TABLE TY2025 (IRS base)</t>
  </si>
  <si>
    <t>StdDed</t>
  </si>
  <si>
    <t>Ord10</t>
  </si>
  <si>
    <t>Ord12</t>
  </si>
  <si>
    <t>Ord22</t>
  </si>
  <si>
    <t>Ord24</t>
  </si>
  <si>
    <t>Ord32</t>
  </si>
  <si>
    <t>Ord35</t>
  </si>
  <si>
    <t>LTCG0</t>
  </si>
  <si>
    <t>NIIT</t>
  </si>
  <si>
    <t>SS_0to50</t>
  </si>
  <si>
    <t>SS_50to85</t>
  </si>
  <si>
    <t>Source: IRS 2025 inflation-adjusted amounts. MFS SS bases 0/0 → 85% taxable SS if any SS. QSS NIIT $200k (not MFJ $250k).</t>
  </si>
  <si>
    <t>BRACKET TABLE TY2026 (IRS Rev. Proc. 2025-32)</t>
  </si>
  <si>
    <t>Beyond 2026: amounts = TY2026 x (1+Inputs inflation)^(year-2026). NIIT and SS bases not inflated.</t>
  </si>
  <si>
    <t>Tax year dropdown: 2025 through YEAR(DOB)+Planning Horizon Age (Inputs B4/B9).</t>
  </si>
  <si>
    <t>What-If Withdrawal Scenarios (Placeholder)</t>
  </si>
  <si>
    <t>Compare draw order: Brokerage vs 401k vs SS timing vs Roth. Optimize for tax, IRMAA, and RMD while funding spending.</t>
  </si>
  <si>
    <t>SPENDING NEED</t>
  </si>
  <si>
    <t>Target Annual Spending</t>
  </si>
  <si>
    <t>Less: SS (annual)</t>
  </si>
  <si>
    <t>Less: Rent income</t>
  </si>
  <si>
    <t>Net Portfolio Draw Needed</t>
  </si>
  <si>
    <t>SCENARIO A — Brokerage first</t>
  </si>
  <si>
    <t>From Brokerage</t>
  </si>
  <si>
    <t>From 401k/IRA</t>
  </si>
  <si>
    <t>From Roth</t>
  </si>
  <si>
    <t>Total Draw</t>
  </si>
  <si>
    <t>Covers need?</t>
  </si>
  <si>
    <t>SCENARIO B — Tax-bracket fill (401k)</t>
  </si>
  <si>
    <t>SCENARIO C — Delay SS / bridge with portfolio</t>
  </si>
  <si>
    <t>SS Claim Age Override</t>
  </si>
  <si>
    <t>SS at override</t>
  </si>
  <si>
    <t>Bridge years portfolio need</t>
  </si>
  <si>
    <t>Metric</t>
  </si>
  <si>
    <t>Scenario A</t>
  </si>
  <si>
    <t>Scenario B</t>
  </si>
  <si>
    <t>Scenario C</t>
  </si>
  <si>
    <t>Est. Federal Tax</t>
  </si>
  <si>
    <t>IRMAA Tier</t>
  </si>
  <si>
    <t>• simulateYear(drawVector, accounts, tax, irmaa, rmd)</t>
  </si>
  <si>
    <t>• optimizeDrawOrder(spend, constraints)</t>
  </si>
  <si>
    <t>Primary sandbox is Timeline yellow cells; Insights updates.</t>
  </si>
  <si>
    <t>Bracket target</t>
  </si>
  <si>
    <t>HOW TO USE</t>
  </si>
  <si>
    <t>1. Inputs — edit blue cells: DOB, filing status, inflation, return, SWR, rent income, target balances, property ownership %.</t>
  </si>
  <si>
    <t>2. Accounts — registry of every account with Tax Type (Cash / Brokerage / Traditional 401k / Traditional IRA / Roth IRA / Real Estate / Other). Toggle Active.</t>
  </si>
  <si>
    <t>3. Monthly Balances — each month enter Date + blue balance cells (accounts + property FMV). Totals, tax buckets, MoM/YoY, age, equity, and net worth calculate automatically. Rows 29–52 are pre-wired for future months.</t>
  </si>
  <si>
    <t>4. Net Worth — live snapshot of latest balances by tax bucket and account; SWR monthly income by bucket.</t>
  </si>
  <si>
    <t>5. Retirement Gap — current vs target by account; income build (SWR + SS + rent); growth to retirement age; savings needed to close gap.</t>
  </si>
  <si>
    <t>6. SS Benefits — claim-age table (62/65/67/70); set Planned Claim Age; couple estimate uses 50% spouse placeholder.</t>
  </si>
  <si>
    <t>7. IRMAA / RMD / Roth Conversion / Tax / What-If — structured stubs with app hooks for vibe-coding the next phase.</t>
  </si>
  <si>
    <t>TAX-BUCKET LOGIC (for withdrawal engine)</t>
  </si>
  <si>
    <t>Cash — spend first; no RMD.</t>
  </si>
  <si>
    <t>Brokerage — taxable; LTCG harvesting; no RMD; coordinate with brackets.</t>
  </si>
  <si>
    <t>Pre-Tax (401k + Trad IRA) — ordinary income; RMD from start age; Roth conversion source.</t>
  </si>
  <si>
    <t>Roth IRA — tax-free qualified; no owner RMD; last resort / legacy; conversion destination.</t>
  </si>
  <si>
    <t>Property — illiquid; rent in income build; not in default SWR portfolio.</t>
  </si>
  <si>
    <t>Other (JLB) — refine classification before production withdrawal rules.</t>
  </si>
  <si>
    <t>RECONCILIATION TO OLD SHEET</t>
  </si>
  <si>
    <t>History Aug-24 through Jul-26 migrated. Investable gap ≈ ($438k) matches prior GAP row. Current-path monthly income ≈ $14,744 (SWR + SS@65 couple + $1,600 rent) matches prior target build.</t>
  </si>
  <si>
    <t>Old Sheet1 replaced (deleted after migration). Partnership RB/HB split notes not carried as separate columns — re-add on Accounts if needed.</t>
  </si>
  <si>
    <t>APP DATA MODEL (suggested)</t>
  </si>
  <si>
    <t>entities: Person, Account, BalanceSnapshot, AssumptionSet, SSBenefitSchedule, TaxBracketSet, IRMAABracketSet, RMDTable, Scenario, ConversionPlan</t>
  </si>
  <si>
    <t>BalanceSnapshot: { date, accountId, balance }  — Monthly Balances is the wide pivot of this.</t>
  </si>
  <si>
    <t>Withdrawal engine inputs: spendNeed, drawVector by taxType, magi, irmaaTier, rmdDue, conversionAmount</t>
  </si>
  <si>
    <t>Color convention: blue input | black formula | green cross-sheet link</t>
  </si>
  <si>
    <t>NEXT BUILD PHASES</t>
  </si>
  <si>
    <t>Phase 2: Official tax brackets + taxable SS formula + IRMAA table for selected year.</t>
  </si>
  <si>
    <t>Phase 3: Full RMD table + year-end balance capture for RMD base.</t>
  </si>
  <si>
    <t>Phase 4: Roth conversion multi-year optimizer constrained by bracket + IRMAA.</t>
  </si>
  <si>
    <t>Phase 5: What-If Monte Carlo / sequence-of-returns optional later.</t>
  </si>
  <si>
    <t>Last rebuilt: clean foundation for vibe-coded retirement app.</t>
  </si>
  <si>
    <t>TIMELINE ENGINE</t>
  </si>
  <si>
    <t>Timeline = yearly control plane: yellow inputs, green tax, pink LTCG, IRMAA/MAGI, portfolio rollforward, flags.</t>
  </si>
  <si>
    <t>Insights explains strategy + app rules (UND/OVR/LTCG/IRM/SHORT/SHIFT_YEAR).</t>
  </si>
  <si>
    <t>Suggested Roth = min(bracket room, IRMAA headroom, pretax). Large LTCG years force $0.</t>
  </si>
  <si>
    <t>External links to Investments_Gabi_Roger.xlsx removed; all calcs local.</t>
  </si>
  <si>
    <t>Mode AI22 applies Suggested or Aggressive fills into Active_Roth_Conversion (orange row) without erasing Base yellow inputs.</t>
  </si>
  <si>
    <t>Comparison sheet: independent Base vs Aggressive engines + year-by-year conv/tax deltas.</t>
  </si>
  <si>
    <t>Section</t>
  </si>
  <si>
    <t>Line</t>
  </si>
  <si>
    <t>Notes / Link</t>
  </si>
  <si>
    <t>PLAN ASSUMPTIONS</t>
  </si>
  <si>
    <t>Return rate</t>
  </si>
  <si>
    <t>INPUT</t>
  </si>
  <si>
    <t>Base_Roth_Conversion</t>
  </si>
  <si>
    <t>Your plan (always stored)</t>
  </si>
  <si>
    <t>SWR</t>
  </si>
  <si>
    <t>W2_Income</t>
  </si>
  <si>
    <t>Wages while working</t>
  </si>
  <si>
    <t>Rental_Income</t>
  </si>
  <si>
    <t>Net rental (links Inputs rent×12 default)</t>
  </si>
  <si>
    <t>Std deduction (Tax/status)</t>
  </si>
  <si>
    <t>Annual_SS</t>
  </si>
  <si>
    <t>Annual couple SS starts at Inputs retirement age; lookup from SS Benefits</t>
  </si>
  <si>
    <t>IRMAA tier0 max MAGI</t>
  </si>
  <si>
    <t>CALC</t>
  </si>
  <si>
    <t>RMD_Auto</t>
  </si>
  <si>
    <t>Required RMD from prior-year 401(k) + Traditional IRA balance and IRS factor</t>
  </si>
  <si>
    <t>RMD start age</t>
  </si>
  <si>
    <t>Brokerage_LTCG</t>
  </si>
  <si>
    <t>Realized LTCG from brokerage</t>
  </si>
  <si>
    <t>Top of 12% (Tax)</t>
  </si>
  <si>
    <t>Other_LTCG</t>
  </si>
  <si>
    <t>One-time LTCG (e.g. SLC / property)</t>
  </si>
  <si>
    <t>Top of 22% (Tax)</t>
  </si>
  <si>
    <t>Roth_Withdrawal</t>
  </si>
  <si>
    <t>Roth distributions (tax-free)</t>
  </si>
  <si>
    <t>Top of 24% (Tax)</t>
  </si>
  <si>
    <t>Unforeseen_Expense</t>
  </si>
  <si>
    <t>Car, medical, gift — cash need</t>
  </si>
  <si>
    <t>Target fill = 22% top (Tax)</t>
  </si>
  <si>
    <t>NIIT (Tax)</t>
  </si>
  <si>
    <t>RMD_Required</t>
  </si>
  <si>
    <t>Prior-year combined pre-tax balance ÷ IRS Uniform Lifetime factor</t>
  </si>
  <si>
    <t>0% LTCG top (Tax)</t>
  </si>
  <si>
    <t>Ordinary_Gross</t>
  </si>
  <si>
    <t>Conv+W2+Rent+RMD+ExtraTrad</t>
  </si>
  <si>
    <t>15% LTCG top (Tax)</t>
  </si>
  <si>
    <t>Provisional_Income</t>
  </si>
  <si>
    <t>Ordinary + 50% SS</t>
  </si>
  <si>
    <t>Start Brokerage</t>
  </si>
  <si>
    <t>Taxable_SS_%</t>
  </si>
  <si>
    <t>MFJ thresholds 32k/44k simplified</t>
  </si>
  <si>
    <t>Start Pre-Tax</t>
  </si>
  <si>
    <t>Taxable_SS_$</t>
  </si>
  <si>
    <t>SS * taxable %</t>
  </si>
  <si>
    <t>Start Roth</t>
  </si>
  <si>
    <t>Taxable_Ordinary</t>
  </si>
  <si>
    <t>Ordinary + taxable SS</t>
  </si>
  <si>
    <t>Annual spend need</t>
  </si>
  <si>
    <t>LTCG</t>
  </si>
  <si>
    <t>Total_LTCG</t>
  </si>
  <si>
    <t>Brokerage + Other LTCG</t>
  </si>
  <si>
    <t>SCENARIO CONTROL</t>
  </si>
  <si>
    <t>Base</t>
  </si>
  <si>
    <t>TAX</t>
  </si>
  <si>
    <t>Federal_Tax</t>
  </si>
  <si>
    <t>Ordinary brackets + LTCG + NIIT</t>
  </si>
  <si>
    <t>Conversion Mode</t>
  </si>
  <si>
    <t>Suggested</t>
  </si>
  <si>
    <t>Eff_Tax_Rate</t>
  </si>
  <si>
    <t>Tax / (ordinary+SS+LTCG+RothWD)</t>
  </si>
  <si>
    <t>Modes: Base | Suggested | Aggressive</t>
  </si>
  <si>
    <t>Divisor</t>
  </si>
  <si>
    <t>Aggressive</t>
  </si>
  <si>
    <t>IRMAA</t>
  </si>
  <si>
    <t>MAGI_proxy</t>
  </si>
  <si>
    <t>Ordinary + SS + LTCG</t>
  </si>
  <si>
    <t>Aggressive target (taxable ord)</t>
  </si>
  <si>
    <t>IRMAA_Status</t>
  </si>
  <si>
    <t>vs tier0 cliff</t>
  </si>
  <si>
    <t>Set AI22 = Suggested or Aggressive</t>
  </si>
  <si>
    <t>IRMAA_Headroom</t>
  </si>
  <si>
    <t>Room under cliff (neg=over)</t>
  </si>
  <si>
    <t>to one-click apply fills</t>
  </si>
  <si>
    <t>INSIGHT</t>
  </si>
  <si>
    <t>TaxableOrd_after_StdDed</t>
  </si>
  <si>
    <t>For bracket math</t>
  </si>
  <si>
    <t>Bracket_Room_to_Target</t>
  </si>
  <si>
    <t>Room to fill target bracket</t>
  </si>
  <si>
    <t>Suggested_Roth_Conversion</t>
  </si>
  <si>
    <t>Conv_vs_Suggested</t>
  </si>
  <si>
    <t>Actual − suggested (+: overfill)</t>
  </si>
  <si>
    <t>CASH</t>
  </si>
  <si>
    <t>Cash_In</t>
  </si>
  <si>
    <t>Spendable sources excl conversion</t>
  </si>
  <si>
    <t>Cash_After_Tax</t>
  </si>
  <si>
    <t>Monthly_Cash</t>
  </si>
  <si>
    <t>After tax / 12</t>
  </si>
  <si>
    <t>Surplus_vs_Spend</t>
  </si>
  <si>
    <t>After tax − annual spend need</t>
  </si>
  <si>
    <t>FLAG</t>
  </si>
  <si>
    <t>Planner_Flags</t>
  </si>
  <si>
    <t>Auto signals for app</t>
  </si>
  <si>
    <t>Ord 10% top (Tax)</t>
  </si>
  <si>
    <t>PORT</t>
  </si>
  <si>
    <t>Brokerage_EOY</t>
  </si>
  <si>
    <t>Grows; − LTCG basis proxy full amount</t>
  </si>
  <si>
    <t>Ord 32% top (Tax)</t>
  </si>
  <si>
    <t>PreTax_EOY</t>
  </si>
  <si>
    <t>Ord 35% top (Tax)</t>
  </si>
  <si>
    <t>Roth_EOY</t>
  </si>
  <si>
    <t>Grows; + conv − Roth WD</t>
  </si>
  <si>
    <t>SS base 0-50 (Tax)</t>
  </si>
  <si>
    <t>Total_Investable</t>
  </si>
  <si>
    <t>Brokerage+PreTax+Roth</t>
  </si>
  <si>
    <t>SS base 50-85 (Tax)</t>
  </si>
  <si>
    <t>TOTAL</t>
  </si>
  <si>
    <t>Lifetime_Federal_Tax</t>
  </si>
  <si>
    <t>Lifetime_Roth_Converted_Active</t>
  </si>
  <si>
    <t>Ending_Portfolio</t>
  </si>
  <si>
    <t>Ending_PreTax</t>
  </si>
  <si>
    <t>Ending_Roth</t>
  </si>
  <si>
    <t>Years_IRMAA</t>
  </si>
  <si>
    <t>Years_underfilled_bracket</t>
  </si>
  <si>
    <t>Aggressive_Suggested</t>
  </si>
  <si>
    <t>ACTIVE</t>
  </si>
  <si>
    <t>Active_Roth_Conversion</t>
  </si>
  <si>
    <t>Feeds tax engine via Mode</t>
  </si>
  <si>
    <t>Active_minus_Base</t>
  </si>
  <si>
    <t>Delta vs Base plan</t>
  </si>
  <si>
    <t>Lifetime_Base_Conversions</t>
  </si>
  <si>
    <t>Lifetime_Suggested_Conversions</t>
  </si>
  <si>
    <t>Lifetime_Aggressive_Conversions</t>
  </si>
  <si>
    <t>Sum of independent Agg path</t>
  </si>
  <si>
    <t>Active_Mode</t>
  </si>
  <si>
    <t>COMPARE</t>
  </si>
  <si>
    <t>— BASE PATH (fixed yellow conversions) —</t>
  </si>
  <si>
    <t>BASE</t>
  </si>
  <si>
    <t>Base_Brokerage_EOY</t>
  </si>
  <si>
    <t>Independent of Mode</t>
  </si>
  <si>
    <t>Base_PreTax_EOY</t>
  </si>
  <si>
    <t>Base_Roth_EOY</t>
  </si>
  <si>
    <t>Base_Total</t>
  </si>
  <si>
    <t>Base_Federal_Tax</t>
  </si>
  <si>
    <t>Tax if Base conversions</t>
  </si>
  <si>
    <t>— AGGRESSIVE PATH (24% fill) —</t>
  </si>
  <si>
    <t>AGG</t>
  </si>
  <si>
    <t>Agg_Conversion</t>
  </si>
  <si>
    <t>Agg_Brokerage_EOY</t>
  </si>
  <si>
    <t>Agg_PreTax_EOY</t>
  </si>
  <si>
    <t>Agg_Roth_EOY</t>
  </si>
  <si>
    <t>Agg_Total</t>
  </si>
  <si>
    <t>Agg_Federal_Tax</t>
  </si>
  <si>
    <t>Tax if Aggressive conversions</t>
  </si>
  <si>
    <t>Base_Lifetime_Tax</t>
  </si>
  <si>
    <t>Agg_Lifetime_Tax</t>
  </si>
  <si>
    <t>Base_Ending_Total</t>
  </si>
  <si>
    <t>Agg_Ending_Total</t>
  </si>
  <si>
    <t>Base_Ending_Roth</t>
  </si>
  <si>
    <t>Agg_Ending_Roth</t>
  </si>
  <si>
    <t>Base_Ending_PreTax</t>
  </si>
  <si>
    <t>Agg_Ending_PreTax</t>
  </si>
  <si>
    <t>Tax_Savings_Aggressive</t>
  </si>
  <si>
    <t>Lifetime federal tax</t>
  </si>
  <si>
    <t>Total Roth conversions</t>
  </si>
  <si>
    <t>Ending investable portfolio</t>
  </si>
  <si>
    <t>Florida</t>
  </si>
  <si>
    <t>Account_01</t>
  </si>
  <si>
    <t>Brokerage_01</t>
  </si>
  <si>
    <t>Brokerage_02</t>
  </si>
  <si>
    <t>Account_02</t>
  </si>
  <si>
    <t>Account_03</t>
  </si>
  <si>
    <t>401K</t>
  </si>
  <si>
    <t>Account_04</t>
  </si>
  <si>
    <t>Account_05</t>
  </si>
  <si>
    <t>Brokerage_03</t>
  </si>
  <si>
    <t>Brokerage_04</t>
  </si>
  <si>
    <t>IRA</t>
  </si>
  <si>
    <t>Roth_IRA</t>
  </si>
  <si>
    <t>Real_Estate_01</t>
  </si>
  <si>
    <t>Real_Estate_02</t>
  </si>
  <si>
    <t>Real_Estate_03</t>
  </si>
  <si>
    <t>Real_Estate_04</t>
  </si>
  <si>
    <t>Real_Estate_05</t>
  </si>
  <si>
    <t>Real_Estate_06</t>
  </si>
  <si>
    <t>Account_06</t>
  </si>
  <si>
    <t>Account_07</t>
  </si>
  <si>
    <t>Account_08</t>
  </si>
  <si>
    <t>Account_09</t>
  </si>
  <si>
    <t>Account_10</t>
  </si>
  <si>
    <t>Account_11</t>
  </si>
  <si>
    <t>Account_12</t>
  </si>
  <si>
    <t>Account_13</t>
  </si>
  <si>
    <t>Account_14</t>
  </si>
  <si>
    <t>Account_15</t>
  </si>
  <si>
    <t>Target — 401K</t>
  </si>
  <si>
    <t>Target — Brokerage_03</t>
  </si>
  <si>
    <t>Target —  Brokerage_01</t>
  </si>
  <si>
    <t>Target —  Brokerage_02</t>
  </si>
  <si>
    <t>Target — IRA</t>
  </si>
  <si>
    <t>Pre-Tax (401K + IRA)</t>
  </si>
  <si>
    <t>Growth Rate</t>
  </si>
  <si>
    <t>Total Investable</t>
  </si>
  <si>
    <t>Monthly SWR</t>
  </si>
  <si>
    <t>SS + Rent (accounting for inflation)</t>
  </si>
  <si>
    <t>Total Monthly (in Today's $)</t>
  </si>
  <si>
    <t>2026 IRMAA BRACKETS — MFJ (2024 MAGI; monthly surcharge per person)</t>
  </si>
  <si>
    <t>2026 OFFICIAL — update annually</t>
  </si>
  <si>
    <t>• get IRMAA Tier (magi, filing status, year)</t>
  </si>
  <si>
    <t>• headroom to next cliff (magi)</t>
  </si>
  <si>
    <t>• max conversion before cliff (magi)</t>
  </si>
  <si>
    <t>• RMD Amount (balance Prior YE, age, table)</t>
  </si>
  <si>
    <t>• years To RMD (dob, rmd Start Age)</t>
  </si>
  <si>
    <t>• pre Tax Balance Projection (contrib, return, years) for RMD pressure</t>
  </si>
  <si>
    <t>Est. Tax @ 12%</t>
  </si>
  <si>
    <t>ILLUSTRATIVE — Tax + IRMAA linked; edit Timeline for live plan</t>
  </si>
  <si>
    <t xml:space="preserve"> </t>
  </si>
  <si>
    <t>LTCG 15% top / 20% starts above (taxable income)</t>
  </si>
  <si>
    <t>LTCG15Top / LTCG20Start</t>
  </si>
  <si>
    <t>ILLUSTRATIVE — edit annual spending and scenario draw cells</t>
  </si>
  <si>
    <t>Comparison Basis</t>
  </si>
  <si>
    <t>Through age 70</t>
  </si>
  <si>
    <t>COMPARISON METRICS</t>
  </si>
  <si>
    <t>Max IRMAA Tier</t>
  </si>
  <si>
    <t>MODEL ASSUMPTIONS</t>
  </si>
  <si>
    <t>Brokerage withdrawal treated as taxable gain</t>
  </si>
  <si>
    <t>Starting pre-tax balance at retirement</t>
  </si>
  <si>
    <t>Annual portfolio return</t>
  </si>
  <si>
    <t>Comparison years</t>
  </si>
  <si>
    <t>Tax basis</t>
  </si>
  <si>
    <t>Model scope</t>
  </si>
  <si>
    <t>Current Tax brackets and current IRMAA tiers</t>
  </si>
  <si>
    <t>A Index</t>
  </si>
  <si>
    <t>A Age</t>
  </si>
  <si>
    <t>A SS</t>
  </si>
  <si>
    <t>A PreTax WD</t>
  </si>
  <si>
    <t>A Brokerage WD</t>
  </si>
  <si>
    <t>A Tax</t>
  </si>
  <si>
    <t>A Tier</t>
  </si>
  <si>
    <t>A Ending PreTax</t>
  </si>
  <si>
    <t>B Index</t>
  </si>
  <si>
    <t>B Age</t>
  </si>
  <si>
    <t>B SS</t>
  </si>
  <si>
    <t>B PreTax WD</t>
  </si>
  <si>
    <t>B Brokerage WD</t>
  </si>
  <si>
    <t>B Tax</t>
  </si>
  <si>
    <t>B Tier</t>
  </si>
  <si>
    <t>B Ending PreTax</t>
  </si>
  <si>
    <t>C Index</t>
  </si>
  <si>
    <t>C Age</t>
  </si>
  <si>
    <t>C SS</t>
  </si>
  <si>
    <t>C PreTax WD</t>
  </si>
  <si>
    <t>C Brokerage WD</t>
  </si>
  <si>
    <t>C Tax</t>
  </si>
  <si>
    <t>C Tier</t>
  </si>
  <si>
    <t>C Ending PreTax</t>
  </si>
  <si>
    <t>Includes RMDs; federal tax only; current tax/IRMAA thresholds; constant-dollar spending</t>
  </si>
  <si>
    <t>RECOMMENDED SCENARIO</t>
  </si>
  <si>
    <t>Recommendation</t>
  </si>
  <si>
    <t>Estimated Federal Tax</t>
  </si>
  <si>
    <t>Why</t>
  </si>
  <si>
    <t>OPTIMIZED NO-DELAY STRATEGY</t>
  </si>
  <si>
    <t>Optimization Objective</t>
  </si>
  <si>
    <t>Strategy Scope</t>
  </si>
  <si>
    <t>3 - Highest ending portfolio</t>
  </si>
  <si>
    <t>A - Withdrawals only</t>
  </si>
  <si>
    <t>Recommended annual mix</t>
  </si>
  <si>
    <t>Ending Investable</t>
  </si>
  <si>
    <t>ID</t>
  </si>
  <si>
    <t>PreTax Share</t>
  </si>
  <si>
    <t>Roth Share</t>
  </si>
  <si>
    <t>Conversion Level</t>
  </si>
  <si>
    <t>Brokerage WD</t>
  </si>
  <si>
    <t>PreTax WD</t>
  </si>
  <si>
    <t>Roth WD</t>
  </si>
  <si>
    <t>Conversion</t>
  </si>
  <si>
    <t>Federal Tax</t>
  </si>
  <si>
    <t>Ending PreTax</t>
  </si>
  <si>
    <t>Feasible</t>
  </si>
  <si>
    <t>Score</t>
  </si>
  <si>
    <t>RMD Handling</t>
  </si>
  <si>
    <t>Mandatory withdrawal overrides planned pre-tax amount</t>
  </si>
  <si>
    <t>From Brokerage (year 1)</t>
  </si>
  <si>
    <t>Planned 401k/IRA (before RMD)</t>
  </si>
  <si>
    <t>From Roth (year 1)</t>
  </si>
  <si>
    <t>Roth Conversion (annual cap)</t>
  </si>
  <si>
    <t>Est. Federal Tax (selected period)</t>
  </si>
  <si>
    <t>Ending Investable (selected period)</t>
  </si>
  <si>
    <t>Ending Pre-Tax (after RMDs)</t>
  </si>
  <si>
    <t>ACCOUNT MAPPING</t>
  </si>
  <si>
    <t>Brokerage_01 / Brokerage_02 / Brokerage_03 / Brokerage_04 → Brokerage | 401K → Traditional 401(k) | Cash → Cash | Other → Other</t>
  </si>
  <si>
    <t>Real_Estate_01 through Real_Estate_04 use 50% ownership; Real_Estate_05 and Real_Estate_06 use 100%. Equity = balance × ownership.</t>
  </si>
  <si>
    <t>IRA and Roth_IRA exist for future balances and Roth conversions; both are currently inactive with $0 balances.</t>
  </si>
  <si>
    <t>Brokerage_03 (FID 529)</t>
  </si>
  <si>
    <t>Brokerage_01 (IND)</t>
  </si>
  <si>
    <t>Brokerage_02 (ROTH)</t>
  </si>
  <si>
    <t>Roth_Contribution</t>
  </si>
  <si>
    <t>Actual annual Roth contributions — edit by year</t>
  </si>
  <si>
    <t>PreTax_Contribution</t>
  </si>
  <si>
    <t>Actual annual 401(k)/traditional contributions — edit by year</t>
  </si>
  <si>
    <t>AUDIT</t>
  </si>
  <si>
    <t>— ROTH CONVERSION DECISION AUDIT —</t>
  </si>
  <si>
    <t>Optimizes estimated ending after-tax wealth; Base remains user-controlled</t>
  </si>
  <si>
    <t>Conversion_Eligible</t>
  </si>
  <si>
    <t>1 after employment ends, or when in-plan Roth is allowed below</t>
  </si>
  <si>
    <t>InPlan_Roth_Allowed</t>
  </si>
  <si>
    <t>Enter 1 by year only if the employer plan permits in-plan Roth conversion</t>
  </si>
  <si>
    <t>PreTax_Available_After_RMD</t>
  </si>
  <si>
    <t>Balance after growth, contribution, and one required distribution</t>
  </si>
  <si>
    <t>Current_Marginal_Rate</t>
  </si>
  <si>
    <t>Marginal federal rate before optional conversion</t>
  </si>
  <si>
    <t>Expected_Future_Rate</t>
  </si>
  <si>
    <t>Estimated marginal rate at first RMD under Base path</t>
  </si>
  <si>
    <t>Candidate_Bracket</t>
  </si>
  <si>
    <t>Candidate_IRMAA_Safe</t>
  </si>
  <si>
    <t>Bracket candidate capped below first IRMAA tier from age 63</t>
  </si>
  <si>
    <t>Candidate_Full</t>
  </si>
  <si>
    <t>All pre-tax funds available after RMD</t>
  </si>
  <si>
    <t>Score_Zero</t>
  </si>
  <si>
    <t>Estimated after-tax benefit of no conversion</t>
  </si>
  <si>
    <t>Score_Bracket</t>
  </si>
  <si>
    <t>Future tax avoided minus current tax and IRMAA cost</t>
  </si>
  <si>
    <t>Score_IRMAA_Safe</t>
  </si>
  <si>
    <t>Score_Full</t>
  </si>
  <si>
    <t>Optimal_Roth_Conversion</t>
  </si>
  <si>
    <t>Highest positive score; otherwise zero</t>
  </si>
  <si>
    <t>Incremental_Conversion_Tax</t>
  </si>
  <si>
    <t>Current-year federal tax caused by selected conversion</t>
  </si>
  <si>
    <t>Incremental_IRMAA_Cost</t>
  </si>
  <si>
    <t>Estimated annual couple surcharge caused two years later</t>
  </si>
  <si>
    <t>Selected_AfterTax_Benefit</t>
  </si>
  <si>
    <t>Estimated future tax avoided minus conversion tax and IRMAA</t>
  </si>
  <si>
    <t>Base_RMD</t>
  </si>
  <si>
    <t>Independent RMD for Base comparison path</t>
  </si>
  <si>
    <t>Aggressive_RMD</t>
  </si>
  <si>
    <t>Independent RMD for Aggressive comparison path</t>
  </si>
  <si>
    <t>Active_IRMAA_Cost</t>
  </si>
  <si>
    <t>Annual couple surcharge using MAGI from two years earlier</t>
  </si>
  <si>
    <t>Expected future marginal rate</t>
  </si>
  <si>
    <t>Conversion objective</t>
  </si>
  <si>
    <t>Max ending after-tax wealth</t>
  </si>
  <si>
    <t>IRMAA lookback starts age</t>
  </si>
  <si>
    <t>HELPER</t>
  </si>
  <si>
    <t>Tax_Zero</t>
  </si>
  <si>
    <t>Federal tax with no optional conversion</t>
  </si>
  <si>
    <t>Tax_Bracket</t>
  </si>
  <si>
    <t>Federal tax with bracket candidate</t>
  </si>
  <si>
    <t>Tax_IRMAA_Safe</t>
  </si>
  <si>
    <t>Federal tax with IRMAA-safe candidate</t>
  </si>
  <si>
    <t>Tax_Full</t>
  </si>
  <si>
    <t>Federal tax with full-balance candidate</t>
  </si>
  <si>
    <t>IRMAA_Bracket</t>
  </si>
  <si>
    <t>Incremental annual couple surcharge</t>
  </si>
  <si>
    <t>IRMAA_IRMAA_Safe</t>
  </si>
  <si>
    <t>IRMAA_Full</t>
  </si>
  <si>
    <t>Selected only when estimated after-tax benefit is positive</t>
  </si>
  <si>
    <t>Eligible fill to 24% target; comparison path, not optimized</t>
  </si>
  <si>
    <t>Grows; + actual contribution − conversion − one RMD</t>
  </si>
  <si>
    <t>Cash in − federal tax − unforeseen − IRMAA</t>
  </si>
  <si>
    <t>Base path: growth + contribution − conversion − Base RMD</t>
  </si>
  <si>
    <t>Eligible fill to 24% target; ignores optimization score</t>
  </si>
  <si>
    <t>Agg path: growth + contribution − conversion − Agg RMD</t>
  </si>
  <si>
    <t>Lifetime_IRMAA_Active</t>
  </si>
  <si>
    <t>Ending_AfterTax_Active</t>
  </si>
  <si>
    <t>Brokerage + Roth + pre-tax net of expected future tax</t>
  </si>
  <si>
    <t>Ending_AfterTax_Base</t>
  </si>
  <si>
    <t>Base comparison after deferred-tax estimate</t>
  </si>
  <si>
    <t>Ending_AfterTax_Aggressive</t>
  </si>
  <si>
    <t>Aggressive comparison after deferred-tax estimate</t>
  </si>
  <si>
    <t>Suggested_Estimated_Tax_Benefit</t>
  </si>
  <si>
    <t>Sum of positive yearly optimizer scores</t>
  </si>
  <si>
    <t>Eligible conversion through the bracket matching expected future rate</t>
  </si>
  <si>
    <t>Retirement Timeline — Tax, Cash Flow, Portfolio &amp; Roth Strategy</t>
  </si>
  <si>
    <t>Yellow = editable inputs | Green = calculations | Blue = tax and cash flow | Gray = portfolio | Use the section bands to navigate the plan.</t>
  </si>
  <si>
    <t>PLAN SUMMARY &amp; SCENARIO CONTROLS</t>
  </si>
  <si>
    <t>SCENARIO COMPARISON SUMMARY</t>
  </si>
  <si>
    <t>Estimated IRMAA cost under the selected active mode</t>
  </si>
  <si>
    <t>Planning Insights — Current Retirement Strategy</t>
  </si>
  <si>
    <t>Live summary of the active Timeline mode, Roth conversion optimizer, cash-flow warnings, and scenario controls.</t>
  </si>
  <si>
    <t>ACTIVE PLAN SNAPSHOT</t>
  </si>
  <si>
    <t>Current mode</t>
  </si>
  <si>
    <t>Ending after-tax portfolio</t>
  </si>
  <si>
    <t>Ending pre-tax balance</t>
  </si>
  <si>
    <t>Ending Roth balance</t>
  </si>
  <si>
    <t>Years with modeled IRMAA</t>
  </si>
  <si>
    <t>Years with unused conversion opportunity</t>
  </si>
  <si>
    <t>CURRENT OPTIMIZER RECOMMENDATION</t>
  </si>
  <si>
    <t>Suggested lifetime conversions</t>
  </si>
  <si>
    <t>Estimated after-tax benefit</t>
  </si>
  <si>
    <t>Recommendation status</t>
  </si>
  <si>
    <t>Suggested schedule</t>
  </si>
  <si>
    <t>The optimizer defaults to $0. It tests eligible bracket-fill, IRMAA-safe, and full-balance candidates, then selects a conversion only when estimated future tax avoided exceeds current federal tax and modeled IRMAA cost. RMDs are taken first and are not converted.</t>
  </si>
  <si>
    <t>HOW THE TOOL DECIDES</t>
  </si>
  <si>
    <t>1. Eligibility — conversions are suppressed while W-2 income remains unless the in-plan Roth override is enabled.</t>
  </si>
  <si>
    <t>2. Available funds — conversion candidates cannot exceed the pre-tax balance remaining after the year's required distribution.</t>
  </si>
  <si>
    <t>3. Cost comparison — current federal tax and the two-year IRMAA effect are compared with the estimated future marginal tax avoided.</t>
  </si>
  <si>
    <t>4. Selection — Suggested chooses only the highest positive-benefit candidate; Base remains user-entered; Aggressive is a comparison path.</t>
  </si>
  <si>
    <t>5. Objective — maximize estimated ending after-tax wealth, not conversion volume or automatic bracket filling.</t>
  </si>
  <si>
    <t>PLANNER FLAGS</t>
  </si>
  <si>
    <t>Code</t>
  </si>
  <si>
    <t>Actual trigger</t>
  </si>
  <si>
    <t>Meaning / response</t>
  </si>
  <si>
    <t>UND</t>
  </si>
  <si>
    <t>Suggested conversion &gt; $10K and active conversion is at least $1K lower</t>
  </si>
  <si>
    <t>Unused modeled opportunity; review Suggested rather than automatically increasing conversion</t>
  </si>
  <si>
    <t>OVR</t>
  </si>
  <si>
    <t>Active conversion exceeds Suggested by more than $10K</t>
  </si>
  <si>
    <t>Conversion may create unnecessary current tax or IRMAA cost</t>
  </si>
  <si>
    <t>IRM</t>
  </si>
  <si>
    <t>MAGI proxy exceeds the first IRMAA threshold</t>
  </si>
  <si>
    <t>Income is above the modeled tier-0 cliff; actual surcharge uses the two-year lookback</t>
  </si>
  <si>
    <t>Total long-term capital gains exceed $500K</t>
  </si>
  <si>
    <t>Large gain year; conversion candidates may be unattractive</t>
  </si>
  <si>
    <t>EXP</t>
  </si>
  <si>
    <t>Unforeseen expense is greater than zero</t>
  </si>
  <si>
    <t>Additional cash need exists for that year</t>
  </si>
  <si>
    <t>RMD</t>
  </si>
  <si>
    <t>RMD age reached and required distribution is positive</t>
  </si>
  <si>
    <t>Required distribution is included in income and cannot be converted</t>
  </si>
  <si>
    <t>SHORT</t>
  </si>
  <si>
    <t>Cash after federal tax, unforeseen expense, and IRMAA is below annual spending need</t>
  </si>
  <si>
    <t>Funding gap remains; identify a spending source separately from Roth conversion</t>
  </si>
  <si>
    <t>KEY CONTROLS</t>
  </si>
  <si>
    <t>Control</t>
  </si>
  <si>
    <t>Location</t>
  </si>
  <si>
    <t>Purpose</t>
  </si>
  <si>
    <t>Conversion mode</t>
  </si>
  <si>
    <t>Timeline!BB22</t>
  </si>
  <si>
    <t>Base, Suggested, or Aggressive</t>
  </si>
  <si>
    <t>Base Roth conversions</t>
  </si>
  <si>
    <t>Timeline!D5:AY5</t>
  </si>
  <si>
    <t>Editable yearly plan used in Base mode</t>
  </si>
  <si>
    <t>Roth contributions</t>
  </si>
  <si>
    <t>Timeline!D14:AY14</t>
  </si>
  <si>
    <t>Actual annual Roth contributions</t>
  </si>
  <si>
    <t>Pre-tax contributions</t>
  </si>
  <si>
    <t>Timeline!D48:AY48</t>
  </si>
  <si>
    <t>Actual annual 401(k)/traditional contributions</t>
  </si>
  <si>
    <t>Annual spending need</t>
  </si>
  <si>
    <t>Timeline!BB20</t>
  </si>
  <si>
    <t>Cash-flow target used by SHORT</t>
  </si>
  <si>
    <t>Tax, IRMAA, return, and RMD assumptions</t>
  </si>
  <si>
    <t>Timeline!BA4:BD39</t>
  </si>
  <si>
    <t>Core planning thresholds and rates</t>
  </si>
  <si>
    <t>Conversion Strategy Comparison</t>
  </si>
  <si>
    <t>Live Base-versus-Aggressive results plus the current Suggested recommendation. Values update from Timeline.</t>
  </si>
  <si>
    <t>CURRENT MODE &amp; SUGGESTED RECOMMENDATION</t>
  </si>
  <si>
    <t>Active Timeline mode</t>
  </si>
  <si>
    <t>Base planned conversions</t>
  </si>
  <si>
    <t>Suggested conversions</t>
  </si>
  <si>
    <t>Suggested estimated tax benefit</t>
  </si>
  <si>
    <t>BASE VS AGGRESSIVE — MODEL OUTPUT</t>
  </si>
  <si>
    <t>Aggressive − Base</t>
  </si>
  <si>
    <t>Ending investable accounts</t>
  </si>
  <si>
    <t>Estimated ending after-tax accounts</t>
  </si>
  <si>
    <t>Lifetime federal-tax difference</t>
  </si>
  <si>
    <t>HOW TO INTERPRET THE RESULTS</t>
  </si>
  <si>
    <t>Important limitation: ending account balances are not a complete household-wealth comparison. Base-path RMD cash leaves the tracked investment accounts, while taxes and spending may be funded outside those accounts. Therefore, Aggressive's higher ending account balance should not be treated as guaranteed economic gain.</t>
  </si>
  <si>
    <t>Suggested is the decision-oriented path: it defaults to zero and selects a conversion only when estimated future tax avoided exceeds current federal tax and modeled IRMAA cost. Aggressive is a stress-test comparison that fills toward the 24% target and ignores the optimization score.</t>
  </si>
  <si>
    <t>NONZERO CONVERSION YEARS</t>
  </si>
  <si>
    <t>Use Suggested for planning decisions. Use Aggressive only to understand the effect of rapidly moving pre-tax funds into Roth under the workbook's simplified assumptions.</t>
  </si>
  <si>
    <t>Change the active scenario in Timeline!BB22. Base uses editable Timeline!D5:AY5; Suggested applies Timeline!D29:AY29; Aggressive activates its bracket-fill path. The table above uses the independent Aggressive scenario in Timeline!D63:AY63 so it matches the outcome comparison.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</si>
</sst>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quot;$&quot;#,##0"/>
    <numFmt numFmtId="165" formatCode="mm/dd/yyyy"/>
    <numFmt numFmtId="166" formatCode="0.0%"/>
    <numFmt numFmtId="167" formatCode="mmm\-yyyy"/>
    <numFmt numFmtId="168" formatCode="&quot;$&quot;#,##0;\(#,##0\)"/>
    <numFmt numFmtId="169" formatCode="&quot;$&quot;#,##0;\(&quot;$&quot;#,##0\)"/>
    <numFmt numFmtId="170" formatCode="0.0"/>
    <numFmt numFmtId="171" formatCode="&quot;$&quot;#,##0.00"/>
  </numFmts>
  <fonts count="33" x14ac:knownFonts="1">
    <font>
      <sz val="11"/>
      <color theme="1"/>
      <name val="Aptos Narrow"/>
      <family val="2"/>
      <scheme val="minor"/>
    </font>
    <font>
      <b/>
      <sz val="11"/>
      <color theme="1"/>
      <name val="Aptos Narrow"/>
      <family val="2"/>
      <scheme val="minor"/>
    </font>
    <font>
      <sz val="8"/>
      <color theme="1"/>
      <name val="Aptos Narrow"/>
      <family val="2"/>
      <scheme val="minor"/>
    </font>
    <font>
      <sz val="9"/>
      <color theme="1"/>
      <name val="Aptos Narrow"/>
      <family val="2"/>
      <scheme val="minor"/>
    </font>
    <font>
      <sz val="10"/>
      <color theme="1"/>
      <name val="Aptos Narrow"/>
      <family val="2"/>
      <scheme val="minor"/>
    </font>
    <font>
      <b/>
      <sz val="14"/>
      <color theme="1"/>
      <name val="Aptos Narrow"/>
      <family val="2"/>
      <scheme val="minor"/>
    </font>
    <font>
      <b/>
      <sz val="11"/>
      <color rgb="FFFFFFFF"/>
      <name val="Aptos Narrow"/>
      <family val="2"/>
      <scheme val="minor"/>
    </font>
    <font>
      <sz val="11"/>
      <color rgb="FF0000FF"/>
      <name val="Aptos Narrow"/>
      <family val="2"/>
      <scheme val="minor"/>
    </font>
    <font>
      <i/>
      <sz val="9"/>
      <color rgb="FF666666"/>
      <name val="Aptos Narrow"/>
      <family val="2"/>
      <scheme val="minor"/>
    </font>
    <font>
      <sz val="11"/>
      <color rgb="FF006600"/>
      <name val="Aptos Narrow"/>
      <family val="2"/>
      <scheme val="minor"/>
    </font>
    <font>
      <b/>
      <sz val="11"/>
      <color rgb="FF006600"/>
      <name val="Aptos Narrow"/>
      <family val="2"/>
      <scheme val="minor"/>
    </font>
    <font>
      <i/>
      <sz val="11"/>
      <color theme="1"/>
      <name val="Aptos Narrow"/>
      <family val="2"/>
      <scheme val="minor"/>
    </font>
    <font>
      <b/>
      <sz val="11"/>
      <color rgb="FFC65911"/>
      <name val="Aptos Narrow"/>
      <family val="2"/>
      <scheme val="minor"/>
    </font>
    <font>
      <i/>
      <sz val="11"/>
      <color rgb="FF666666"/>
      <name val="Aptos Narrow"/>
      <family val="2"/>
      <scheme val="minor"/>
    </font>
    <font>
      <b/>
      <sz val="8"/>
      <color theme="1"/>
      <name val="Aptos Narrow"/>
      <family val="2"/>
      <scheme val="minor"/>
    </font>
    <font>
      <b/>
      <sz val="11"/>
      <color rgb="FFFF0000"/>
      <name val="Aptos Narrow"/>
      <family val="2"/>
      <scheme val="minor"/>
    </font>
    <font>
      <b/>
      <sz val="11"/>
      <color rgb="FF0000FF"/>
      <name val="Aptos Narrow"/>
      <family val="2"/>
      <scheme val="minor"/>
    </font>
    <font>
      <b/>
      <i/>
      <sz val="9"/>
      <color theme="1"/>
      <name val="Aptos Narrow"/>
      <family val="2"/>
      <scheme val="minor"/>
    </font>
    <font>
      <b/>
      <sz val="8"/>
      <color rgb="FFFFFFFF"/>
      <name val="Aptos Narrow"/>
      <family val="2"/>
      <scheme val="minor"/>
    </font>
    <font>
      <b/>
      <sz val="10"/>
      <color rgb="FFFFFFFF"/>
      <name val="Aptos Narrow"/>
      <family val="2"/>
      <scheme val="minor"/>
    </font>
    <font>
      <sz val="8"/>
      <name val="Aptos Narrow"/>
      <family val="2"/>
      <scheme val="minor"/>
    </font>
    <font>
      <b/>
      <sz val="11"/>
      <color rgb="FF7F6000"/>
      <name val="Aptos Narrow"/>
      <family val="2"/>
      <scheme val="minor"/>
    </font>
    <font>
      <sz val="11"/>
      <color rgb="FF000000"/>
      <name val="Aptos Narrow"/>
      <family val="2"/>
      <scheme val="minor"/>
    </font>
    <font>
      <b/>
      <sz val="11"/>
      <color rgb="FF3F3F3F"/>
      <name val="Aptos Narrow"/>
      <family val="2"/>
      <scheme val="minor"/>
    </font>
    <font>
      <b/>
      <sz val="18"/>
      <color rgb="FFFFFFFF"/>
      <name val="Aptos Narrow"/>
      <family val="2"/>
      <scheme val="minor"/>
    </font>
    <font>
      <i/>
      <sz val="10"/>
      <color rgb="FF404040"/>
      <name val="Aptos Narrow"/>
      <family val="2"/>
      <scheme val="minor"/>
    </font>
    <font>
      <b/>
      <sz val="12"/>
      <color rgb="FFFFFFFF"/>
      <name val="Aptos Narrow"/>
      <family val="2"/>
      <scheme val="minor"/>
    </font>
    <font>
      <b/>
      <sz val="10"/>
      <color theme="1"/>
      <name val="Aptos Narrow"/>
      <family val="2"/>
      <scheme val="minor"/>
    </font>
    <font>
      <sz val="11"/>
      <color rgb="FF3F3F3F"/>
      <name val="Aptos Narrow"/>
      <family val="2"/>
      <scheme val="minor"/>
    </font>
    <font>
      <b/>
      <sz val="11"/>
      <color rgb="FF1F1F1F"/>
      <name val="Aptos Narrow"/>
      <family val="2"/>
      <scheme val="minor"/>
    </font>
    <font>
      <i/>
      <sz val="11"/>
      <color rgb="FF555555"/>
      <name val="Aptos Narrow"/>
      <family val="2"/>
      <scheme val="minor"/>
    </font>
    <font>
      <i/>
      <sz val="11"/>
      <color rgb="FF1F1F1F"/>
      <name val="Aptos Narrow"/>
      <family val="2"/>
      <scheme val="minor"/>
    </font>
    <font>
      <sz val="11"/>
      <color rgb="FF1F1F1F"/>
      <name val="Aptos Narrow"/>
      <family val="2"/>
      <scheme val="minor"/>
    </font>
  </fonts>
  <fills count="28">
    <fill>
      <patternFill patternType="none"/>
    </fill>
    <fill>
      <patternFill patternType="gray125"/>
    </fill>
    <fill>
      <patternFill patternType="solid">
        <fgColor rgb="FF2F5496"/>
        <bgColor indexed="64"/>
      </patternFill>
    </fill>
    <fill>
      <patternFill patternType="solid">
        <fgColor rgb="FFE6F0FA"/>
        <bgColor indexed="64"/>
      </patternFill>
    </fill>
    <fill>
      <patternFill patternType="solid">
        <fgColor rgb="FFFFFF00"/>
        <bgColor indexed="64"/>
      </patternFill>
    </fill>
    <fill>
      <patternFill patternType="solid">
        <fgColor rgb="FFDAF2D0"/>
        <bgColor indexed="64"/>
      </patternFill>
    </fill>
    <fill>
      <patternFill patternType="solid">
        <fgColor rgb="FFFBE2D5"/>
        <bgColor indexed="64"/>
      </patternFill>
    </fill>
    <fill>
      <patternFill patternType="solid">
        <fgColor rgb="FFDAE9F8"/>
        <bgColor indexed="64"/>
      </patternFill>
    </fill>
    <fill>
      <patternFill patternType="solid">
        <fgColor rgb="FFFFF2CC"/>
        <bgColor indexed="64"/>
      </patternFill>
    </fill>
    <fill>
      <patternFill patternType="solid">
        <fgColor rgb="FFDDEBF7"/>
        <bgColor indexed="64"/>
      </patternFill>
    </fill>
    <fill>
      <patternFill patternType="solid">
        <fgColor rgb="FFE2EFDA"/>
        <bgColor indexed="64"/>
      </patternFill>
    </fill>
    <fill>
      <patternFill patternType="solid">
        <fgColor rgb="FFC6E0B4"/>
        <bgColor indexed="64"/>
      </patternFill>
    </fill>
    <fill>
      <patternFill patternType="solid">
        <fgColor rgb="FFFCE4D6"/>
        <bgColor indexed="64"/>
      </patternFill>
    </fill>
    <fill>
      <patternFill patternType="solid">
        <fgColor rgb="FFC65911"/>
        <bgColor indexed="64"/>
      </patternFill>
    </fill>
    <fill>
      <patternFill patternType="solid">
        <fgColor rgb="FFD6DCE4"/>
        <bgColor indexed="64"/>
      </patternFill>
    </fill>
    <fill>
      <patternFill patternType="solid">
        <fgColor rgb="FFADB9CA"/>
        <bgColor indexed="64"/>
      </patternFill>
    </fill>
    <fill>
      <patternFill patternType="solid">
        <fgColor rgb="FFF8CBAD"/>
        <bgColor indexed="64"/>
      </patternFill>
    </fill>
    <fill>
      <patternFill patternType="solid">
        <fgColor rgb="FF4472C4"/>
        <bgColor indexed="64"/>
      </patternFill>
    </fill>
    <fill>
      <patternFill patternType="solid">
        <fgColor rgb="FF1F4E78"/>
        <bgColor indexed="64"/>
      </patternFill>
    </fill>
    <fill>
      <patternFill patternType="solid">
        <fgColor rgb="FFE2F0D9"/>
        <bgColor indexed="64"/>
      </patternFill>
    </fill>
    <fill>
      <patternFill patternType="solid">
        <fgColor rgb="FFD9EAF7"/>
        <bgColor indexed="64"/>
      </patternFill>
    </fill>
    <fill>
      <patternFill patternType="solid">
        <fgColor rgb="FF17365D"/>
        <bgColor indexed="64"/>
      </patternFill>
    </fill>
    <fill>
      <patternFill patternType="solid">
        <fgColor rgb="FF2F5597"/>
        <bgColor indexed="64"/>
      </patternFill>
    </fill>
    <fill>
      <patternFill patternType="solid">
        <fgColor rgb="FF9E480E"/>
        <bgColor indexed="64"/>
      </patternFill>
    </fill>
    <fill>
      <patternFill patternType="solid">
        <fgColor rgb="FF385D8A"/>
        <bgColor indexed="64"/>
      </patternFill>
    </fill>
    <fill>
      <patternFill patternType="solid">
        <fgColor rgb="FFEAF2F8"/>
        <bgColor indexed="64"/>
      </patternFill>
    </fill>
    <fill>
      <patternFill patternType="solid">
        <fgColor rgb="FFF7F9FB"/>
        <bgColor indexed="64"/>
      </patternFill>
    </fill>
    <fill>
      <patternFill patternType="solid">
        <fgColor rgb="FFF2F2F2"/>
        <bgColor indexed="64"/>
      </patternFill>
    </fill>
  </fills>
  <borders count="13">
    <border>
      <left/>
      <right/>
      <top/>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right/>
      <top/>
      <bottom style="thin">
        <color rgb="FFD9E2F3"/>
      </bottom>
      <diagonal/>
    </border>
    <border>
      <left/>
      <right/>
      <top style="thick">
        <color rgb="FF7F8C8D"/>
      </top>
      <bottom/>
      <diagonal/>
    </border>
    <border>
      <left/>
      <right/>
      <top/>
      <bottom style="medium">
        <color rgb="FFB4C6E7"/>
      </bottom>
      <diagonal/>
    </border>
    <border>
      <left/>
      <right/>
      <top style="medium">
        <color rgb="FFB4C6E7"/>
      </top>
      <bottom style="medium">
        <color rgb="FFB4C6E7"/>
      </bottom>
      <diagonal/>
    </border>
    <border>
      <left/>
      <right/>
      <top style="medium">
        <color rgb="FFB4C6E7"/>
      </top>
      <bottom/>
      <diagonal/>
    </border>
    <border>
      <left/>
      <right/>
      <top style="thick">
        <color rgb="FF4472C4"/>
      </top>
      <bottom style="medium">
        <color rgb="FFB4C6E7"/>
      </bottom>
      <diagonal/>
    </border>
  </borders>
  <cellStyleXfs count="1">
    <xf numFmtId="0" fontId="0" fillId="0" borderId="0"/>
  </cellStyleXfs>
  <cellXfs count="288">
    <xf numFmtId="0" fontId="0" fillId="0" borderId="0" xfId="0"/>
    <xf numFmtId="0" fontId="0" fillId="0" borderId="0" xfId="0" applyAlignment="1">
      <alignment horizontal="center" vertical="center"/>
    </xf>
    <xf numFmtId="10" fontId="0" fillId="0" borderId="0" xfId="0" applyNumberFormat="1"/>
    <xf numFmtId="164" fontId="0" fillId="0" borderId="0" xfId="0" applyNumberFormat="1"/>
    <xf numFmtId="0" fontId="2" fillId="0" borderId="0" xfId="0" applyFont="1" applyAlignment="1">
      <alignment horizontal="center" vertical="center"/>
    </xf>
    <xf numFmtId="165" fontId="7" fillId="3" borderId="0" xfId="0" applyNumberFormat="1" applyFont="1" applyFill="1"/>
    <xf numFmtId="1" fontId="0" fillId="0" borderId="0" xfId="0" applyNumberFormat="1"/>
    <xf numFmtId="0" fontId="7" fillId="3" borderId="0" xfId="0" applyFont="1" applyFill="1"/>
    <xf numFmtId="10" fontId="7" fillId="3" borderId="0" xfId="0" applyNumberFormat="1" applyFont="1" applyFill="1"/>
    <xf numFmtId="164" fontId="7" fillId="3" borderId="0" xfId="0" applyNumberFormat="1" applyFont="1" applyFill="1"/>
    <xf numFmtId="164" fontId="1" fillId="0" borderId="0" xfId="0" applyNumberFormat="1" applyFont="1"/>
    <xf numFmtId="9" fontId="0" fillId="0" borderId="0" xfId="0" applyNumberFormat="1"/>
    <xf numFmtId="9" fontId="7" fillId="3" borderId="0" xfId="0" applyNumberFormat="1" applyFont="1" applyFill="1"/>
    <xf numFmtId="0" fontId="9" fillId="0" borderId="0" xfId="0" applyFont="1"/>
    <xf numFmtId="9" fontId="9" fillId="0" borderId="0" xfId="0" applyNumberFormat="1" applyFont="1"/>
    <xf numFmtId="0" fontId="1" fillId="0" borderId="0" xfId="0" applyFont="1"/>
    <xf numFmtId="17" fontId="0" fillId="0" borderId="0" xfId="0" applyNumberFormat="1"/>
    <xf numFmtId="166" fontId="0" fillId="0" borderId="0" xfId="0" applyNumberFormat="1"/>
    <xf numFmtId="167" fontId="9" fillId="0" borderId="0" xfId="0" applyNumberFormat="1" applyFont="1"/>
    <xf numFmtId="1" fontId="9" fillId="0" borderId="0" xfId="0" applyNumberFormat="1" applyFont="1"/>
    <xf numFmtId="164" fontId="9" fillId="0" borderId="0" xfId="0" applyNumberFormat="1" applyFont="1"/>
    <xf numFmtId="164" fontId="10" fillId="0" borderId="0" xfId="0" applyNumberFormat="1" applyFont="1"/>
    <xf numFmtId="166" fontId="1" fillId="0" borderId="0" xfId="0" applyNumberFormat="1" applyFont="1"/>
    <xf numFmtId="168" fontId="9" fillId="0" borderId="0" xfId="0" applyNumberFormat="1" applyFont="1"/>
    <xf numFmtId="166" fontId="9" fillId="0" borderId="0" xfId="0" applyNumberFormat="1" applyFont="1"/>
    <xf numFmtId="0" fontId="11" fillId="0" borderId="0" xfId="0" applyFont="1"/>
    <xf numFmtId="169" fontId="0" fillId="0" borderId="0" xfId="0" applyNumberFormat="1"/>
    <xf numFmtId="169" fontId="1" fillId="0" borderId="0" xfId="0" applyNumberFormat="1" applyFont="1"/>
    <xf numFmtId="10" fontId="9" fillId="0" borderId="0" xfId="0" applyNumberFormat="1" applyFont="1"/>
    <xf numFmtId="0" fontId="12" fillId="0" borderId="0" xfId="0" applyFont="1"/>
    <xf numFmtId="165" fontId="9" fillId="0" borderId="0" xfId="0" applyNumberFormat="1" applyFont="1"/>
    <xf numFmtId="170" fontId="7" fillId="3" borderId="0" xfId="0" applyNumberFormat="1" applyFont="1" applyFill="1"/>
    <xf numFmtId="0" fontId="13" fillId="0" borderId="0" xfId="0" applyFont="1"/>
    <xf numFmtId="0" fontId="6" fillId="2" borderId="0" xfId="0" applyFont="1" applyFill="1" applyAlignment="1">
      <alignment horizontal="center" wrapText="1"/>
    </xf>
    <xf numFmtId="0" fontId="2" fillId="0" borderId="0" xfId="0" applyFont="1"/>
    <xf numFmtId="0" fontId="4" fillId="0" borderId="0" xfId="0" applyFont="1" applyAlignment="1">
      <alignment horizontal="center" vertical="center"/>
    </xf>
    <xf numFmtId="0" fontId="0" fillId="7" borderId="0" xfId="0" applyFill="1"/>
    <xf numFmtId="0" fontId="0" fillId="10" borderId="0" xfId="0" applyFill="1"/>
    <xf numFmtId="164" fontId="0" fillId="10" borderId="0" xfId="0" applyNumberFormat="1" applyFill="1"/>
    <xf numFmtId="0" fontId="6" fillId="13" borderId="0" xfId="0" applyFont="1" applyFill="1"/>
    <xf numFmtId="1" fontId="7" fillId="3" borderId="0" xfId="0" applyNumberFormat="1" applyFont="1" applyFill="1"/>
    <xf numFmtId="0" fontId="10" fillId="0" borderId="0" xfId="0" applyFont="1"/>
    <xf numFmtId="0" fontId="0" fillId="3" borderId="0" xfId="0" applyFill="1"/>
    <xf numFmtId="164" fontId="0" fillId="3" borderId="0" xfId="0" applyNumberFormat="1" applyFill="1"/>
    <xf numFmtId="164" fontId="1" fillId="7" borderId="0" xfId="0" applyNumberFormat="1" applyFont="1" applyFill="1"/>
    <xf numFmtId="0" fontId="8" fillId="3" borderId="0" xfId="0" applyFont="1" applyFill="1"/>
    <xf numFmtId="0" fontId="8" fillId="10" borderId="0" xfId="0" applyFont="1" applyFill="1"/>
    <xf numFmtId="0" fontId="8" fillId="0" borderId="0" xfId="0" applyFont="1"/>
    <xf numFmtId="0" fontId="6" fillId="2" borderId="0" xfId="0" applyFont="1" applyFill="1" applyAlignment="1">
      <alignment horizontal="center"/>
    </xf>
    <xf numFmtId="0" fontId="6" fillId="2" borderId="0" xfId="0" applyFont="1" applyFill="1"/>
    <xf numFmtId="0" fontId="0" fillId="0" borderId="0" xfId="0" applyAlignment="1">
      <alignment wrapText="1"/>
    </xf>
    <xf numFmtId="170" fontId="0" fillId="0" borderId="0" xfId="0" applyNumberFormat="1"/>
    <xf numFmtId="0" fontId="6" fillId="17" borderId="0" xfId="0" applyFont="1" applyFill="1" applyAlignment="1">
      <alignment horizontal="center"/>
    </xf>
    <xf numFmtId="1" fontId="7" fillId="3" borderId="1" xfId="0" applyNumberFormat="1" applyFont="1" applyFill="1" applyBorder="1" applyAlignment="1">
      <alignment horizontal="center"/>
    </xf>
    <xf numFmtId="1" fontId="7" fillId="3" borderId="2" xfId="0" applyNumberFormat="1" applyFont="1" applyFill="1" applyBorder="1" applyAlignment="1">
      <alignment horizontal="center"/>
    </xf>
    <xf numFmtId="1" fontId="7" fillId="3" borderId="3" xfId="0" applyNumberFormat="1" applyFont="1" applyFill="1" applyBorder="1" applyAlignment="1">
      <alignment horizontal="center"/>
    </xf>
    <xf numFmtId="170" fontId="7" fillId="3" borderId="4" xfId="0" applyNumberFormat="1" applyFont="1" applyFill="1" applyBorder="1" applyAlignment="1">
      <alignment horizontal="right"/>
    </xf>
    <xf numFmtId="170" fontId="7" fillId="3" borderId="5" xfId="0" applyNumberFormat="1" applyFont="1" applyFill="1" applyBorder="1" applyAlignment="1">
      <alignment horizontal="right"/>
    </xf>
    <xf numFmtId="170" fontId="7" fillId="3" borderId="6" xfId="0" applyNumberFormat="1" applyFont="1" applyFill="1" applyBorder="1" applyAlignment="1">
      <alignment horizontal="right"/>
    </xf>
    <xf numFmtId="0" fontId="6" fillId="18" borderId="0" xfId="0" applyFont="1" applyFill="1" applyAlignment="1">
      <alignment horizontal="center"/>
    </xf>
    <xf numFmtId="0" fontId="7" fillId="3" borderId="0" xfId="0" applyFont="1" applyFill="1" applyAlignment="1">
      <alignment horizontal="center"/>
    </xf>
    <xf numFmtId="164" fontId="7" fillId="3" borderId="0" xfId="0" applyNumberFormat="1" applyFont="1" applyFill="1" applyAlignment="1">
      <alignment horizontal="right"/>
    </xf>
    <xf numFmtId="171" fontId="7" fillId="3" borderId="0" xfId="0" applyNumberFormat="1" applyFont="1" applyFill="1" applyAlignment="1">
      <alignment horizontal="right"/>
    </xf>
    <xf numFmtId="0" fontId="7" fillId="3" borderId="7" xfId="0" applyFont="1" applyFill="1" applyBorder="1" applyAlignment="1">
      <alignment horizontal="center"/>
    </xf>
    <xf numFmtId="164" fontId="7" fillId="3" borderId="7" xfId="0" applyNumberFormat="1" applyFont="1" applyFill="1" applyBorder="1" applyAlignment="1">
      <alignment horizontal="right"/>
    </xf>
    <xf numFmtId="171" fontId="7" fillId="3" borderId="7" xfId="0" applyNumberFormat="1" applyFont="1" applyFill="1" applyBorder="1" applyAlignment="1">
      <alignment horizontal="right"/>
    </xf>
    <xf numFmtId="164" fontId="7" fillId="8" borderId="0" xfId="0" applyNumberFormat="1" applyFont="1" applyFill="1"/>
    <xf numFmtId="164" fontId="7" fillId="19" borderId="0" xfId="0" applyNumberFormat="1" applyFont="1" applyFill="1"/>
    <xf numFmtId="164" fontId="0" fillId="19" borderId="0" xfId="0" applyNumberFormat="1" applyFill="1"/>
    <xf numFmtId="164" fontId="7" fillId="20" borderId="0" xfId="0" applyNumberFormat="1" applyFont="1" applyFill="1"/>
    <xf numFmtId="0" fontId="21" fillId="0" borderId="0" xfId="0" applyFont="1"/>
    <xf numFmtId="0" fontId="6" fillId="2" borderId="0" xfId="0" applyFont="1" applyFill="1" applyAlignment="1">
      <alignment wrapText="1"/>
    </xf>
    <xf numFmtId="166" fontId="12" fillId="0" borderId="0" xfId="0" applyNumberFormat="1" applyFont="1"/>
    <xf numFmtId="164" fontId="9" fillId="0" borderId="0" xfId="0" applyNumberFormat="1" applyFont="1" applyAlignment="1">
      <alignment wrapText="1"/>
    </xf>
    <xf numFmtId="0" fontId="1" fillId="0" borderId="0" xfId="0" applyFont="1" applyAlignment="1">
      <alignment wrapText="1"/>
    </xf>
    <xf numFmtId="0" fontId="22" fillId="0" borderId="0" xfId="0" applyFont="1" applyAlignment="1">
      <alignment wrapText="1"/>
    </xf>
    <xf numFmtId="0" fontId="2" fillId="0" borderId="0" xfId="0" applyFont="1" applyAlignment="1">
      <alignment horizontal="center" vertical="center" wrapText="1"/>
    </xf>
    <xf numFmtId="0" fontId="1" fillId="0" borderId="0" xfId="0" applyFont="1" applyAlignment="1">
      <alignment horizontal="center" vertical="center"/>
    </xf>
    <xf numFmtId="0" fontId="6" fillId="2" borderId="0" xfId="0" applyFont="1" applyFill="1" applyAlignment="1">
      <alignment horizontal="center" vertical="center"/>
    </xf>
    <xf numFmtId="0" fontId="6" fillId="2" borderId="0" xfId="0" applyFont="1" applyFill="1" applyAlignment="1">
      <alignment horizontal="center" vertical="center" wrapText="1"/>
    </xf>
    <xf numFmtId="1" fontId="6" fillId="2" borderId="0" xfId="0" applyNumberFormat="1" applyFont="1" applyFill="1" applyAlignment="1">
      <alignment horizontal="center" vertical="center"/>
    </xf>
    <xf numFmtId="0" fontId="1" fillId="0" borderId="0" xfId="0" applyFont="1" applyAlignment="1">
      <alignment horizontal="center" vertical="center" wrapText="1"/>
    </xf>
    <xf numFmtId="164" fontId="28" fillId="8" borderId="8" xfId="0" applyNumberFormat="1" applyFont="1" applyFill="1" applyBorder="1" applyAlignment="1">
      <alignment horizontal="right"/>
    </xf>
    <xf numFmtId="164" fontId="28" fillId="8" borderId="0" xfId="0" applyNumberFormat="1" applyFont="1" applyFill="1" applyAlignment="1">
      <alignment horizontal="right"/>
    </xf>
    <xf numFmtId="164" fontId="0" fillId="5" borderId="0" xfId="0" applyNumberFormat="1" applyFill="1" applyAlignment="1">
      <alignment horizontal="right"/>
    </xf>
    <xf numFmtId="169" fontId="28" fillId="8" borderId="0" xfId="0" applyNumberFormat="1" applyFont="1" applyFill="1" applyAlignment="1">
      <alignment horizontal="right"/>
    </xf>
    <xf numFmtId="164" fontId="0" fillId="5" borderId="8" xfId="0" applyNumberFormat="1" applyFill="1" applyBorder="1" applyAlignment="1">
      <alignment horizontal="right"/>
    </xf>
    <xf numFmtId="9" fontId="0" fillId="5" borderId="0" xfId="0" applyNumberFormat="1" applyFill="1" applyAlignment="1">
      <alignment horizontal="right"/>
    </xf>
    <xf numFmtId="164" fontId="0" fillId="6" borderId="8" xfId="0" applyNumberFormat="1" applyFill="1" applyBorder="1" applyAlignment="1">
      <alignment horizontal="right"/>
    </xf>
    <xf numFmtId="164" fontId="1" fillId="7" borderId="8" xfId="0" applyNumberFormat="1" applyFont="1" applyFill="1" applyBorder="1" applyAlignment="1">
      <alignment horizontal="right"/>
    </xf>
    <xf numFmtId="166" fontId="0" fillId="7" borderId="0" xfId="0" applyNumberFormat="1" applyFill="1" applyAlignment="1">
      <alignment horizontal="right"/>
    </xf>
    <xf numFmtId="164" fontId="0" fillId="7" borderId="8" xfId="0" applyNumberFormat="1" applyFill="1" applyBorder="1" applyAlignment="1">
      <alignment horizontal="right"/>
    </xf>
    <xf numFmtId="49" fontId="0" fillId="7" borderId="0" xfId="0" applyNumberFormat="1" applyFill="1" applyAlignment="1">
      <alignment horizontal="right"/>
    </xf>
    <xf numFmtId="169" fontId="0" fillId="7" borderId="0" xfId="0" applyNumberFormat="1" applyFill="1" applyAlignment="1">
      <alignment horizontal="right"/>
    </xf>
    <xf numFmtId="164" fontId="0" fillId="8" borderId="8" xfId="0" applyNumberFormat="1" applyFill="1" applyBorder="1" applyAlignment="1">
      <alignment horizontal="right"/>
    </xf>
    <xf numFmtId="164" fontId="0" fillId="8" borderId="0" xfId="0" applyNumberFormat="1" applyFill="1" applyAlignment="1">
      <alignment horizontal="right"/>
    </xf>
    <xf numFmtId="169" fontId="0" fillId="8" borderId="0" xfId="0" applyNumberFormat="1" applyFill="1" applyAlignment="1">
      <alignment horizontal="right"/>
    </xf>
    <xf numFmtId="164" fontId="0" fillId="9" borderId="8" xfId="0" applyNumberFormat="1" applyFill="1" applyBorder="1" applyAlignment="1">
      <alignment horizontal="right"/>
    </xf>
    <xf numFmtId="169" fontId="0" fillId="9" borderId="0" xfId="0" applyNumberFormat="1" applyFill="1" applyAlignment="1">
      <alignment horizontal="right"/>
    </xf>
    <xf numFmtId="0" fontId="3" fillId="12" borderId="0" xfId="0" applyFont="1" applyFill="1" applyAlignment="1">
      <alignment horizontal="right"/>
    </xf>
    <xf numFmtId="164" fontId="0" fillId="10" borderId="8" xfId="0" applyNumberFormat="1" applyFill="1" applyBorder="1" applyAlignment="1">
      <alignment horizontal="right"/>
    </xf>
    <xf numFmtId="164" fontId="0" fillId="10" borderId="0" xfId="0" applyNumberFormat="1" applyFill="1" applyAlignment="1">
      <alignment horizontal="right"/>
    </xf>
    <xf numFmtId="164" fontId="1" fillId="11" borderId="9" xfId="0" applyNumberFormat="1" applyFont="1" applyFill="1" applyBorder="1" applyAlignment="1">
      <alignment horizontal="right"/>
    </xf>
    <xf numFmtId="164" fontId="15" fillId="0" borderId="8" xfId="0" applyNumberFormat="1" applyFont="1" applyBorder="1" applyAlignment="1">
      <alignment horizontal="right"/>
    </xf>
    <xf numFmtId="0" fontId="1" fillId="0" borderId="8" xfId="0" applyFont="1" applyBorder="1" applyAlignment="1">
      <alignment horizontal="right"/>
    </xf>
    <xf numFmtId="164" fontId="1" fillId="0" borderId="11" xfId="0" applyNumberFormat="1" applyFont="1" applyBorder="1" applyAlignment="1">
      <alignment horizontal="right"/>
    </xf>
    <xf numFmtId="0" fontId="1" fillId="0" borderId="11" xfId="0" applyFont="1" applyBorder="1" applyAlignment="1">
      <alignment horizontal="right"/>
    </xf>
    <xf numFmtId="171" fontId="1" fillId="0" borderId="11" xfId="0" applyNumberFormat="1" applyFont="1" applyBorder="1" applyAlignment="1">
      <alignment horizontal="right"/>
    </xf>
    <xf numFmtId="0" fontId="1" fillId="0" borderId="10" xfId="0" applyFont="1" applyBorder="1" applyAlignment="1">
      <alignment horizontal="right"/>
    </xf>
    <xf numFmtId="164" fontId="0" fillId="12" borderId="8" xfId="0" applyNumberFormat="1" applyFill="1" applyBorder="1" applyAlignment="1">
      <alignment horizontal="right"/>
    </xf>
    <xf numFmtId="164" fontId="6" fillId="13" borderId="9" xfId="0" applyNumberFormat="1" applyFont="1" applyFill="1" applyBorder="1" applyAlignment="1">
      <alignment horizontal="right"/>
    </xf>
    <xf numFmtId="169" fontId="0" fillId="12" borderId="0" xfId="0" applyNumberFormat="1" applyFill="1" applyAlignment="1">
      <alignment horizontal="right"/>
    </xf>
    <xf numFmtId="164" fontId="0" fillId="0" borderId="0" xfId="0" applyNumberFormat="1" applyAlignment="1">
      <alignment horizontal="right"/>
    </xf>
    <xf numFmtId="0" fontId="0" fillId="0" borderId="0" xfId="0" applyAlignment="1">
      <alignment horizontal="right"/>
    </xf>
    <xf numFmtId="0" fontId="1" fillId="0" borderId="9" xfId="0" applyFont="1" applyBorder="1" applyAlignment="1">
      <alignment horizontal="right"/>
    </xf>
    <xf numFmtId="0" fontId="26" fillId="22" borderId="0" xfId="0" applyFont="1" applyFill="1" applyAlignment="1">
      <alignment horizontal="right"/>
    </xf>
    <xf numFmtId="164" fontId="0" fillId="14" borderId="0" xfId="0" applyNumberFormat="1" applyFill="1" applyAlignment="1">
      <alignment horizontal="right"/>
    </xf>
    <xf numFmtId="164" fontId="1" fillId="15" borderId="9" xfId="0" applyNumberFormat="1" applyFont="1" applyFill="1" applyBorder="1" applyAlignment="1">
      <alignment horizontal="right"/>
    </xf>
    <xf numFmtId="0" fontId="26" fillId="23" borderId="8" xfId="0" applyFont="1" applyFill="1" applyBorder="1" applyAlignment="1">
      <alignment horizontal="right"/>
    </xf>
    <xf numFmtId="164" fontId="0" fillId="16" borderId="0" xfId="0" applyNumberFormat="1" applyFill="1" applyAlignment="1">
      <alignment horizontal="right"/>
    </xf>
    <xf numFmtId="164" fontId="2" fillId="16" borderId="0" xfId="0" applyNumberFormat="1" applyFont="1" applyFill="1" applyAlignment="1">
      <alignment horizontal="right" vertical="center"/>
    </xf>
    <xf numFmtId="164" fontId="0" fillId="16" borderId="0" xfId="0" applyNumberFormat="1" applyFill="1" applyAlignment="1">
      <alignment horizontal="right" vertical="center"/>
    </xf>
    <xf numFmtId="164" fontId="4" fillId="16" borderId="0" xfId="0" applyNumberFormat="1" applyFont="1" applyFill="1" applyAlignment="1">
      <alignment horizontal="right" vertical="center"/>
    </xf>
    <xf numFmtId="164" fontId="2" fillId="16" borderId="0" xfId="0" applyNumberFormat="1" applyFont="1" applyFill="1" applyAlignment="1">
      <alignment horizontal="right"/>
    </xf>
    <xf numFmtId="164" fontId="18" fillId="13" borderId="9" xfId="0" applyNumberFormat="1" applyFont="1" applyFill="1" applyBorder="1" applyAlignment="1">
      <alignment horizontal="right" vertical="center"/>
    </xf>
    <xf numFmtId="164" fontId="6" fillId="13" borderId="9" xfId="0" applyNumberFormat="1" applyFont="1" applyFill="1" applyBorder="1" applyAlignment="1">
      <alignment horizontal="right" vertical="center"/>
    </xf>
    <xf numFmtId="164" fontId="19" fillId="13" borderId="9" xfId="0" applyNumberFormat="1" applyFont="1" applyFill="1" applyBorder="1" applyAlignment="1">
      <alignment horizontal="right" vertical="center"/>
    </xf>
    <xf numFmtId="164" fontId="18" fillId="13" borderId="9" xfId="0" applyNumberFormat="1" applyFont="1" applyFill="1" applyBorder="1" applyAlignment="1">
      <alignment horizontal="right"/>
    </xf>
    <xf numFmtId="164" fontId="14" fillId="0" borderId="8" xfId="0" applyNumberFormat="1" applyFont="1" applyBorder="1" applyAlignment="1">
      <alignment horizontal="right" vertical="center"/>
    </xf>
    <xf numFmtId="0" fontId="1" fillId="0" borderId="8" xfId="0" applyFont="1" applyBorder="1" applyAlignment="1">
      <alignment horizontal="right" vertical="center"/>
    </xf>
    <xf numFmtId="0" fontId="27" fillId="0" borderId="8" xfId="0" applyFont="1" applyBorder="1" applyAlignment="1">
      <alignment horizontal="right" vertical="center"/>
    </xf>
    <xf numFmtId="0" fontId="14" fillId="0" borderId="8" xfId="0" applyFont="1" applyBorder="1" applyAlignment="1">
      <alignment horizontal="right"/>
    </xf>
    <xf numFmtId="164" fontId="14" fillId="0" borderId="11" xfId="0" applyNumberFormat="1" applyFont="1" applyBorder="1" applyAlignment="1">
      <alignment horizontal="right" vertical="center"/>
    </xf>
    <xf numFmtId="0" fontId="1" fillId="0" borderId="11" xfId="0" applyFont="1" applyBorder="1" applyAlignment="1">
      <alignment horizontal="right" vertical="center"/>
    </xf>
    <xf numFmtId="0" fontId="27" fillId="0" borderId="11" xfId="0" applyFont="1" applyBorder="1" applyAlignment="1">
      <alignment horizontal="right" vertical="center"/>
    </xf>
    <xf numFmtId="0" fontId="14" fillId="0" borderId="11" xfId="0" applyFont="1" applyBorder="1" applyAlignment="1">
      <alignment horizontal="right"/>
    </xf>
    <xf numFmtId="169" fontId="14" fillId="0" borderId="10" xfId="0" applyNumberFormat="1" applyFont="1" applyBorder="1" applyAlignment="1">
      <alignment horizontal="right" vertical="center"/>
    </xf>
    <xf numFmtId="0" fontId="1" fillId="0" borderId="10" xfId="0" applyFont="1" applyBorder="1" applyAlignment="1">
      <alignment horizontal="right" vertical="center"/>
    </xf>
    <xf numFmtId="0" fontId="27" fillId="0" borderId="10" xfId="0" applyFont="1" applyBorder="1" applyAlignment="1">
      <alignment horizontal="right" vertical="center"/>
    </xf>
    <xf numFmtId="0" fontId="14" fillId="0" borderId="10" xfId="0" applyFont="1" applyBorder="1" applyAlignment="1">
      <alignment horizontal="right"/>
    </xf>
    <xf numFmtId="0" fontId="26" fillId="24" borderId="0" xfId="0" applyFont="1" applyFill="1" applyAlignment="1">
      <alignment horizontal="right"/>
    </xf>
    <xf numFmtId="1" fontId="0" fillId="8" borderId="0" xfId="0" applyNumberFormat="1" applyFill="1" applyAlignment="1">
      <alignment horizontal="right"/>
    </xf>
    <xf numFmtId="1" fontId="28" fillId="8" borderId="0" xfId="0" applyNumberFormat="1" applyFont="1" applyFill="1" applyAlignment="1">
      <alignment horizontal="right"/>
    </xf>
    <xf numFmtId="166" fontId="0" fillId="8" borderId="0" xfId="0" applyNumberFormat="1" applyFill="1" applyAlignment="1">
      <alignment horizontal="right"/>
    </xf>
    <xf numFmtId="169" fontId="1" fillId="8" borderId="9" xfId="0" applyNumberFormat="1" applyFont="1" applyFill="1" applyBorder="1" applyAlignment="1">
      <alignment horizontal="right"/>
    </xf>
    <xf numFmtId="0" fontId="23" fillId="8" borderId="8" xfId="0" applyFont="1" applyFill="1" applyBorder="1" applyAlignment="1">
      <alignment horizontal="left"/>
    </xf>
    <xf numFmtId="0" fontId="28" fillId="8" borderId="8" xfId="0" applyFont="1" applyFill="1" applyBorder="1" applyAlignment="1">
      <alignment horizontal="left" wrapText="1"/>
    </xf>
    <xf numFmtId="0" fontId="28" fillId="8" borderId="0" xfId="0" applyFont="1" applyFill="1" applyAlignment="1">
      <alignment horizontal="left"/>
    </xf>
    <xf numFmtId="0" fontId="28" fillId="8" borderId="0" xfId="0" applyFont="1" applyFill="1" applyAlignment="1">
      <alignment horizontal="left" wrapText="1"/>
    </xf>
    <xf numFmtId="0" fontId="0" fillId="5" borderId="0" xfId="0" applyFill="1" applyAlignment="1">
      <alignment horizontal="left"/>
    </xf>
    <xf numFmtId="0" fontId="0" fillId="5" borderId="0" xfId="0" applyFill="1" applyAlignment="1">
      <alignment horizontal="left" wrapText="1"/>
    </xf>
    <xf numFmtId="0" fontId="1" fillId="5" borderId="8" xfId="0" applyFont="1" applyFill="1" applyBorder="1" applyAlignment="1">
      <alignment horizontal="left"/>
    </xf>
    <xf numFmtId="0" fontId="0" fillId="5" borderId="8" xfId="0" applyFill="1" applyBorder="1" applyAlignment="1">
      <alignment horizontal="left" wrapText="1"/>
    </xf>
    <xf numFmtId="0" fontId="1" fillId="6" borderId="8" xfId="0" applyFont="1" applyFill="1" applyBorder="1" applyAlignment="1">
      <alignment horizontal="left"/>
    </xf>
    <xf numFmtId="0" fontId="0" fillId="6" borderId="8" xfId="0" applyFill="1" applyBorder="1" applyAlignment="1">
      <alignment horizontal="left" wrapText="1"/>
    </xf>
    <xf numFmtId="0" fontId="1" fillId="7" borderId="8" xfId="0" applyFont="1" applyFill="1" applyBorder="1" applyAlignment="1">
      <alignment horizontal="left"/>
    </xf>
    <xf numFmtId="0" fontId="0" fillId="7" borderId="8" xfId="0" applyFill="1" applyBorder="1" applyAlignment="1">
      <alignment horizontal="left" wrapText="1"/>
    </xf>
    <xf numFmtId="0" fontId="0" fillId="7" borderId="0" xfId="0" applyFill="1" applyAlignment="1">
      <alignment horizontal="left"/>
    </xf>
    <xf numFmtId="0" fontId="0" fillId="7" borderId="0" xfId="0" applyFill="1" applyAlignment="1">
      <alignment horizontal="left" wrapText="1"/>
    </xf>
    <xf numFmtId="0" fontId="1" fillId="8" borderId="8" xfId="0" applyFont="1" applyFill="1" applyBorder="1" applyAlignment="1">
      <alignment horizontal="left"/>
    </xf>
    <xf numFmtId="0" fontId="0" fillId="8" borderId="8" xfId="0" applyFill="1" applyBorder="1" applyAlignment="1">
      <alignment horizontal="left" wrapText="1"/>
    </xf>
    <xf numFmtId="0" fontId="0" fillId="8" borderId="0" xfId="0" applyFill="1" applyAlignment="1">
      <alignment horizontal="left"/>
    </xf>
    <xf numFmtId="0" fontId="0" fillId="8" borderId="0" xfId="0" applyFill="1" applyAlignment="1">
      <alignment horizontal="left" wrapText="1"/>
    </xf>
    <xf numFmtId="0" fontId="1" fillId="9" borderId="8" xfId="0" applyFont="1" applyFill="1" applyBorder="1" applyAlignment="1">
      <alignment horizontal="left"/>
    </xf>
    <xf numFmtId="0" fontId="0" fillId="9" borderId="8" xfId="0" applyFill="1" applyBorder="1" applyAlignment="1">
      <alignment horizontal="left" wrapText="1"/>
    </xf>
    <xf numFmtId="0" fontId="0" fillId="9" borderId="0" xfId="0" applyFill="1" applyAlignment="1">
      <alignment horizontal="left"/>
    </xf>
    <xf numFmtId="0" fontId="0" fillId="9" borderId="0" xfId="0" applyFill="1" applyAlignment="1">
      <alignment horizontal="left" wrapText="1"/>
    </xf>
    <xf numFmtId="0" fontId="0" fillId="12" borderId="0" xfId="0" applyFill="1" applyAlignment="1">
      <alignment horizontal="left"/>
    </xf>
    <xf numFmtId="0" fontId="0" fillId="12" borderId="0" xfId="0" applyFill="1" applyAlignment="1">
      <alignment horizontal="left" wrapText="1"/>
    </xf>
    <xf numFmtId="0" fontId="1" fillId="10" borderId="8" xfId="0" applyFont="1" applyFill="1" applyBorder="1" applyAlignment="1">
      <alignment horizontal="left"/>
    </xf>
    <xf numFmtId="0" fontId="0" fillId="10" borderId="8" xfId="0" applyFill="1" applyBorder="1" applyAlignment="1">
      <alignment horizontal="left" wrapText="1"/>
    </xf>
    <xf numFmtId="0" fontId="1" fillId="10" borderId="0" xfId="0" applyFont="1" applyFill="1" applyAlignment="1">
      <alignment horizontal="left"/>
    </xf>
    <xf numFmtId="0" fontId="0" fillId="10" borderId="0" xfId="0" applyFill="1" applyAlignment="1">
      <alignment horizontal="left" wrapText="1"/>
    </xf>
    <xf numFmtId="0" fontId="1" fillId="11" borderId="9" xfId="0" applyFont="1" applyFill="1" applyBorder="1" applyAlignment="1">
      <alignment horizontal="left"/>
    </xf>
    <xf numFmtId="0" fontId="1" fillId="11" borderId="9" xfId="0" applyFont="1" applyFill="1" applyBorder="1" applyAlignment="1">
      <alignment horizontal="left" wrapText="1"/>
    </xf>
    <xf numFmtId="0" fontId="1" fillId="0" borderId="8" xfId="0" applyFont="1" applyBorder="1" applyAlignment="1">
      <alignment horizontal="left" wrapText="1"/>
    </xf>
    <xf numFmtId="0" fontId="1" fillId="0" borderId="11" xfId="0" applyFont="1" applyBorder="1" applyAlignment="1">
      <alignment horizontal="left"/>
    </xf>
    <xf numFmtId="0" fontId="1" fillId="10" borderId="11" xfId="0" applyFont="1" applyFill="1" applyBorder="1" applyAlignment="1">
      <alignment horizontal="left"/>
    </xf>
    <xf numFmtId="0" fontId="1" fillId="0" borderId="11" xfId="0" applyFont="1" applyBorder="1" applyAlignment="1">
      <alignment horizontal="left" wrapText="1"/>
    </xf>
    <xf numFmtId="0" fontId="1" fillId="0" borderId="10" xfId="0" applyFont="1" applyBorder="1" applyAlignment="1">
      <alignment horizontal="left"/>
    </xf>
    <xf numFmtId="0" fontId="1" fillId="10" borderId="10" xfId="0" applyFont="1" applyFill="1" applyBorder="1" applyAlignment="1">
      <alignment horizontal="left"/>
    </xf>
    <xf numFmtId="0" fontId="1" fillId="0" borderId="10" xfId="0" applyFont="1" applyBorder="1" applyAlignment="1">
      <alignment horizontal="left" wrapText="1"/>
    </xf>
    <xf numFmtId="0" fontId="23" fillId="8" borderId="0" xfId="0" applyFont="1" applyFill="1" applyAlignment="1">
      <alignment horizontal="left"/>
    </xf>
    <xf numFmtId="0" fontId="1" fillId="12" borderId="8" xfId="0" applyFont="1" applyFill="1" applyBorder="1" applyAlignment="1">
      <alignment horizontal="left"/>
    </xf>
    <xf numFmtId="0" fontId="0" fillId="12" borderId="8" xfId="0" applyFill="1" applyBorder="1" applyAlignment="1">
      <alignment horizontal="left" wrapText="1"/>
    </xf>
    <xf numFmtId="0" fontId="6" fillId="13" borderId="9" xfId="0" applyFont="1" applyFill="1" applyBorder="1" applyAlignment="1">
      <alignment horizontal="left"/>
    </xf>
    <xf numFmtId="0" fontId="6" fillId="13" borderId="9" xfId="0" applyFont="1" applyFill="1" applyBorder="1" applyAlignment="1">
      <alignment horizontal="left" wrapText="1"/>
    </xf>
    <xf numFmtId="0" fontId="0" fillId="0" borderId="0" xfId="0" applyAlignment="1">
      <alignment horizontal="left"/>
    </xf>
    <xf numFmtId="0" fontId="0" fillId="0" borderId="0" xfId="0" applyAlignment="1">
      <alignment horizontal="left" wrapText="1"/>
    </xf>
    <xf numFmtId="0" fontId="1" fillId="0" borderId="9" xfId="0" applyFont="1" applyBorder="1" applyAlignment="1">
      <alignment horizontal="left"/>
    </xf>
    <xf numFmtId="0" fontId="1" fillId="0" borderId="9" xfId="0" applyFont="1" applyBorder="1" applyAlignment="1">
      <alignment horizontal="left" wrapText="1"/>
    </xf>
    <xf numFmtId="0" fontId="26" fillId="22" borderId="0" xfId="0" applyFont="1" applyFill="1" applyAlignment="1">
      <alignment horizontal="left"/>
    </xf>
    <xf numFmtId="0" fontId="26" fillId="22" borderId="0" xfId="0" applyFont="1" applyFill="1" applyAlignment="1">
      <alignment horizontal="left" wrapText="1"/>
    </xf>
    <xf numFmtId="0" fontId="0" fillId="14" borderId="0" xfId="0" applyFill="1" applyAlignment="1">
      <alignment horizontal="left"/>
    </xf>
    <xf numFmtId="0" fontId="0" fillId="14" borderId="0" xfId="0" applyFill="1" applyAlignment="1">
      <alignment horizontal="left" wrapText="1"/>
    </xf>
    <xf numFmtId="0" fontId="1" fillId="15" borderId="9" xfId="0" applyFont="1" applyFill="1" applyBorder="1" applyAlignment="1">
      <alignment horizontal="left"/>
    </xf>
    <xf numFmtId="0" fontId="1" fillId="15" borderId="9" xfId="0" applyFont="1" applyFill="1" applyBorder="1" applyAlignment="1">
      <alignment horizontal="left" wrapText="1"/>
    </xf>
    <xf numFmtId="0" fontId="26" fillId="23" borderId="8" xfId="0" applyFont="1" applyFill="1" applyBorder="1" applyAlignment="1">
      <alignment horizontal="left"/>
    </xf>
    <xf numFmtId="0" fontId="26" fillId="23" borderId="8" xfId="0" applyFont="1" applyFill="1" applyBorder="1" applyAlignment="1">
      <alignment horizontal="left" wrapText="1"/>
    </xf>
    <xf numFmtId="0" fontId="0" fillId="16" borderId="0" xfId="0" applyFill="1" applyAlignment="1">
      <alignment horizontal="left"/>
    </xf>
    <xf numFmtId="0" fontId="0" fillId="16" borderId="0" xfId="0" applyFill="1" applyAlignment="1">
      <alignment horizontal="left" wrapText="1"/>
    </xf>
    <xf numFmtId="0" fontId="2" fillId="16" borderId="0" xfId="0" applyFont="1" applyFill="1" applyAlignment="1">
      <alignment horizontal="left" vertical="center"/>
    </xf>
    <xf numFmtId="0" fontId="0" fillId="16" borderId="0" xfId="0" applyFill="1" applyAlignment="1">
      <alignment horizontal="left" vertical="center"/>
    </xf>
    <xf numFmtId="0" fontId="2" fillId="16" borderId="0" xfId="0" applyFont="1" applyFill="1" applyAlignment="1">
      <alignment horizontal="left" vertical="center" wrapText="1"/>
    </xf>
    <xf numFmtId="0" fontId="14" fillId="13" borderId="9" xfId="0" applyFont="1" applyFill="1" applyBorder="1" applyAlignment="1">
      <alignment horizontal="left" vertical="center"/>
    </xf>
    <xf numFmtId="0" fontId="1" fillId="13" borderId="9" xfId="0" applyFont="1" applyFill="1" applyBorder="1" applyAlignment="1">
      <alignment horizontal="left" vertical="center"/>
    </xf>
    <xf numFmtId="0" fontId="14" fillId="13" borderId="9" xfId="0" applyFont="1" applyFill="1" applyBorder="1" applyAlignment="1">
      <alignment horizontal="left" vertical="center" wrapText="1"/>
    </xf>
    <xf numFmtId="0" fontId="14" fillId="0" borderId="8" xfId="0" applyFont="1" applyBorder="1" applyAlignment="1">
      <alignment horizontal="left" vertical="center"/>
    </xf>
    <xf numFmtId="0" fontId="1" fillId="0" borderId="8" xfId="0" applyFont="1" applyBorder="1" applyAlignment="1">
      <alignment horizontal="left" vertical="center"/>
    </xf>
    <xf numFmtId="0" fontId="14" fillId="0" borderId="8" xfId="0" applyFont="1" applyBorder="1" applyAlignment="1">
      <alignment horizontal="left" vertical="center" wrapText="1"/>
    </xf>
    <xf numFmtId="0" fontId="14" fillId="0" borderId="11" xfId="0" applyFont="1" applyBorder="1" applyAlignment="1">
      <alignment horizontal="left" vertical="center"/>
    </xf>
    <xf numFmtId="0" fontId="1" fillId="0" borderId="11" xfId="0" applyFont="1" applyBorder="1" applyAlignment="1">
      <alignment horizontal="left" vertical="center"/>
    </xf>
    <xf numFmtId="0" fontId="14" fillId="0" borderId="11" xfId="0" applyFont="1" applyBorder="1" applyAlignment="1">
      <alignment horizontal="left" vertical="center" wrapText="1"/>
    </xf>
    <xf numFmtId="0" fontId="14" fillId="0" borderId="10" xfId="0" applyFont="1" applyBorder="1" applyAlignment="1">
      <alignment horizontal="left" vertical="center"/>
    </xf>
    <xf numFmtId="0" fontId="1" fillId="0" borderId="10" xfId="0" applyFont="1" applyBorder="1" applyAlignment="1">
      <alignment horizontal="left" vertical="center"/>
    </xf>
    <xf numFmtId="0" fontId="14" fillId="0" borderId="10" xfId="0" applyFont="1" applyBorder="1" applyAlignment="1">
      <alignment horizontal="left" vertical="center" wrapText="1"/>
    </xf>
    <xf numFmtId="0" fontId="26" fillId="24" borderId="0" xfId="0" applyFont="1" applyFill="1" applyAlignment="1">
      <alignment horizontal="left"/>
    </xf>
    <xf numFmtId="0" fontId="26" fillId="24" borderId="0" xfId="0" applyFont="1" applyFill="1" applyAlignment="1">
      <alignment horizontal="left" wrapText="1"/>
    </xf>
    <xf numFmtId="0" fontId="1" fillId="8" borderId="9" xfId="0" applyFont="1" applyFill="1" applyBorder="1" applyAlignment="1">
      <alignment horizontal="left"/>
    </xf>
    <xf numFmtId="0" fontId="1" fillId="8" borderId="9" xfId="0" applyFont="1" applyFill="1" applyBorder="1" applyAlignment="1">
      <alignment horizontal="left" wrapText="1"/>
    </xf>
    <xf numFmtId="0" fontId="6" fillId="2" borderId="0" xfId="0" applyFont="1" applyFill="1" applyAlignment="1">
      <alignment horizontal="left" vertical="center" wrapText="1"/>
    </xf>
    <xf numFmtId="0" fontId="0" fillId="2" borderId="0" xfId="0" applyFill="1" applyAlignment="1">
      <alignment horizontal="left" vertical="center" wrapText="1"/>
    </xf>
    <xf numFmtId="0" fontId="0" fillId="0" borderId="0" xfId="0" applyAlignment="1">
      <alignment horizontal="left" vertical="center" wrapText="1"/>
    </xf>
    <xf numFmtId="10" fontId="0" fillId="0" borderId="0" xfId="0" applyNumberFormat="1" applyAlignment="1">
      <alignment horizontal="left" vertical="center" wrapText="1"/>
    </xf>
    <xf numFmtId="10" fontId="0" fillId="0" borderId="0" xfId="0" applyNumberFormat="1" applyAlignment="1">
      <alignment horizontal="left" wrapText="1"/>
    </xf>
    <xf numFmtId="164" fontId="9" fillId="3" borderId="0" xfId="0" applyNumberFormat="1" applyFont="1" applyFill="1" applyAlignment="1">
      <alignment horizontal="left" wrapText="1"/>
    </xf>
    <xf numFmtId="164" fontId="7" fillId="3" borderId="0" xfId="0" applyNumberFormat="1" applyFont="1" applyFill="1" applyAlignment="1">
      <alignment horizontal="left" wrapText="1"/>
    </xf>
    <xf numFmtId="164" fontId="9" fillId="0" borderId="0" xfId="0" applyNumberFormat="1" applyFont="1" applyAlignment="1">
      <alignment horizontal="left" wrapText="1"/>
    </xf>
    <xf numFmtId="0" fontId="6" fillId="13" borderId="0" xfId="0" applyFont="1" applyFill="1" applyAlignment="1">
      <alignment horizontal="left" wrapText="1"/>
    </xf>
    <xf numFmtId="0" fontId="0" fillId="13" borderId="0" xfId="0" applyFill="1" applyAlignment="1">
      <alignment horizontal="left" wrapText="1"/>
    </xf>
    <xf numFmtId="0" fontId="6" fillId="2" borderId="0" xfId="0" applyFont="1" applyFill="1" applyAlignment="1">
      <alignment horizontal="left" wrapText="1"/>
    </xf>
    <xf numFmtId="0" fontId="16" fillId="4" borderId="0" xfId="0" applyFont="1" applyFill="1" applyAlignment="1">
      <alignment horizontal="left" wrapText="1"/>
    </xf>
    <xf numFmtId="0" fontId="17" fillId="0" borderId="0" xfId="0" applyFont="1" applyAlignment="1">
      <alignment horizontal="left" wrapText="1"/>
    </xf>
    <xf numFmtId="0" fontId="1" fillId="0" borderId="0" xfId="0" applyFont="1" applyAlignment="1">
      <alignment horizontal="left" wrapText="1"/>
    </xf>
    <xf numFmtId="0" fontId="11" fillId="0" borderId="0" xfId="0" applyFont="1" applyAlignment="1">
      <alignment horizontal="left" wrapText="1"/>
    </xf>
    <xf numFmtId="166" fontId="0" fillId="0" borderId="0" xfId="0" applyNumberFormat="1" applyAlignment="1">
      <alignment horizontal="left" wrapText="1"/>
    </xf>
    <xf numFmtId="0" fontId="29" fillId="25" borderId="11" xfId="0" applyFont="1" applyFill="1" applyBorder="1" applyAlignment="1">
      <alignment horizontal="left"/>
    </xf>
    <xf numFmtId="0" fontId="29" fillId="25" borderId="11" xfId="0" applyFont="1" applyFill="1" applyBorder="1" applyAlignment="1">
      <alignment horizontal="left" wrapText="1"/>
    </xf>
    <xf numFmtId="169" fontId="29" fillId="25" borderId="11" xfId="0" applyNumberFormat="1" applyFont="1" applyFill="1" applyBorder="1" applyAlignment="1">
      <alignment horizontal="right"/>
    </xf>
    <xf numFmtId="0" fontId="29" fillId="25" borderId="10" xfId="0" applyFont="1" applyFill="1" applyBorder="1" applyAlignment="1">
      <alignment horizontal="left"/>
    </xf>
    <xf numFmtId="0" fontId="29" fillId="25" borderId="10" xfId="0" applyFont="1" applyFill="1" applyBorder="1" applyAlignment="1">
      <alignment horizontal="left" wrapText="1"/>
    </xf>
    <xf numFmtId="169" fontId="29" fillId="25" borderId="10" xfId="0" applyNumberFormat="1" applyFont="1" applyFill="1" applyBorder="1" applyAlignment="1">
      <alignment horizontal="right"/>
    </xf>
    <xf numFmtId="0" fontId="29" fillId="25" borderId="0" xfId="0" applyFont="1" applyFill="1" applyAlignment="1">
      <alignment horizontal="left"/>
    </xf>
    <xf numFmtId="0" fontId="29" fillId="25" borderId="0" xfId="0" applyFont="1" applyFill="1" applyAlignment="1">
      <alignment horizontal="left" wrapText="1"/>
    </xf>
    <xf numFmtId="169" fontId="29" fillId="25" borderId="0" xfId="0" applyNumberFormat="1" applyFont="1" applyFill="1" applyAlignment="1">
      <alignment horizontal="right"/>
    </xf>
    <xf numFmtId="0" fontId="29" fillId="25" borderId="12" xfId="0" applyFont="1" applyFill="1" applyBorder="1" applyAlignment="1">
      <alignment horizontal="left"/>
    </xf>
    <xf numFmtId="0" fontId="29" fillId="25" borderId="12" xfId="0" applyFont="1" applyFill="1" applyBorder="1" applyAlignment="1">
      <alignment horizontal="left" wrapText="1"/>
    </xf>
    <xf numFmtId="169" fontId="29" fillId="25" borderId="12" xfId="0" applyNumberFormat="1" applyFont="1" applyFill="1" applyBorder="1" applyAlignment="1">
      <alignment horizontal="right"/>
    </xf>
    <xf numFmtId="0" fontId="0" fillId="0" borderId="0" xfId="0" applyAlignment="1">
      <alignment vertical="center" wrapText="1"/>
    </xf>
    <xf numFmtId="0" fontId="1" fillId="25" borderId="0" xfId="0" applyFont="1" applyFill="1" applyAlignment="1">
      <alignment vertical="center" wrapText="1"/>
    </xf>
    <xf numFmtId="0" fontId="0" fillId="25" borderId="0" xfId="0" applyFill="1" applyAlignment="1">
      <alignment vertical="center" wrapText="1"/>
    </xf>
    <xf numFmtId="169" fontId="0" fillId="25" borderId="0" xfId="0" applyNumberFormat="1" applyFill="1" applyAlignment="1">
      <alignment vertical="center" wrapText="1"/>
    </xf>
    <xf numFmtId="0" fontId="6" fillId="21" borderId="0" xfId="0" applyFont="1" applyFill="1" applyAlignment="1">
      <alignment horizontal="center" vertical="center" wrapText="1"/>
    </xf>
    <xf numFmtId="0" fontId="32" fillId="0" borderId="0" xfId="0" applyFont="1" applyAlignment="1">
      <alignment vertical="center" wrapText="1"/>
    </xf>
    <xf numFmtId="0" fontId="29" fillId="25" borderId="0" xfId="0" applyFont="1" applyFill="1" applyAlignment="1">
      <alignment vertical="center" wrapText="1"/>
    </xf>
    <xf numFmtId="0" fontId="32" fillId="25" borderId="0" xfId="0" applyFont="1" applyFill="1" applyAlignment="1">
      <alignment vertical="center" wrapText="1"/>
    </xf>
    <xf numFmtId="169" fontId="32" fillId="25" borderId="0" xfId="0" applyNumberFormat="1" applyFont="1" applyFill="1" applyAlignment="1">
      <alignment vertical="center" wrapText="1"/>
    </xf>
    <xf numFmtId="1" fontId="32" fillId="25" borderId="0" xfId="0" applyNumberFormat="1" applyFont="1" applyFill="1" applyAlignment="1">
      <alignment vertical="center" wrapText="1"/>
    </xf>
    <xf numFmtId="0" fontId="29" fillId="0" borderId="0" xfId="0" applyFont="1" applyAlignment="1">
      <alignment vertical="center" wrapText="1"/>
    </xf>
    <xf numFmtId="0" fontId="29" fillId="8" borderId="0" xfId="0" applyFont="1" applyFill="1" applyAlignment="1">
      <alignment vertical="center" wrapText="1"/>
    </xf>
    <xf numFmtId="169" fontId="32" fillId="8" borderId="0" xfId="0" applyNumberFormat="1" applyFont="1" applyFill="1" applyAlignment="1">
      <alignment vertical="center" wrapText="1"/>
    </xf>
    <xf numFmtId="0" fontId="32" fillId="8" borderId="0" xfId="0" applyFont="1" applyFill="1" applyAlignment="1">
      <alignment vertical="center" wrapText="1"/>
    </xf>
    <xf numFmtId="0" fontId="29" fillId="26" borderId="0" xfId="0" applyFont="1" applyFill="1" applyAlignment="1">
      <alignment vertical="center" wrapText="1"/>
    </xf>
    <xf numFmtId="0" fontId="32" fillId="26" borderId="0" xfId="0" applyFont="1" applyFill="1" applyAlignment="1">
      <alignment vertical="center" wrapText="1"/>
    </xf>
    <xf numFmtId="0" fontId="1" fillId="27" borderId="0" xfId="0" applyFont="1" applyFill="1" applyAlignment="1">
      <alignment vertical="center" wrapText="1"/>
    </xf>
    <xf numFmtId="169" fontId="0" fillId="27" borderId="0" xfId="0" applyNumberFormat="1" applyFill="1" applyAlignment="1">
      <alignment vertical="center" wrapText="1"/>
    </xf>
    <xf numFmtId="169" fontId="0" fillId="0" borderId="0" xfId="0" applyNumberFormat="1" applyAlignment="1">
      <alignment vertical="center" wrapText="1"/>
    </xf>
    <xf numFmtId="0" fontId="5" fillId="0" borderId="0" xfId="0" applyFont="1" applyAlignment="1">
      <alignment horizontal="center"/>
    </xf>
    <xf numFmtId="0" fontId="6" fillId="2" borderId="0" xfId="0" applyFont="1" applyFill="1" applyAlignment="1">
      <alignment horizontal="center"/>
    </xf>
    <xf numFmtId="0" fontId="8" fillId="0" borderId="0" xfId="0" applyFont="1" applyAlignment="1">
      <alignment wrapText="1"/>
    </xf>
    <xf numFmtId="0" fontId="0" fillId="0" borderId="0" xfId="0"/>
    <xf numFmtId="0" fontId="6" fillId="2" borderId="0" xfId="0" applyFont="1" applyFill="1"/>
    <xf numFmtId="0" fontId="26" fillId="17" borderId="0" xfId="0" applyFont="1" applyFill="1" applyAlignment="1">
      <alignment horizontal="left"/>
    </xf>
    <xf numFmtId="0" fontId="26" fillId="17" borderId="0" xfId="0" applyFont="1" applyFill="1" applyAlignment="1">
      <alignment horizontal="left" wrapText="1"/>
    </xf>
    <xf numFmtId="0" fontId="26" fillId="17" borderId="0" xfId="0" applyFont="1" applyFill="1" applyAlignment="1">
      <alignment horizontal="right"/>
    </xf>
    <xf numFmtId="0" fontId="24" fillId="21" borderId="0" xfId="0" applyFont="1" applyFill="1" applyAlignment="1">
      <alignment horizontal="center"/>
    </xf>
    <xf numFmtId="0" fontId="24" fillId="21" borderId="0" xfId="0" applyFont="1" applyFill="1" applyAlignment="1">
      <alignment horizontal="center" wrapText="1"/>
    </xf>
    <xf numFmtId="0" fontId="25" fillId="20" borderId="0" xfId="0" applyFont="1" applyFill="1"/>
    <xf numFmtId="0" fontId="25" fillId="20" borderId="0" xfId="0" applyFont="1" applyFill="1" applyAlignment="1">
      <alignment wrapText="1"/>
    </xf>
    <xf numFmtId="0" fontId="24" fillId="21" borderId="0" xfId="0" applyFont="1" applyFill="1" applyAlignment="1">
      <alignment vertical="center"/>
    </xf>
    <xf numFmtId="0" fontId="31" fillId="20" borderId="0" xfId="0" applyFont="1" applyFill="1" applyAlignment="1">
      <alignment vertical="center" wrapText="1"/>
    </xf>
    <xf numFmtId="0" fontId="26" fillId="17" borderId="0" xfId="0" applyFont="1" applyFill="1" applyAlignment="1">
      <alignment vertical="center" wrapText="1"/>
    </xf>
    <xf numFmtId="0" fontId="32" fillId="0" borderId="0" xfId="0" applyFont="1" applyAlignment="1">
      <alignment vertical="center" wrapText="1"/>
    </xf>
    <xf numFmtId="0" fontId="24" fillId="21" borderId="0" xfId="0" applyFont="1" applyFill="1" applyAlignment="1">
      <alignment vertical="center" wrapText="1"/>
    </xf>
    <xf numFmtId="0" fontId="30" fillId="20" borderId="0" xfId="0" applyFont="1" applyFill="1" applyAlignment="1">
      <alignment vertical="center" wrapText="1"/>
    </xf>
    <xf numFmtId="0" fontId="0" fillId="25" borderId="0" xfId="0" applyFill="1" applyAlignment="1">
      <alignment vertical="center" wrapText="1"/>
    </xf>
    <xf numFmtId="0" fontId="0" fillId="0" borderId="0" xfId="0" applyAlignment="1">
      <alignment vertical="center" wrapText="1"/>
    </xf>
    <xf numFmtId="0" fontId="0" fillId="8" borderId="0" xfId="0" applyFill="1" applyAlignment="1">
      <alignment vertical="center" wrapText="1"/>
    </xf>
  </cellXfs>
  <cellStyles count="1">
    <cellStyle name="Normal" xfId="0" builtinId="0"/>
  </cellStyles>
  <dxfs count="3">
    <dxf>
      <font>
        <b/>
        <i val="0"/>
      </font>
      <fill>
        <patternFill patternType="solid">
          <fgColor indexed="64"/>
          <bgColor rgb="FFFFF2CC"/>
        </patternFill>
      </fill>
    </dxf>
    <dxf>
      <font>
        <color rgb="FF006100"/>
      </font>
      <fill>
        <patternFill patternType="solid">
          <fgColor indexed="64"/>
          <bgColor rgb="FFC6EFCE"/>
        </patternFill>
      </fill>
    </dxf>
    <dxf>
      <font>
        <color rgb="FF9C0006"/>
      </font>
      <fill>
        <patternFill patternType="solid">
          <fgColor indexed="64"/>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Liquid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'Monthly Balances'!$AC$3</c:f>
              <c:strCache>
                <c:ptCount val="1"/>
                <c:pt idx="0">
                  <c:v>Total Liquid</c:v>
                </c:pt>
              </c:strCache>
            </c:strRef>
          </c:tx>
          <c:spPr>
            <a:ln w="28575" cap="rnd">
              <a:solidFill>
                <a:srgbClr val="2F5496"/>
              </a:solidFill>
              <a:prstDash val="solid"/>
              <a:round/>
            </a:ln>
            <a:effectLst/>
          </c:spPr>
          <c:marker>
            <c:symbol val="none"/>
          </c:marker>
          <c:cat>
            <c:numRef>
              <c:f>'Monthly Balances'!$AB$4:$AB$4</c:f>
              <c:numCache>
                <c:formatCode>mmm\-yy</c:formatCode>
                <c:ptCount val="1"/>
                <c:pt idx="0">
                  <c:v>45505</c:v>
                </c:pt>
              </c:numCache>
            </c:numRef>
          </c:cat>
          <c:val>
            <c:numRef>
              <c:f>'Monthly Balances'!$AC$4:$AC$4</c:f>
              <c:numCache>
                <c:formatCode>"$"#,##0</c:formatCode>
                <c:ptCount val="1"/>
                <c:pt idx="0">
                  <c:v>234390.53</c:v>
                </c:pt>
              </c:numCache>
            </c:numRef>
          </c:val>
          <c:smooth val="0"/>
          <c:extLst>
            <c:ext xmlns:c16="http://schemas.microsoft.com/office/drawing/2014/chart" uri="{C3380CC4-5D6E-409C-BE32-E72D297353CC}">
              <c16:uniqueId val="{00000000-66B7-434D-87BA-366AAFE6F267}"/>
            </c:ext>
          </c:extLst>
        </c:ser>
        <c:dLbls>
          <c:showLegendKey val="0"/>
          <c:showVal val="0"/>
          <c:showCatName val="0"/>
          <c:showSerName val="0"/>
          <c:showPercent val="0"/>
          <c:showBubbleSize val="0"/>
        </c:dLbls>
        <c:smooth val="0"/>
        <c:axId val="1917639904"/>
        <c:axId val="1917641344"/>
      </c:lineChart>
      <c:dateAx>
        <c:axId val="1917639904"/>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7641344"/>
        <c:crosses val="autoZero"/>
        <c:auto val="1"/>
        <c:lblOffset val="100"/>
        <c:baseTimeUnit val="months"/>
      </c:dateAx>
      <c:valAx>
        <c:axId val="1917641344"/>
        <c:scaling>
          <c:orientation val="minMax"/>
          <c:min val="0"/>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7639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Liquid Assets by Tax Bucket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rgbClr val="2F549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'Net Worth'!$A$12:$A$16</c:f>
              <c:strCache>
                <c:ptCount val="5"/>
                <c:pt idx="0">
                  <c:v>Cash</c:v>
                </c:pt>
                <c:pt idx="1">
                  <c:v>Brokerage (taxable)</c:v>
                </c:pt>
                <c:pt idx="2">
                  <c:v>Pre-Tax (401K + IRA)</c:v>
                </c:pt>
                <c:pt idx="3">
                  <c:v>Roth IRA</c:v>
                </c:pt>
                <c:pt idx="4">
                  <c:v>Other</c:v>
                </c:pt>
              </c:strCache>
            </c:strRef>
          </c:cat>
          <c:val>
            <c:numRef>
              <c:f>'Net Worth'!$B$12:$B$16</c:f>
              <c:numCache>
                <c:formatCode>"$"#,##0</c:formatCode>
                <c:ptCount val="5"/>
                <c:pt idx="0">
                  <c:v>57050.7</c:v>
                </c:pt>
                <c:pt idx="1">
                  <c:v>10510.529999999999</c:v>
                </c:pt>
                <c:pt idx="2">
                  <c:v>196969.94</c:v>
                </c:pt>
                <c:pt idx="3">
                  <c:v>2250</c:v>
                </c:pt>
                <c:pt idx="4">
                  <c:v>0</c:v>
                </c:pt>
              </c:numCache>
            </c:numRef>
          </c:val>
          <c:extLst>
            <c:ext xmlns:c16="http://schemas.microsoft.com/office/drawing/2014/chart" uri="{C3380CC4-5D6E-409C-BE32-E72D297353CC}">
              <c16:uniqueId val="{00000000-E7E6-47AC-A0EA-548B05213FFD}"/>
            </c:ext>
          </c:extLst>
        </c:ser>
        <c:dLbls>
          <c:showLegendKey val="0"/>
          <c:showVal val="0"/>
          <c:showCatName val="0"/>
          <c:showSerName val="0"/>
          <c:showPercent val="0"/>
          <c:showBubbleSize val="0"/>
        </c:dLbls>
        <c:gapWidth val="219"/>
        <c:overlap val="-27"/>
        <c:axId val="1917648544"/>
        <c:axId val="1917649024"/>
      </c:barChart>
      <c:catAx>
        <c:axId val="1917648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7649024"/>
        <c:crosses val="autoZero"/>
        <c:auto val="1"/>
        <c:lblAlgn val="ctr"/>
        <c:lblOffset val="100"/>
        <c:noMultiLvlLbl val="0"/>
      </c:catAx>
      <c:valAx>
        <c:axId val="1917649024"/>
        <c:scaling>
          <c:orientation val="minMax"/>
          <c:min val="0"/>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7648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29</xdr:col>
      <xdr:colOff>590550</xdr:colOff>
      <xdr:row>2</xdr:row>
      <xdr:rowOff>0</xdr:rowOff>
    </xdr:from>
    <xdr:to>
      <xdr:col>40</xdr:col>
      <xdr:colOff>590550</xdr:colOff>
      <xdr:row>22</xdr:row>
      <xdr:rowOff>66675</xdr:rowOff>
    </xdr:to>
    <xdr:graphicFrame macro="">
      <xdr:nvGraphicFramePr>
        <xdr:cNvPr id="3" name="LiquidTrend">
          <a:extLst>
            <a:ext uri="{FF2B5EF4-FFF2-40B4-BE49-F238E27FC236}">
              <a16:creationId xmlns:a16="http://schemas.microsoft.com/office/drawing/2014/main" id="{5A69AD5E-C771-3ECE-532C-C46DEF4A27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596900</xdr:colOff>
      <xdr:row>2</xdr:row>
      <xdr:rowOff>0</xdr:rowOff>
    </xdr:from>
    <xdr:to>
      <xdr:col>15</xdr:col>
      <xdr:colOff>596900</xdr:colOff>
      <xdr:row>20</xdr:row>
      <xdr:rowOff>57150</xdr:rowOff>
    </xdr:to>
    <xdr:graphicFrame macro="">
      <xdr:nvGraphicFramePr>
        <xdr:cNvPr id="2" name="LiquidByTaxBucket">
          <a:extLst>
            <a:ext uri="{FF2B5EF4-FFF2-40B4-BE49-F238E27FC236}">
              <a16:creationId xmlns:a16="http://schemas.microsoft.com/office/drawing/2014/main" id="{BA67C0C2-C096-11A7-FF6B-43E7C4E575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796"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10AECE6-0100-49A7-88D8-4CAE3B140265}">
  <we:reference id="WA200011056" version="1.0.0.2" store="Omex" storeType="OMEX"/>
  <we:alternateReferences>
    <we:reference id="WA200011056" version="1.0.0.2" store="WA200011056" storeType="OMEX"/>
  </we:alternateReferences>
  <we:properties>
    <we:property name="grokConversationBinding" value="{&quot;responseId&quot;:&quot;85a595e4-df83-94dc-97ba-c1c9d70a3470&quot;,&quot;title&quot;:&quot;Asset Evolution Retirement Tracker&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C80EA5-05E3-47BB-A762-AE4ECEF95082}">
  <dimension ref="A1:AB42"/>
  <sheetViews>
    <sheetView zoomScale="110" zoomScaleNormal="110" workbookViewId="0">
      <selection activeCell="C25" sqref="C25"/>
    </sheetView>
  </sheetViews>
  <sheetFormatPr defaultRowHeight="14.4" x14ac:dyDescent="0.55000000000000004"/>
  <cols>
    <col min="1" max="1" width="50.83984375" customWidth="1"/>
    <col min="2" max="2" width="32.68359375" customWidth="1"/>
    <col min="3" max="3" width="33" bestFit="1" customWidth="1"/>
  </cols>
  <sheetData>
    <row r="1" spans="1:28" ht="18.3" x14ac:dyDescent="0.7">
      <c r="A1" s="267">
        <v>0.01</v>
      </c>
      <c r="B1" s="267"/>
      <c r="C1" s="267"/>
      <c r="D1" s="267"/>
      <c r="E1" s="267"/>
      <c r="F1" s="267"/>
      <c r="Z1" s="15" t="s">
        <v>0</v>
      </c>
      <c r="AA1" s="15" t="s">
        <v>1</v>
      </c>
      <c r="AB1" s="15" t="s">
        <v>2</v>
      </c>
    </row>
    <row r="2" spans="1:28" x14ac:dyDescent="0.55000000000000004">
      <c r="Z2" s="2">
        <v>0</v>
      </c>
      <c r="AA2" s="11">
        <v>0</v>
      </c>
      <c r="AB2" t="s">
        <v>3</v>
      </c>
    </row>
    <row r="3" spans="1:28" x14ac:dyDescent="0.55000000000000004">
      <c r="A3" s="49" t="s">
        <v>4</v>
      </c>
      <c r="Z3" s="2">
        <v>2.5000000000000001E-3</v>
      </c>
      <c r="AA3" s="11">
        <v>0.1</v>
      </c>
      <c r="AB3" t="s">
        <v>5</v>
      </c>
    </row>
    <row r="4" spans="1:28" x14ac:dyDescent="0.55000000000000004">
      <c r="A4" t="s">
        <v>6</v>
      </c>
      <c r="B4" s="5">
        <v>32143</v>
      </c>
      <c r="C4" s="47" t="s">
        <v>7</v>
      </c>
      <c r="Z4" s="2">
        <v>5.0000000000000001E-3</v>
      </c>
      <c r="AA4" s="11">
        <v>0.2</v>
      </c>
      <c r="AB4" t="s">
        <v>8</v>
      </c>
    </row>
    <row r="5" spans="1:28" x14ac:dyDescent="0.55000000000000004">
      <c r="A5" t="s">
        <v>9</v>
      </c>
      <c r="B5" s="6">
        <v>38</v>
      </c>
      <c r="Z5" s="2">
        <v>7.4999999999999997E-3</v>
      </c>
      <c r="AA5" s="11">
        <v>0.30000000000000004</v>
      </c>
      <c r="AB5" t="s">
        <v>10</v>
      </c>
    </row>
    <row r="6" spans="1:28" x14ac:dyDescent="0.55000000000000004">
      <c r="A6" t="s">
        <v>11</v>
      </c>
      <c r="B6" s="7" t="s">
        <v>5</v>
      </c>
      <c r="C6" s="47" t="s">
        <v>12</v>
      </c>
      <c r="Z6" s="2">
        <v>0.01</v>
      </c>
      <c r="AA6" s="11">
        <v>0.4</v>
      </c>
      <c r="AB6" t="s">
        <v>13</v>
      </c>
    </row>
    <row r="7" spans="1:28" x14ac:dyDescent="0.55000000000000004">
      <c r="A7" t="s">
        <v>14</v>
      </c>
      <c r="B7" s="7" t="s">
        <v>489</v>
      </c>
      <c r="Z7" s="2">
        <v>1.2500000000000001E-2</v>
      </c>
      <c r="AA7" s="11">
        <v>0.5</v>
      </c>
    </row>
    <row r="8" spans="1:28" x14ac:dyDescent="0.55000000000000004">
      <c r="A8" t="s">
        <v>15</v>
      </c>
      <c r="B8" s="40">
        <v>65</v>
      </c>
      <c r="Z8" s="2">
        <v>1.4999999999999999E-2</v>
      </c>
      <c r="AA8" s="11">
        <v>0.60000000000000009</v>
      </c>
    </row>
    <row r="9" spans="1:28" x14ac:dyDescent="0.55000000000000004">
      <c r="A9" t="s">
        <v>16</v>
      </c>
      <c r="B9" s="7">
        <v>85</v>
      </c>
      <c r="Z9" s="2">
        <v>1.7500000000000002E-2</v>
      </c>
      <c r="AA9" s="11">
        <v>0.70000000000000007</v>
      </c>
    </row>
    <row r="10" spans="1:28" x14ac:dyDescent="0.55000000000000004">
      <c r="Z10" s="2">
        <v>0.02</v>
      </c>
      <c r="AA10" s="11">
        <v>0.8</v>
      </c>
    </row>
    <row r="11" spans="1:28" x14ac:dyDescent="0.55000000000000004">
      <c r="A11" s="49" t="s">
        <v>17</v>
      </c>
      <c r="Z11" s="2">
        <v>2.2499999999999999E-2</v>
      </c>
      <c r="AA11" s="11">
        <v>0.9</v>
      </c>
    </row>
    <row r="12" spans="1:28" x14ac:dyDescent="0.55000000000000004">
      <c r="A12" t="s">
        <v>18</v>
      </c>
      <c r="B12" s="8">
        <v>0.03</v>
      </c>
      <c r="Z12" s="2">
        <v>2.5000000000000001E-2</v>
      </c>
      <c r="AA12" s="11">
        <v>1</v>
      </c>
    </row>
    <row r="13" spans="1:28" x14ac:dyDescent="0.55000000000000004">
      <c r="A13" t="s">
        <v>19</v>
      </c>
      <c r="B13" s="8">
        <v>0.06</v>
      </c>
      <c r="Z13" s="2">
        <v>2.75E-2</v>
      </c>
    </row>
    <row r="14" spans="1:28" x14ac:dyDescent="0.55000000000000004">
      <c r="A14" t="s">
        <v>20</v>
      </c>
      <c r="B14" s="8">
        <v>0.04</v>
      </c>
      <c r="Z14" s="2">
        <v>0.03</v>
      </c>
    </row>
    <row r="15" spans="1:28" x14ac:dyDescent="0.55000000000000004">
      <c r="A15" t="s">
        <v>21</v>
      </c>
      <c r="B15" s="9">
        <v>0</v>
      </c>
      <c r="Z15" s="2">
        <v>3.2500000000000001E-2</v>
      </c>
    </row>
    <row r="16" spans="1:28" x14ac:dyDescent="0.55000000000000004">
      <c r="Z16" s="2">
        <v>3.5000000000000003E-2</v>
      </c>
    </row>
    <row r="17" spans="1:26" x14ac:dyDescent="0.55000000000000004">
      <c r="A17" s="49" t="s">
        <v>22</v>
      </c>
      <c r="Z17" s="2">
        <v>3.7499999999999999E-2</v>
      </c>
    </row>
    <row r="18" spans="1:26" x14ac:dyDescent="0.55000000000000004">
      <c r="A18" t="s">
        <v>520</v>
      </c>
      <c r="B18" s="9">
        <v>1500000</v>
      </c>
      <c r="Z18" s="2">
        <v>0.04</v>
      </c>
    </row>
    <row r="19" spans="1:26" x14ac:dyDescent="0.55000000000000004">
      <c r="A19" t="s">
        <v>521</v>
      </c>
      <c r="B19" s="9">
        <v>0</v>
      </c>
      <c r="Z19" s="2">
        <v>4.2500000000000003E-2</v>
      </c>
    </row>
    <row r="20" spans="1:26" x14ac:dyDescent="0.55000000000000004">
      <c r="A20" t="s">
        <v>518</v>
      </c>
      <c r="B20" s="9">
        <v>1000000</v>
      </c>
      <c r="Z20" s="2">
        <v>4.4999999999999998E-2</v>
      </c>
    </row>
    <row r="21" spans="1:26" x14ac:dyDescent="0.55000000000000004">
      <c r="A21" t="s">
        <v>519</v>
      </c>
      <c r="B21" s="9">
        <v>0</v>
      </c>
      <c r="Z21" s="2">
        <v>4.7500000000000001E-2</v>
      </c>
    </row>
    <row r="22" spans="1:26" x14ac:dyDescent="0.55000000000000004">
      <c r="A22" t="s">
        <v>522</v>
      </c>
      <c r="B22" s="9">
        <v>0</v>
      </c>
      <c r="Z22" s="2">
        <v>0.05</v>
      </c>
    </row>
    <row r="23" spans="1:26" x14ac:dyDescent="0.55000000000000004">
      <c r="A23" t="s">
        <v>23</v>
      </c>
      <c r="B23" s="9">
        <v>0</v>
      </c>
      <c r="Z23" s="2">
        <v>5.2499999999999998E-2</v>
      </c>
    </row>
    <row r="24" spans="1:26" x14ac:dyDescent="0.55000000000000004">
      <c r="A24" t="s">
        <v>24</v>
      </c>
      <c r="B24" s="10">
        <f>SUM(B18:B23)</f>
        <v>2500000</v>
      </c>
      <c r="Z24" s="2">
        <v>5.5E-2</v>
      </c>
    </row>
    <row r="25" spans="1:26" x14ac:dyDescent="0.55000000000000004">
      <c r="Z25" s="2">
        <v>5.7500000000000002E-2</v>
      </c>
    </row>
    <row r="26" spans="1:26" x14ac:dyDescent="0.55000000000000004">
      <c r="A26" s="49" t="s">
        <v>25</v>
      </c>
      <c r="Z26" s="2">
        <v>0.06</v>
      </c>
    </row>
    <row r="27" spans="1:26" x14ac:dyDescent="0.55000000000000004">
      <c r="A27" t="s">
        <v>502</v>
      </c>
      <c r="B27" s="12">
        <v>1</v>
      </c>
      <c r="Z27" s="2">
        <v>6.25E-2</v>
      </c>
    </row>
    <row r="28" spans="1:26" x14ac:dyDescent="0.55000000000000004">
      <c r="A28" t="s">
        <v>503</v>
      </c>
      <c r="B28" s="12">
        <v>1</v>
      </c>
      <c r="Z28" s="2">
        <v>6.5000000000000002E-2</v>
      </c>
    </row>
    <row r="29" spans="1:26" x14ac:dyDescent="0.55000000000000004">
      <c r="A29" t="s">
        <v>504</v>
      </c>
      <c r="B29" s="12">
        <v>1</v>
      </c>
      <c r="Z29" s="2">
        <v>6.7500000000000004E-2</v>
      </c>
    </row>
    <row r="30" spans="1:26" x14ac:dyDescent="0.55000000000000004">
      <c r="A30" t="s">
        <v>505</v>
      </c>
      <c r="B30" s="12">
        <v>1</v>
      </c>
      <c r="Z30" s="2">
        <v>7.0000000000000007E-2</v>
      </c>
    </row>
    <row r="31" spans="1:26" x14ac:dyDescent="0.55000000000000004">
      <c r="A31" t="s">
        <v>506</v>
      </c>
      <c r="B31" s="12">
        <v>1</v>
      </c>
      <c r="Z31" s="2">
        <v>7.2499999999999995E-2</v>
      </c>
    </row>
    <row r="32" spans="1:26" x14ac:dyDescent="0.55000000000000004">
      <c r="A32" t="s">
        <v>507</v>
      </c>
      <c r="B32" s="12">
        <v>1</v>
      </c>
      <c r="Z32" s="2">
        <v>7.4999999999999997E-2</v>
      </c>
    </row>
    <row r="33" spans="26:26" x14ac:dyDescent="0.55000000000000004">
      <c r="Z33" s="2">
        <v>7.7499999999999999E-2</v>
      </c>
    </row>
    <row r="34" spans="26:26" x14ac:dyDescent="0.55000000000000004">
      <c r="Z34" s="2">
        <v>0.08</v>
      </c>
    </row>
    <row r="35" spans="26:26" x14ac:dyDescent="0.55000000000000004">
      <c r="Z35" s="2">
        <v>8.2500000000000004E-2</v>
      </c>
    </row>
    <row r="36" spans="26:26" x14ac:dyDescent="0.55000000000000004">
      <c r="Z36" s="2">
        <v>8.5000000000000006E-2</v>
      </c>
    </row>
    <row r="37" spans="26:26" x14ac:dyDescent="0.55000000000000004">
      <c r="Z37" s="2">
        <v>8.7500000000000008E-2</v>
      </c>
    </row>
    <row r="38" spans="26:26" x14ac:dyDescent="0.55000000000000004">
      <c r="Z38" s="2">
        <v>0.09</v>
      </c>
    </row>
    <row r="39" spans="26:26" x14ac:dyDescent="0.55000000000000004">
      <c r="Z39" s="2">
        <v>9.2499999999999999E-2</v>
      </c>
    </row>
    <row r="40" spans="26:26" x14ac:dyDescent="0.55000000000000004">
      <c r="Z40" s="2">
        <v>9.5000000000000001E-2</v>
      </c>
    </row>
    <row r="41" spans="26:26" x14ac:dyDescent="0.55000000000000004">
      <c r="Z41" s="2">
        <v>9.7500000000000003E-2</v>
      </c>
    </row>
    <row r="42" spans="26:26" x14ac:dyDescent="0.55000000000000004">
      <c r="Z42" s="2">
        <v>0.1</v>
      </c>
    </row>
  </sheetData>
  <mergeCells count="1">
    <mergeCell ref="A1:F1"/>
  </mergeCells>
  <phoneticPr fontId="20" type="noConversion"/>
  <dataValidations count="3">
    <dataValidation type="list" allowBlank="1" showInputMessage="1" showErrorMessage="1" errorTitle="Invalid rate" error="Select a value from the list (0%–10%, 0.25% steps)." promptTitle="Rate" prompt="Choose 0% to 10% in 0.25% steps." sqref="B12:B14" xr:uid="{3A0F7165-DE2E-47C2-834B-FF1206A4B402}">
      <formula1>$Z$2:$Z$42</formula1>
    </dataValidation>
    <dataValidation type="list" allowBlank="1" showInputMessage="1" showErrorMessage="1" errorTitle="Invalid %" error="Select a value from the list (0%–100%, 10% steps)." promptTitle="Ownership %" prompt="Choose 0% to 100% in 10% steps." sqref="B27:B32" xr:uid="{52CD1B16-4D53-4965-9951-A19089F5E212}">
      <formula1>$AA$2:$AA$12</formula1>
    </dataValidation>
    <dataValidation type="list" allowBlank="1" showInputMessage="1" showErrorMessage="1" errorTitle="Invalid status" error="Select an IRS filing status from the list." promptTitle="Filing Status" prompt="IRS classification. After a spouse dies, often Qualifying Surviving Spouse (up to 2 years) then Single/HoH — changes brackets, std deduction, IRMAA." sqref="B6" xr:uid="{CAD5F70D-9326-4E8D-8F1A-7A30307B1186}">
      <formula1>$AB$2:$AB$6</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errorTitle="Invalid age" error="Select an age from the list on SS Benefits A5:A8." promptTitle="Target Retirement Age" prompt="Pick a claim/retirement age from SS Benefits (62, 65, 67, 70)." xr:uid="{8BF543C2-F0C3-437D-936A-CFD6082365E3}">
          <x14:formula1>
            <xm:f>'SS Benefits'!$A$5:$A$8</xm:f>
          </x14:formula1>
          <xm:sqref>B8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5F479E-222D-47F6-8BB3-F4A9C21313D9}">
  <dimension ref="A1:J26"/>
  <sheetViews>
    <sheetView topLeftCell="B1" zoomScale="130" zoomScaleNormal="130" workbookViewId="0">
      <selection activeCell="B18" sqref="B18"/>
    </sheetView>
  </sheetViews>
  <sheetFormatPr defaultRowHeight="14.4" x14ac:dyDescent="0.55000000000000004"/>
  <cols>
    <col min="1" max="1" width="26.578125" bestFit="1" customWidth="1"/>
    <col min="2" max="2" width="61" bestFit="1" customWidth="1"/>
    <col min="3" max="3" width="13.15625" bestFit="1" customWidth="1"/>
    <col min="4" max="5" width="7.83984375" bestFit="1" customWidth="1"/>
    <col min="6" max="6" width="12.68359375" bestFit="1" customWidth="1"/>
    <col min="7" max="7" width="12.41796875" bestFit="1" customWidth="1"/>
    <col min="8" max="8" width="23.26171875" bestFit="1" customWidth="1"/>
    <col min="9" max="9" width="54.578125" customWidth="1"/>
    <col min="10" max="10" width="12.68359375" customWidth="1"/>
  </cols>
  <sheetData>
    <row r="1" spans="1:10" ht="18.3" x14ac:dyDescent="0.7">
      <c r="A1" s="267">
        <v>0.01</v>
      </c>
      <c r="B1" s="267"/>
      <c r="C1" s="267"/>
      <c r="D1" s="267"/>
      <c r="E1" s="267"/>
      <c r="F1" s="267"/>
    </row>
    <row r="3" spans="1:10" x14ac:dyDescent="0.55000000000000004">
      <c r="A3" s="48" t="s">
        <v>26</v>
      </c>
      <c r="B3" s="48" t="s">
        <v>27</v>
      </c>
      <c r="C3" s="48" t="s">
        <v>28</v>
      </c>
      <c r="D3" s="48" t="s">
        <v>29</v>
      </c>
      <c r="E3" s="48" t="s">
        <v>30</v>
      </c>
      <c r="F3" s="48" t="s">
        <v>31</v>
      </c>
      <c r="G3" s="48" t="s">
        <v>32</v>
      </c>
      <c r="H3" s="48" t="s">
        <v>33</v>
      </c>
      <c r="I3" s="48" t="s">
        <v>34</v>
      </c>
      <c r="J3" s="48" t="s">
        <v>35</v>
      </c>
    </row>
    <row r="4" spans="1:10" x14ac:dyDescent="0.55000000000000004">
      <c r="A4" t="s">
        <v>490</v>
      </c>
      <c r="B4" s="7" t="s">
        <v>491</v>
      </c>
      <c r="C4" s="7" t="s">
        <v>36</v>
      </c>
      <c r="D4" s="7" t="s">
        <v>37</v>
      </c>
      <c r="E4" s="7" t="s">
        <v>38</v>
      </c>
      <c r="F4" s="12">
        <v>1</v>
      </c>
      <c r="G4" s="7" t="s">
        <v>39</v>
      </c>
      <c r="H4" s="7" t="s">
        <v>39</v>
      </c>
      <c r="I4" s="7" t="s">
        <v>40</v>
      </c>
      <c r="J4" s="7" t="s">
        <v>41</v>
      </c>
    </row>
    <row r="5" spans="1:10" x14ac:dyDescent="0.55000000000000004">
      <c r="A5" t="s">
        <v>493</v>
      </c>
      <c r="B5" s="7" t="s">
        <v>492</v>
      </c>
      <c r="C5" s="7" t="s">
        <v>36</v>
      </c>
      <c r="D5" s="7" t="s">
        <v>37</v>
      </c>
      <c r="E5" s="7" t="s">
        <v>38</v>
      </c>
      <c r="F5" s="12">
        <v>1</v>
      </c>
      <c r="G5" s="7" t="s">
        <v>39</v>
      </c>
      <c r="H5" s="7" t="s">
        <v>39</v>
      </c>
      <c r="I5" s="7" t="s">
        <v>42</v>
      </c>
      <c r="J5" s="7" t="s">
        <v>41</v>
      </c>
    </row>
    <row r="6" spans="1:10" x14ac:dyDescent="0.55000000000000004">
      <c r="A6" t="s">
        <v>494</v>
      </c>
      <c r="B6" s="7" t="s">
        <v>495</v>
      </c>
      <c r="C6" s="7" t="s">
        <v>43</v>
      </c>
      <c r="D6" s="7" t="s">
        <v>37</v>
      </c>
      <c r="E6" s="7" t="s">
        <v>38</v>
      </c>
      <c r="F6" s="12">
        <v>1</v>
      </c>
      <c r="G6" s="7" t="s">
        <v>41</v>
      </c>
      <c r="H6" s="7" t="s">
        <v>41</v>
      </c>
      <c r="I6" s="7" t="s">
        <v>44</v>
      </c>
      <c r="J6" s="7" t="s">
        <v>41</v>
      </c>
    </row>
    <row r="7" spans="1:10" x14ac:dyDescent="0.55000000000000004">
      <c r="A7" t="s">
        <v>496</v>
      </c>
      <c r="B7" s="7" t="s">
        <v>45</v>
      </c>
      <c r="C7" s="7" t="s">
        <v>45</v>
      </c>
      <c r="D7" s="7" t="s">
        <v>37</v>
      </c>
      <c r="E7" s="7" t="s">
        <v>38</v>
      </c>
      <c r="F7" s="12">
        <v>1</v>
      </c>
      <c r="G7" s="7" t="s">
        <v>39</v>
      </c>
      <c r="H7" s="7" t="s">
        <v>39</v>
      </c>
      <c r="I7" s="7" t="s">
        <v>46</v>
      </c>
      <c r="J7" s="7" t="s">
        <v>41</v>
      </c>
    </row>
    <row r="8" spans="1:10" x14ac:dyDescent="0.55000000000000004">
      <c r="A8" t="s">
        <v>497</v>
      </c>
      <c r="B8" s="7" t="s">
        <v>47</v>
      </c>
      <c r="C8" s="7" t="s">
        <v>47</v>
      </c>
      <c r="D8" s="7" t="s">
        <v>47</v>
      </c>
      <c r="E8" s="7" t="s">
        <v>38</v>
      </c>
      <c r="F8" s="12">
        <v>1</v>
      </c>
      <c r="G8" s="7" t="s">
        <v>39</v>
      </c>
      <c r="H8" s="7" t="s">
        <v>39</v>
      </c>
      <c r="I8" s="7" t="s">
        <v>48</v>
      </c>
      <c r="J8" s="7" t="s">
        <v>41</v>
      </c>
    </row>
    <row r="9" spans="1:10" x14ac:dyDescent="0.55000000000000004">
      <c r="A9" t="s">
        <v>508</v>
      </c>
      <c r="B9" s="7" t="s">
        <v>498</v>
      </c>
      <c r="C9" s="7" t="s">
        <v>36</v>
      </c>
      <c r="D9" s="7" t="s">
        <v>37</v>
      </c>
      <c r="E9" s="7" t="s">
        <v>38</v>
      </c>
      <c r="F9" s="12">
        <v>1</v>
      </c>
      <c r="G9" s="7" t="s">
        <v>39</v>
      </c>
      <c r="H9" s="7" t="s">
        <v>39</v>
      </c>
      <c r="I9" s="7" t="s">
        <v>49</v>
      </c>
      <c r="J9" s="7" t="s">
        <v>41</v>
      </c>
    </row>
    <row r="10" spans="1:10" x14ac:dyDescent="0.55000000000000004">
      <c r="A10" t="s">
        <v>509</v>
      </c>
      <c r="B10" s="7" t="s">
        <v>499</v>
      </c>
      <c r="C10" s="7" t="s">
        <v>36</v>
      </c>
      <c r="D10" s="7" t="s">
        <v>37</v>
      </c>
      <c r="E10" s="7" t="s">
        <v>38</v>
      </c>
      <c r="F10" s="12">
        <v>1</v>
      </c>
      <c r="G10" s="7" t="s">
        <v>39</v>
      </c>
      <c r="H10" s="7" t="s">
        <v>39</v>
      </c>
      <c r="I10" s="7" t="s">
        <v>50</v>
      </c>
      <c r="J10" s="7" t="s">
        <v>41</v>
      </c>
    </row>
    <row r="11" spans="1:10" x14ac:dyDescent="0.55000000000000004">
      <c r="A11" t="s">
        <v>510</v>
      </c>
      <c r="B11" s="7" t="s">
        <v>500</v>
      </c>
      <c r="C11" s="7" t="s">
        <v>51</v>
      </c>
      <c r="D11" s="7" t="s">
        <v>37</v>
      </c>
      <c r="E11" s="7" t="s">
        <v>38</v>
      </c>
      <c r="F11" s="12">
        <v>1</v>
      </c>
      <c r="G11" s="7" t="s">
        <v>41</v>
      </c>
      <c r="H11" s="7" t="s">
        <v>41</v>
      </c>
      <c r="I11" s="7" t="s">
        <v>52</v>
      </c>
      <c r="J11" s="7" t="s">
        <v>39</v>
      </c>
    </row>
    <row r="12" spans="1:10" x14ac:dyDescent="0.55000000000000004">
      <c r="A12" t="s">
        <v>511</v>
      </c>
      <c r="B12" s="7" t="s">
        <v>501</v>
      </c>
      <c r="C12" s="7" t="s">
        <v>53</v>
      </c>
      <c r="D12" s="7" t="s">
        <v>37</v>
      </c>
      <c r="E12" s="7" t="s">
        <v>38</v>
      </c>
      <c r="F12" s="12">
        <v>1</v>
      </c>
      <c r="G12" s="7" t="s">
        <v>39</v>
      </c>
      <c r="H12" s="7" t="s">
        <v>39</v>
      </c>
      <c r="I12" s="7" t="s">
        <v>54</v>
      </c>
      <c r="J12" s="7" t="s">
        <v>39</v>
      </c>
    </row>
    <row r="13" spans="1:10" x14ac:dyDescent="0.55000000000000004">
      <c r="A13" t="s">
        <v>512</v>
      </c>
      <c r="B13" s="7" t="s">
        <v>502</v>
      </c>
      <c r="C13" s="7" t="s">
        <v>55</v>
      </c>
      <c r="D13" s="7" t="s">
        <v>56</v>
      </c>
      <c r="E13" s="7" t="s">
        <v>38</v>
      </c>
      <c r="F13" s="14">
        <f>Inputs!B27</f>
        <v>1</v>
      </c>
      <c r="G13" s="7" t="s">
        <v>39</v>
      </c>
      <c r="H13" s="7" t="s">
        <v>39</v>
      </c>
      <c r="I13" s="7" t="s">
        <v>57</v>
      </c>
      <c r="J13" s="7" t="s">
        <v>41</v>
      </c>
    </row>
    <row r="14" spans="1:10" x14ac:dyDescent="0.55000000000000004">
      <c r="A14" t="s">
        <v>513</v>
      </c>
      <c r="B14" s="7" t="s">
        <v>503</v>
      </c>
      <c r="C14" s="7" t="s">
        <v>55</v>
      </c>
      <c r="D14" s="7" t="s">
        <v>56</v>
      </c>
      <c r="E14" s="7" t="s">
        <v>38</v>
      </c>
      <c r="F14" s="14">
        <f>Inputs!B28</f>
        <v>1</v>
      </c>
      <c r="G14" s="7" t="s">
        <v>39</v>
      </c>
      <c r="H14" s="7" t="s">
        <v>39</v>
      </c>
      <c r="I14" s="7" t="s">
        <v>58</v>
      </c>
      <c r="J14" s="7" t="s">
        <v>41</v>
      </c>
    </row>
    <row r="15" spans="1:10" x14ac:dyDescent="0.55000000000000004">
      <c r="A15" t="s">
        <v>514</v>
      </c>
      <c r="B15" s="7" t="s">
        <v>504</v>
      </c>
      <c r="C15" s="7" t="s">
        <v>55</v>
      </c>
      <c r="D15" s="7" t="s">
        <v>56</v>
      </c>
      <c r="E15" s="7" t="s">
        <v>38</v>
      </c>
      <c r="F15" s="14">
        <f>Inputs!B29</f>
        <v>1</v>
      </c>
      <c r="G15" s="7" t="s">
        <v>39</v>
      </c>
      <c r="H15" s="7" t="s">
        <v>39</v>
      </c>
      <c r="I15" s="7" t="s">
        <v>58</v>
      </c>
      <c r="J15" s="7" t="s">
        <v>41</v>
      </c>
    </row>
    <row r="16" spans="1:10" x14ac:dyDescent="0.55000000000000004">
      <c r="A16" t="s">
        <v>515</v>
      </c>
      <c r="B16" s="7" t="s">
        <v>505</v>
      </c>
      <c r="C16" s="7" t="s">
        <v>55</v>
      </c>
      <c r="D16" s="7" t="s">
        <v>56</v>
      </c>
      <c r="E16" s="7" t="s">
        <v>38</v>
      </c>
      <c r="F16" s="14">
        <f>Inputs!B30</f>
        <v>1</v>
      </c>
      <c r="G16" s="7" t="s">
        <v>39</v>
      </c>
      <c r="H16" s="7" t="s">
        <v>39</v>
      </c>
      <c r="I16" s="7" t="s">
        <v>58</v>
      </c>
      <c r="J16" s="7" t="s">
        <v>41</v>
      </c>
    </row>
    <row r="17" spans="1:10" x14ac:dyDescent="0.55000000000000004">
      <c r="A17" t="s">
        <v>516</v>
      </c>
      <c r="B17" s="7" t="s">
        <v>506</v>
      </c>
      <c r="C17" s="7" t="s">
        <v>55</v>
      </c>
      <c r="D17" s="7" t="s">
        <v>56</v>
      </c>
      <c r="E17" s="7" t="s">
        <v>38</v>
      </c>
      <c r="F17" s="14">
        <f>Inputs!B31</f>
        <v>1</v>
      </c>
      <c r="G17" s="7" t="s">
        <v>39</v>
      </c>
      <c r="H17" s="7" t="s">
        <v>39</v>
      </c>
      <c r="I17" s="7" t="s">
        <v>58</v>
      </c>
      <c r="J17" s="7" t="s">
        <v>41</v>
      </c>
    </row>
    <row r="18" spans="1:10" x14ac:dyDescent="0.55000000000000004">
      <c r="A18" t="s">
        <v>517</v>
      </c>
      <c r="B18" s="7" t="s">
        <v>507</v>
      </c>
      <c r="C18" s="7" t="s">
        <v>55</v>
      </c>
      <c r="D18" s="7" t="s">
        <v>56</v>
      </c>
      <c r="E18" s="7" t="s">
        <v>38</v>
      </c>
      <c r="F18" s="14">
        <f>Inputs!B32</f>
        <v>1</v>
      </c>
      <c r="G18" s="7" t="s">
        <v>39</v>
      </c>
      <c r="H18" s="7" t="s">
        <v>39</v>
      </c>
      <c r="I18" s="7" t="s">
        <v>58</v>
      </c>
      <c r="J18" s="7" t="s">
        <v>41</v>
      </c>
    </row>
    <row r="20" spans="1:10" x14ac:dyDescent="0.55000000000000004">
      <c r="A20" s="49" t="s">
        <v>59</v>
      </c>
    </row>
    <row r="21" spans="1:10" x14ac:dyDescent="0.55000000000000004">
      <c r="A21" t="s">
        <v>45</v>
      </c>
      <c r="B21" s="7" t="s">
        <v>60</v>
      </c>
    </row>
    <row r="22" spans="1:10" x14ac:dyDescent="0.55000000000000004">
      <c r="A22" t="s">
        <v>36</v>
      </c>
      <c r="B22" s="7" t="s">
        <v>61</v>
      </c>
    </row>
    <row r="23" spans="1:10" x14ac:dyDescent="0.55000000000000004">
      <c r="A23" t="s">
        <v>62</v>
      </c>
      <c r="B23" s="7" t="s">
        <v>63</v>
      </c>
    </row>
    <row r="24" spans="1:10" x14ac:dyDescent="0.55000000000000004">
      <c r="A24" t="s">
        <v>53</v>
      </c>
      <c r="B24" s="7" t="s">
        <v>64</v>
      </c>
    </row>
    <row r="25" spans="1:10" x14ac:dyDescent="0.55000000000000004">
      <c r="A25" t="s">
        <v>55</v>
      </c>
      <c r="B25" s="7" t="s">
        <v>65</v>
      </c>
    </row>
    <row r="26" spans="1:10" x14ac:dyDescent="0.55000000000000004">
      <c r="A26" t="s">
        <v>47</v>
      </c>
      <c r="B26" s="7" t="s">
        <v>66</v>
      </c>
    </row>
  </sheetData>
  <mergeCells count="1">
    <mergeCell ref="A1:F1"/>
  </mergeCells>
  <phoneticPr fontId="20"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AE89C-14A5-415E-BCD1-422085722FE8}">
  <dimension ref="A1:AC28"/>
  <sheetViews>
    <sheetView zoomScaleNormal="100" workbookViewId="0">
      <selection activeCell="E17" sqref="E17"/>
    </sheetView>
  </sheetViews>
  <sheetFormatPr defaultRowHeight="14.4" x14ac:dyDescent="0.55000000000000004"/>
  <cols>
    <col min="1" max="1" width="9.26171875" customWidth="1"/>
    <col min="2" max="2" width="18.68359375" customWidth="1"/>
    <col min="3" max="7" width="17.26171875" customWidth="1"/>
    <col min="8" max="10" width="15.41796875" customWidth="1"/>
    <col min="11" max="11" width="19.15625" customWidth="1"/>
    <col min="12" max="12" width="17.26171875" customWidth="1"/>
    <col min="13" max="13" width="16.41796875" customWidth="1"/>
    <col min="14" max="14" width="13.578125" customWidth="1"/>
    <col min="15" max="15" width="14.578125" customWidth="1"/>
    <col min="16" max="17" width="15.41796875" customWidth="1"/>
    <col min="18" max="18" width="11.83984375" customWidth="1"/>
    <col min="19" max="19" width="9.15625" customWidth="1"/>
    <col min="20" max="22" width="16.41796875" customWidth="1"/>
    <col min="23" max="23" width="17.26171875" customWidth="1"/>
    <col min="24" max="24" width="15.41796875" customWidth="1"/>
    <col min="25" max="25" width="16.41796875" customWidth="1"/>
    <col min="26" max="27" width="19.15625" customWidth="1"/>
    <col min="28" max="28" width="13.578125" customWidth="1"/>
    <col min="29" max="29" width="19.15625" customWidth="1"/>
  </cols>
  <sheetData>
    <row r="1" spans="1:29" ht="18.3" x14ac:dyDescent="0.7">
      <c r="A1" s="267" t="s">
        <v>67</v>
      </c>
      <c r="B1" s="267"/>
      <c r="C1" s="267"/>
      <c r="D1" s="267"/>
      <c r="E1" s="267"/>
      <c r="F1" s="267"/>
      <c r="G1" s="267"/>
      <c r="H1" s="267"/>
      <c r="I1" s="267"/>
      <c r="J1" s="267"/>
      <c r="K1" s="267"/>
      <c r="L1" s="267"/>
      <c r="M1" s="267"/>
      <c r="N1" s="267"/>
      <c r="O1" s="267"/>
      <c r="P1" s="267"/>
      <c r="Q1" s="267"/>
      <c r="R1" s="267"/>
      <c r="S1" s="267"/>
      <c r="T1" s="267"/>
      <c r="U1" s="267"/>
      <c r="V1" s="267"/>
      <c r="W1" s="267"/>
      <c r="X1" s="267"/>
      <c r="Y1" s="267"/>
      <c r="Z1" s="267"/>
      <c r="AA1" s="267"/>
    </row>
    <row r="2" spans="1:29" x14ac:dyDescent="0.55000000000000004">
      <c r="A2" s="268" t="s">
        <v>68</v>
      </c>
      <c r="B2" s="268"/>
      <c r="C2" s="268"/>
      <c r="D2" s="268"/>
      <c r="E2" s="268"/>
      <c r="F2" s="268"/>
      <c r="G2" s="268"/>
      <c r="H2" s="268"/>
      <c r="I2" s="268"/>
      <c r="J2" s="268"/>
      <c r="K2" s="268"/>
      <c r="L2" s="268"/>
      <c r="M2" s="268"/>
      <c r="N2" s="268"/>
      <c r="O2" s="268"/>
      <c r="P2" s="268"/>
      <c r="Q2" s="268"/>
      <c r="R2" s="268"/>
      <c r="S2" s="268"/>
      <c r="T2" s="268"/>
      <c r="U2" s="268"/>
      <c r="V2" s="268"/>
      <c r="W2" s="268"/>
      <c r="X2" s="268"/>
      <c r="Y2" s="268"/>
      <c r="Z2" s="268"/>
      <c r="AA2" s="268"/>
    </row>
    <row r="3" spans="1:29" ht="30" customHeight="1" x14ac:dyDescent="0.55000000000000004">
      <c r="A3" s="33" t="s">
        <v>69</v>
      </c>
      <c r="B3" s="33" t="s">
        <v>617</v>
      </c>
      <c r="C3" s="33" t="s">
        <v>618</v>
      </c>
      <c r="D3" s="33" t="s">
        <v>495</v>
      </c>
      <c r="E3" s="33" t="s">
        <v>45</v>
      </c>
      <c r="F3" s="33" t="s">
        <v>47</v>
      </c>
      <c r="G3" s="33" t="s">
        <v>616</v>
      </c>
      <c r="H3" s="33" t="s">
        <v>499</v>
      </c>
      <c r="I3" s="33" t="s">
        <v>500</v>
      </c>
      <c r="J3" s="33" t="s">
        <v>501</v>
      </c>
      <c r="K3" s="33" t="s">
        <v>70</v>
      </c>
      <c r="L3" s="33" t="s">
        <v>36</v>
      </c>
      <c r="M3" s="33" t="s">
        <v>71</v>
      </c>
      <c r="N3" s="33" t="s">
        <v>72</v>
      </c>
      <c r="O3" s="33" t="s">
        <v>45</v>
      </c>
      <c r="P3" s="33" t="s">
        <v>73</v>
      </c>
      <c r="Q3" s="33" t="s">
        <v>74</v>
      </c>
      <c r="R3" s="33" t="s">
        <v>75</v>
      </c>
      <c r="S3" s="33" t="s">
        <v>76</v>
      </c>
      <c r="T3" s="33" t="s">
        <v>502</v>
      </c>
      <c r="U3" s="33" t="s">
        <v>503</v>
      </c>
      <c r="V3" s="33" t="s">
        <v>504</v>
      </c>
      <c r="W3" s="33" t="s">
        <v>505</v>
      </c>
      <c r="X3" s="33" t="s">
        <v>506</v>
      </c>
      <c r="Y3" s="33" t="s">
        <v>507</v>
      </c>
      <c r="Z3" s="33" t="s">
        <v>77</v>
      </c>
      <c r="AA3" s="33" t="s">
        <v>78</v>
      </c>
      <c r="AB3" s="33" t="s">
        <v>69</v>
      </c>
      <c r="AC3" s="33" t="s">
        <v>70</v>
      </c>
    </row>
    <row r="4" spans="1:29" x14ac:dyDescent="0.55000000000000004">
      <c r="A4" s="16">
        <v>45505</v>
      </c>
      <c r="B4" s="9">
        <v>173.67</v>
      </c>
      <c r="C4" s="9">
        <v>1.46</v>
      </c>
      <c r="D4" s="9">
        <v>173758.4</v>
      </c>
      <c r="E4" s="9">
        <v>59874</v>
      </c>
      <c r="F4" s="9">
        <v>0</v>
      </c>
      <c r="G4" s="9">
        <v>583</v>
      </c>
      <c r="H4" s="9">
        <v>0</v>
      </c>
      <c r="I4" s="9">
        <v>0</v>
      </c>
      <c r="J4" s="9">
        <v>0</v>
      </c>
      <c r="K4" s="10">
        <f t="shared" ref="K4" si="0">SUM(B4:J4)</f>
        <v>234390.53</v>
      </c>
      <c r="L4" s="3">
        <f t="shared" ref="L4" si="1">B4+C4+G4+H4</f>
        <v>758.13</v>
      </c>
      <c r="M4" s="3">
        <f t="shared" ref="M4" si="2">D4+I4</f>
        <v>173758.4</v>
      </c>
      <c r="N4" s="3">
        <f t="shared" ref="N4" si="3">J4</f>
        <v>0</v>
      </c>
      <c r="O4" s="3">
        <f t="shared" ref="O4" si="4">E4</f>
        <v>59874</v>
      </c>
      <c r="P4" s="3"/>
      <c r="Q4" s="3"/>
      <c r="R4" s="17"/>
      <c r="S4" s="6">
        <f>IF(A4="","",DATEDIF(Inputs!$B$4,A4,"Y"))</f>
        <v>36</v>
      </c>
      <c r="T4" s="9"/>
      <c r="U4" s="9"/>
      <c r="V4" s="9"/>
      <c r="W4" s="9"/>
      <c r="X4" s="9">
        <v>600000</v>
      </c>
      <c r="Y4" s="9"/>
      <c r="Z4" s="3">
        <f>T4*Inputs!$B$27+U4*Inputs!$B$28+V4*Inputs!$B$29+W4*Inputs!$B$30+X4*Inputs!$B$31+Y4*Inputs!$B$32</f>
        <v>600000</v>
      </c>
      <c r="AA4" s="10">
        <f t="shared" ref="AA4" si="5">K4+Z4</f>
        <v>834390.53</v>
      </c>
      <c r="AB4" s="16">
        <f t="shared" ref="AB4" si="6">A4</f>
        <v>45505</v>
      </c>
      <c r="AC4" s="3">
        <f t="shared" ref="AC4" si="7">K4</f>
        <v>234390.53</v>
      </c>
    </row>
    <row r="5" spans="1:29" x14ac:dyDescent="0.55000000000000004">
      <c r="A5" s="16">
        <v>45536</v>
      </c>
      <c r="B5" s="9">
        <v>674.4</v>
      </c>
      <c r="C5" s="9">
        <v>285.77</v>
      </c>
      <c r="D5" s="9">
        <v>175750.95</v>
      </c>
      <c r="E5" s="9">
        <v>59965.63</v>
      </c>
      <c r="F5" s="9">
        <v>0</v>
      </c>
      <c r="G5" s="9">
        <v>719.83</v>
      </c>
      <c r="H5" s="9">
        <v>180</v>
      </c>
      <c r="I5" s="9">
        <v>300</v>
      </c>
      <c r="J5" s="9">
        <v>225</v>
      </c>
      <c r="K5" s="10">
        <f>SUM(B5:J5)</f>
        <v>238101.58000000002</v>
      </c>
      <c r="L5" s="3">
        <f>B5+C5+G5+H5</f>
        <v>1860</v>
      </c>
      <c r="M5" s="3">
        <f>D5+I5</f>
        <v>176050.95</v>
      </c>
      <c r="N5" s="3">
        <f>J5</f>
        <v>225</v>
      </c>
      <c r="O5" s="3">
        <f>E5</f>
        <v>59965.63</v>
      </c>
      <c r="P5" s="3">
        <f>K5-K4</f>
        <v>3711.0500000000175</v>
      </c>
      <c r="Q5" s="3"/>
      <c r="R5" s="17">
        <f>IFERROR(P5/K4,"")</f>
        <v>1.5832764233264959E-2</v>
      </c>
      <c r="S5" s="6">
        <f>IF(A5="","",DATEDIF(Inputs!$B$4,A5,"Y"))</f>
        <v>36</v>
      </c>
      <c r="T5" s="9">
        <v>0</v>
      </c>
      <c r="U5" s="9">
        <v>0</v>
      </c>
      <c r="V5" s="9">
        <v>0</v>
      </c>
      <c r="W5" s="9">
        <v>0</v>
      </c>
      <c r="X5" s="9">
        <v>600000</v>
      </c>
      <c r="Y5" s="9">
        <v>0</v>
      </c>
      <c r="Z5" s="3">
        <f>T5*Inputs!$B$27+U5*Inputs!$B$28+V5*Inputs!$B$29+W5*Inputs!$B$30+X5*Inputs!$B$31+Y5*Inputs!$B$32</f>
        <v>600000</v>
      </c>
      <c r="AA5" s="10">
        <f>K5+Z5</f>
        <v>838101.58000000007</v>
      </c>
      <c r="AB5" s="16">
        <f>A5</f>
        <v>45536</v>
      </c>
      <c r="AC5" s="3">
        <f>K5</f>
        <v>238101.58000000002</v>
      </c>
    </row>
    <row r="6" spans="1:29" x14ac:dyDescent="0.55000000000000004">
      <c r="A6" s="16">
        <v>45566</v>
      </c>
      <c r="B6" s="9">
        <v>1105.51</v>
      </c>
      <c r="C6" s="9">
        <v>502.73</v>
      </c>
      <c r="D6" s="9">
        <v>177749.76000000001</v>
      </c>
      <c r="E6" s="9">
        <v>59980.959999999999</v>
      </c>
      <c r="F6" s="9">
        <v>0</v>
      </c>
      <c r="G6" s="9">
        <v>841.19</v>
      </c>
      <c r="H6" s="9">
        <v>360</v>
      </c>
      <c r="I6" s="9">
        <v>600</v>
      </c>
      <c r="J6" s="9">
        <v>450</v>
      </c>
      <c r="K6" s="10">
        <f>SUM(B6:J6)</f>
        <v>241590.15</v>
      </c>
      <c r="L6" s="3">
        <f>B6+C6+G6+H6</f>
        <v>2809.4300000000003</v>
      </c>
      <c r="M6" s="3">
        <f>D6+I6</f>
        <v>178349.76</v>
      </c>
      <c r="N6" s="3">
        <f>J6</f>
        <v>450</v>
      </c>
      <c r="O6" s="3">
        <f>E6</f>
        <v>59980.959999999999</v>
      </c>
      <c r="P6" s="3">
        <f>K6-K5</f>
        <v>3488.5699999999779</v>
      </c>
      <c r="Q6" s="3"/>
      <c r="R6" s="17">
        <f>IFERROR(P6/K5,"")</f>
        <v>1.4651603739882691E-2</v>
      </c>
      <c r="S6" s="6">
        <f>IF(A6="","",DATEDIF(Inputs!$B$4,A6,"Y"))</f>
        <v>36</v>
      </c>
      <c r="T6" s="9">
        <v>0</v>
      </c>
      <c r="U6" s="9">
        <v>0</v>
      </c>
      <c r="V6" s="9">
        <v>0</v>
      </c>
      <c r="W6" s="9">
        <v>0</v>
      </c>
      <c r="X6" s="9">
        <v>600000</v>
      </c>
      <c r="Y6" s="9">
        <v>0</v>
      </c>
      <c r="Z6" s="3">
        <f>T6*Inputs!$B$27+U6*Inputs!$B$28+V6*Inputs!$B$29+W6*Inputs!$B$30+X6*Inputs!$B$31+Y6*Inputs!$B$32</f>
        <v>600000</v>
      </c>
      <c r="AA6" s="10">
        <f>K6+Z6</f>
        <v>841590.15</v>
      </c>
      <c r="AB6" s="16">
        <f>A6</f>
        <v>45566</v>
      </c>
      <c r="AC6" s="3">
        <f>K6</f>
        <v>241590.15</v>
      </c>
    </row>
    <row r="7" spans="1:29" x14ac:dyDescent="0.55000000000000004">
      <c r="A7" s="16">
        <v>45597</v>
      </c>
      <c r="B7" s="9">
        <v>1461.37</v>
      </c>
      <c r="C7" s="9">
        <v>736.91</v>
      </c>
      <c r="D7" s="9">
        <v>179754.85</v>
      </c>
      <c r="E7" s="9">
        <v>59862.37</v>
      </c>
      <c r="F7" s="9">
        <v>725</v>
      </c>
      <c r="G7" s="9">
        <v>945.82</v>
      </c>
      <c r="H7" s="9">
        <v>540</v>
      </c>
      <c r="I7" s="9">
        <v>900</v>
      </c>
      <c r="J7" s="9">
        <v>675</v>
      </c>
      <c r="K7" s="10">
        <f>SUM(B7:J7)</f>
        <v>245601.32</v>
      </c>
      <c r="L7" s="3">
        <f>B7+C7+G7+H7</f>
        <v>3684.1</v>
      </c>
      <c r="M7" s="3">
        <f>D7+I7</f>
        <v>180654.85</v>
      </c>
      <c r="N7" s="3">
        <f>J7</f>
        <v>675</v>
      </c>
      <c r="O7" s="3">
        <f>E7</f>
        <v>59862.37</v>
      </c>
      <c r="P7" s="3">
        <f>K7-K6</f>
        <v>4011.1700000000128</v>
      </c>
      <c r="Q7" s="3"/>
      <c r="R7" s="17">
        <f>IFERROR(P7/K6,"")</f>
        <v>1.6603201744773175E-2</v>
      </c>
      <c r="S7" s="6">
        <f>IF(A7="","",DATEDIF(Inputs!$B$4,A7,"Y"))</f>
        <v>36</v>
      </c>
      <c r="T7" s="9">
        <v>0</v>
      </c>
      <c r="U7" s="9">
        <v>0</v>
      </c>
      <c r="V7" s="9">
        <v>0</v>
      </c>
      <c r="W7" s="9">
        <v>0</v>
      </c>
      <c r="X7" s="9">
        <v>600000</v>
      </c>
      <c r="Y7" s="9">
        <v>0</v>
      </c>
      <c r="Z7" s="3">
        <f>T7*Inputs!$B$27+U7*Inputs!$B$28+V7*Inputs!$B$29+W7*Inputs!$B$30+X7*Inputs!$B$31+Y7*Inputs!$B$32</f>
        <v>600000</v>
      </c>
      <c r="AA7" s="10">
        <f>K7+Z7</f>
        <v>845601.32000000007</v>
      </c>
      <c r="AB7" s="16">
        <f>A7</f>
        <v>45597</v>
      </c>
      <c r="AC7" s="3">
        <f>K7</f>
        <v>245601.32</v>
      </c>
    </row>
    <row r="8" spans="1:29" x14ac:dyDescent="0.55000000000000004">
      <c r="A8" s="16">
        <v>45627</v>
      </c>
      <c r="B8" s="9">
        <v>1805.56</v>
      </c>
      <c r="C8" s="9">
        <v>1012.05</v>
      </c>
      <c r="D8" s="9">
        <v>181766.28</v>
      </c>
      <c r="E8" s="9">
        <v>59585.04</v>
      </c>
      <c r="F8" s="9">
        <v>0</v>
      </c>
      <c r="G8" s="9">
        <v>1047.8599999999999</v>
      </c>
      <c r="H8" s="9">
        <v>720</v>
      </c>
      <c r="I8" s="9">
        <v>1200</v>
      </c>
      <c r="J8" s="9">
        <v>900</v>
      </c>
      <c r="K8" s="10">
        <f>SUM(B8:J8)</f>
        <v>248036.78999999998</v>
      </c>
      <c r="L8" s="3">
        <f>B8+C8+G8+H8</f>
        <v>4585.4699999999993</v>
      </c>
      <c r="M8" s="3">
        <f>D8+I8</f>
        <v>182966.28</v>
      </c>
      <c r="N8" s="3">
        <f>J8</f>
        <v>900</v>
      </c>
      <c r="O8" s="3">
        <f>E8</f>
        <v>59585.04</v>
      </c>
      <c r="P8" s="3">
        <f>K8-K7</f>
        <v>2435.4699999999721</v>
      </c>
      <c r="Q8" s="3"/>
      <c r="R8" s="17">
        <f>IFERROR(P8/K7,"")</f>
        <v>9.9163554984149603E-3</v>
      </c>
      <c r="S8" s="6">
        <f>IF(A8="","",DATEDIF(Inputs!$B$4,A8,"Y"))</f>
        <v>36</v>
      </c>
      <c r="T8" s="9">
        <v>0</v>
      </c>
      <c r="U8" s="9">
        <v>0</v>
      </c>
      <c r="V8" s="9">
        <v>0</v>
      </c>
      <c r="W8" s="9">
        <v>0</v>
      </c>
      <c r="X8" s="9">
        <v>600000</v>
      </c>
      <c r="Y8" s="9">
        <v>0</v>
      </c>
      <c r="Z8" s="3">
        <f>T8*Inputs!$B$27+U8*Inputs!$B$28+V8*Inputs!$B$29+W8*Inputs!$B$30+X8*Inputs!$B$31+Y8*Inputs!$B$32</f>
        <v>600000</v>
      </c>
      <c r="AA8" s="10">
        <f>K8+Z8</f>
        <v>848036.79</v>
      </c>
      <c r="AB8" s="16">
        <f>A8</f>
        <v>45627</v>
      </c>
      <c r="AC8" s="3">
        <f>K8</f>
        <v>248036.78999999998</v>
      </c>
    </row>
    <row r="9" spans="1:29" x14ac:dyDescent="0.55000000000000004">
      <c r="A9" s="16">
        <v>45658</v>
      </c>
      <c r="B9" s="9">
        <v>2212.37</v>
      </c>
      <c r="C9" s="9">
        <v>1314.22</v>
      </c>
      <c r="D9" s="9">
        <v>183784.08</v>
      </c>
      <c r="E9" s="9">
        <v>59163.01</v>
      </c>
      <c r="F9" s="9">
        <v>0</v>
      </c>
      <c r="G9" s="9">
        <v>1163.82</v>
      </c>
      <c r="H9" s="9">
        <v>900</v>
      </c>
      <c r="I9" s="9">
        <v>1500</v>
      </c>
      <c r="J9" s="9">
        <v>1125</v>
      </c>
      <c r="K9" s="10">
        <f>SUM(B9:J9)</f>
        <v>251162.5</v>
      </c>
      <c r="L9" s="3">
        <f>B9+C9+G9+H9</f>
        <v>5590.41</v>
      </c>
      <c r="M9" s="3">
        <f>D9+I9</f>
        <v>185284.08</v>
      </c>
      <c r="N9" s="3">
        <f>J9</f>
        <v>1125</v>
      </c>
      <c r="O9" s="3">
        <f>E9</f>
        <v>59163.01</v>
      </c>
      <c r="P9" s="3">
        <f>K9-K8</f>
        <v>3125.710000000021</v>
      </c>
      <c r="Q9" s="3"/>
      <c r="R9" s="17">
        <f>IFERROR(P9/K8,"")</f>
        <v>1.2601799918471858E-2</v>
      </c>
      <c r="S9" s="6">
        <f>IF(A9="","",DATEDIF(Inputs!$B$4,A9,"Y"))</f>
        <v>37</v>
      </c>
      <c r="T9" s="9">
        <v>0</v>
      </c>
      <c r="U9" s="9">
        <v>0</v>
      </c>
      <c r="V9" s="9">
        <v>0</v>
      </c>
      <c r="W9" s="9">
        <v>0</v>
      </c>
      <c r="X9" s="9">
        <v>600000</v>
      </c>
      <c r="Y9" s="9">
        <v>0</v>
      </c>
      <c r="Z9" s="3">
        <f>T9*Inputs!$B$27+U9*Inputs!$B$28+V9*Inputs!$B$29+W9*Inputs!$B$30+X9*Inputs!$B$31+Y9*Inputs!$B$32</f>
        <v>600000</v>
      </c>
      <c r="AA9" s="10">
        <f>K9+Z9</f>
        <v>851162.5</v>
      </c>
      <c r="AB9" s="16">
        <f>A9</f>
        <v>45658</v>
      </c>
      <c r="AC9" s="3">
        <f>K9</f>
        <v>251162.5</v>
      </c>
    </row>
    <row r="10" spans="1:29" x14ac:dyDescent="0.55000000000000004">
      <c r="A10" s="16">
        <v>45689</v>
      </c>
      <c r="B10" s="9">
        <v>2698.52</v>
      </c>
      <c r="C10" s="9">
        <v>1604.67</v>
      </c>
      <c r="D10" s="9">
        <v>185808.29</v>
      </c>
      <c r="E10" s="9">
        <v>58645.73</v>
      </c>
      <c r="F10" s="9">
        <v>950</v>
      </c>
      <c r="G10" s="9">
        <v>1297.4100000000001</v>
      </c>
      <c r="H10" s="9">
        <v>1080</v>
      </c>
      <c r="I10" s="9">
        <v>1800</v>
      </c>
      <c r="J10" s="9">
        <v>1350</v>
      </c>
      <c r="K10" s="10">
        <f>SUM(B10:J10)</f>
        <v>255234.62000000002</v>
      </c>
      <c r="L10" s="3">
        <f>B10+C10+G10+H10</f>
        <v>6680.6</v>
      </c>
      <c r="M10" s="3">
        <f>D10+I10</f>
        <v>187608.29</v>
      </c>
      <c r="N10" s="3">
        <f>J10</f>
        <v>1350</v>
      </c>
      <c r="O10" s="3">
        <f>E10</f>
        <v>58645.73</v>
      </c>
      <c r="P10" s="3">
        <f>K10-K9</f>
        <v>4072.1200000000244</v>
      </c>
      <c r="Q10" s="3"/>
      <c r="R10" s="17">
        <f>IFERROR(P10/K9,"")</f>
        <v>1.6213089135519929E-2</v>
      </c>
      <c r="S10" s="6">
        <f>IF(A10="","",DATEDIF(Inputs!$B$4,A10,"Y"))</f>
        <v>37</v>
      </c>
      <c r="T10" s="9">
        <v>0</v>
      </c>
      <c r="U10" s="9">
        <v>0</v>
      </c>
      <c r="V10" s="9">
        <v>0</v>
      </c>
      <c r="W10" s="9">
        <v>0</v>
      </c>
      <c r="X10" s="9">
        <v>600000</v>
      </c>
      <c r="Y10" s="9">
        <v>0</v>
      </c>
      <c r="Z10" s="3">
        <f>T10*Inputs!$B$27+U10*Inputs!$B$28+V10*Inputs!$B$29+W10*Inputs!$B$30+X10*Inputs!$B$31+Y10*Inputs!$B$32</f>
        <v>600000</v>
      </c>
      <c r="AA10" s="10">
        <f>K10+Z10</f>
        <v>855234.62</v>
      </c>
      <c r="AB10" s="16">
        <f>A10</f>
        <v>45689</v>
      </c>
      <c r="AC10" s="3">
        <f>K10</f>
        <v>255234.62000000002</v>
      </c>
    </row>
    <row r="11" spans="1:29" x14ac:dyDescent="0.55000000000000004">
      <c r="A11" s="16">
        <v>45717</v>
      </c>
      <c r="B11" s="9">
        <v>3207.8</v>
      </c>
      <c r="C11" s="9">
        <v>1855.39</v>
      </c>
      <c r="D11" s="9">
        <v>187838.94</v>
      </c>
      <c r="E11" s="9">
        <v>58105.99</v>
      </c>
      <c r="F11" s="9">
        <v>0</v>
      </c>
      <c r="G11" s="9">
        <v>1436.14</v>
      </c>
      <c r="H11" s="9">
        <v>1260</v>
      </c>
      <c r="I11" s="9">
        <v>2100</v>
      </c>
      <c r="J11" s="9">
        <v>1575</v>
      </c>
      <c r="K11" s="10">
        <f>SUM(B11:J11)</f>
        <v>257379.26</v>
      </c>
      <c r="L11" s="3">
        <f>B11+C11+G11+H11</f>
        <v>7759.3300000000008</v>
      </c>
      <c r="M11" s="3">
        <f>D11+I11</f>
        <v>189938.94</v>
      </c>
      <c r="N11" s="3">
        <f>J11</f>
        <v>1575</v>
      </c>
      <c r="O11" s="3">
        <f>E11</f>
        <v>58105.99</v>
      </c>
      <c r="P11" s="3">
        <f>K11-K10</f>
        <v>2144.6399999999849</v>
      </c>
      <c r="Q11" s="3"/>
      <c r="R11" s="17">
        <f>IFERROR(P11/K10,"")</f>
        <v>8.4026218700268187E-3</v>
      </c>
      <c r="S11" s="6">
        <f>IF(A11="","",DATEDIF(Inputs!$B$4,A11,"Y"))</f>
        <v>37</v>
      </c>
      <c r="T11" s="9">
        <v>0</v>
      </c>
      <c r="U11" s="9">
        <v>0</v>
      </c>
      <c r="V11" s="9">
        <v>0</v>
      </c>
      <c r="W11" s="9">
        <v>0</v>
      </c>
      <c r="X11" s="9">
        <v>600000</v>
      </c>
      <c r="Y11" s="9">
        <v>0</v>
      </c>
      <c r="Z11" s="3">
        <f>T11*Inputs!$B$27+U11*Inputs!$B$28+V11*Inputs!$B$29+W11*Inputs!$B$30+X11*Inputs!$B$31+Y11*Inputs!$B$32</f>
        <v>600000</v>
      </c>
      <c r="AA11" s="10">
        <f>K11+Z11</f>
        <v>857379.26</v>
      </c>
      <c r="AB11" s="16">
        <f>A11</f>
        <v>45717</v>
      </c>
      <c r="AC11" s="3">
        <f>K11</f>
        <v>257379.26</v>
      </c>
    </row>
    <row r="12" spans="1:29" x14ac:dyDescent="0.55000000000000004">
      <c r="A12" s="16">
        <v>45748</v>
      </c>
      <c r="B12" s="9">
        <v>3662.71</v>
      </c>
      <c r="C12" s="9">
        <v>2074.91</v>
      </c>
      <c r="D12" s="9">
        <v>189876.07</v>
      </c>
      <c r="E12" s="9">
        <v>57622.080000000002</v>
      </c>
      <c r="F12" s="9">
        <v>0</v>
      </c>
      <c r="G12" s="9">
        <v>1562.79</v>
      </c>
      <c r="H12" s="9">
        <v>1440</v>
      </c>
      <c r="I12" s="9">
        <v>2400</v>
      </c>
      <c r="J12" s="9">
        <v>1800</v>
      </c>
      <c r="K12" s="10">
        <f>SUM(B12:J12)</f>
        <v>260438.56000000003</v>
      </c>
      <c r="L12" s="3">
        <f>B12+C12+G12+H12</f>
        <v>8740.41</v>
      </c>
      <c r="M12" s="3">
        <f>D12+I12</f>
        <v>192276.07</v>
      </c>
      <c r="N12" s="3">
        <f>J12</f>
        <v>1800</v>
      </c>
      <c r="O12" s="3">
        <f>E12</f>
        <v>57622.080000000002</v>
      </c>
      <c r="P12" s="3">
        <f>K12-K11</f>
        <v>3059.3000000000175</v>
      </c>
      <c r="Q12" s="3"/>
      <c r="R12" s="17">
        <f>IFERROR(P12/K11,"")</f>
        <v>1.188635012782311E-2</v>
      </c>
      <c r="S12" s="6">
        <f>IF(A12="","",DATEDIF(Inputs!$B$4,A12,"Y"))</f>
        <v>37</v>
      </c>
      <c r="T12" s="9">
        <v>0</v>
      </c>
      <c r="U12" s="9">
        <v>0</v>
      </c>
      <c r="V12" s="9">
        <v>0</v>
      </c>
      <c r="W12" s="9">
        <v>0</v>
      </c>
      <c r="X12" s="9">
        <v>600000</v>
      </c>
      <c r="Y12" s="9">
        <v>0</v>
      </c>
      <c r="Z12" s="3">
        <f>T12*Inputs!$B$27+U12*Inputs!$B$28+V12*Inputs!$B$29+W12*Inputs!$B$30+X12*Inputs!$B$31+Y12*Inputs!$B$32</f>
        <v>600000</v>
      </c>
      <c r="AA12" s="10">
        <f>K12+Z12</f>
        <v>860438.56</v>
      </c>
      <c r="AB12" s="16">
        <f>A12</f>
        <v>45748</v>
      </c>
      <c r="AC12" s="3">
        <f>K12</f>
        <v>260438.56000000003</v>
      </c>
    </row>
    <row r="13" spans="1:29" x14ac:dyDescent="0.55000000000000004">
      <c r="A13" s="16">
        <v>45778</v>
      </c>
      <c r="B13" s="9">
        <v>4035.76</v>
      </c>
      <c r="C13" s="9">
        <v>2300.46</v>
      </c>
      <c r="D13" s="9">
        <v>191919.73</v>
      </c>
      <c r="E13" s="9">
        <v>57258.61</v>
      </c>
      <c r="F13" s="9">
        <v>1175</v>
      </c>
      <c r="G13" s="9">
        <v>1671.24</v>
      </c>
      <c r="H13" s="9">
        <v>1620</v>
      </c>
      <c r="I13" s="9">
        <v>2700</v>
      </c>
      <c r="J13" s="9">
        <v>2025</v>
      </c>
      <c r="K13" s="10">
        <f>SUM(B13:J13)</f>
        <v>264705.8</v>
      </c>
      <c r="L13" s="3">
        <f>B13+C13+G13+H13</f>
        <v>9627.4599999999991</v>
      </c>
      <c r="M13" s="3">
        <f>D13+I13</f>
        <v>194619.73</v>
      </c>
      <c r="N13" s="3">
        <f>J13</f>
        <v>2025</v>
      </c>
      <c r="O13" s="3">
        <f>E13</f>
        <v>57258.61</v>
      </c>
      <c r="P13" s="3">
        <f>K13-K12</f>
        <v>4267.2399999999616</v>
      </c>
      <c r="Q13" s="3"/>
      <c r="R13" s="17">
        <f>IFERROR(P13/K12,"")</f>
        <v>1.6384824121282046E-2</v>
      </c>
      <c r="S13" s="6">
        <f>IF(A13="","",DATEDIF(Inputs!$B$4,A13,"Y"))</f>
        <v>37</v>
      </c>
      <c r="T13" s="9">
        <v>0</v>
      </c>
      <c r="U13" s="9">
        <v>0</v>
      </c>
      <c r="V13" s="9">
        <v>0</v>
      </c>
      <c r="W13" s="9">
        <v>0</v>
      </c>
      <c r="X13" s="9">
        <v>600000</v>
      </c>
      <c r="Y13" s="9">
        <v>0</v>
      </c>
      <c r="Z13" s="3">
        <f>T13*Inputs!$B$27+U13*Inputs!$B$28+V13*Inputs!$B$29+W13*Inputs!$B$30+X13*Inputs!$B$31+Y13*Inputs!$B$32</f>
        <v>600000</v>
      </c>
      <c r="AA13" s="10">
        <f>K13+Z13</f>
        <v>864705.8</v>
      </c>
      <c r="AB13" s="16">
        <f>A13</f>
        <v>45778</v>
      </c>
      <c r="AC13" s="3">
        <f>K13</f>
        <v>264705.8</v>
      </c>
    </row>
    <row r="14" spans="1:29" x14ac:dyDescent="0.55000000000000004">
      <c r="A14" s="16">
        <v>45809</v>
      </c>
      <c r="B14" s="9">
        <v>4374.71</v>
      </c>
      <c r="C14" s="9">
        <v>2563.6999999999998</v>
      </c>
      <c r="D14" s="9">
        <v>193969.94</v>
      </c>
      <c r="E14" s="9">
        <v>57050.7</v>
      </c>
      <c r="F14" s="9">
        <v>0</v>
      </c>
      <c r="G14" s="9">
        <v>1772.12</v>
      </c>
      <c r="H14" s="9">
        <v>1800</v>
      </c>
      <c r="I14" s="9">
        <v>3000</v>
      </c>
      <c r="J14" s="9">
        <v>2250</v>
      </c>
      <c r="K14" s="10">
        <f>SUM(B14:J14)</f>
        <v>266781.17</v>
      </c>
      <c r="L14" s="3">
        <f>B14+C14+G14+H14</f>
        <v>10510.529999999999</v>
      </c>
      <c r="M14" s="3">
        <f>D14+I14</f>
        <v>196969.94</v>
      </c>
      <c r="N14" s="3">
        <f>J14</f>
        <v>2250</v>
      </c>
      <c r="O14" s="3">
        <f>E14</f>
        <v>57050.7</v>
      </c>
      <c r="P14" s="3">
        <f>K14-K13</f>
        <v>2075.3699999999953</v>
      </c>
      <c r="Q14" s="3"/>
      <c r="R14" s="17">
        <f>IFERROR(P14/K13,"")</f>
        <v>7.8402891058677038E-3</v>
      </c>
      <c r="S14" s="6">
        <f>IF(A14="","",DATEDIF(Inputs!$B$4,A14,"Y"))</f>
        <v>37</v>
      </c>
      <c r="T14" s="9">
        <v>0</v>
      </c>
      <c r="U14" s="9">
        <v>0</v>
      </c>
      <c r="V14" s="9">
        <v>0</v>
      </c>
      <c r="W14" s="9">
        <v>0</v>
      </c>
      <c r="X14" s="9">
        <v>600000</v>
      </c>
      <c r="Y14" s="9">
        <v>0</v>
      </c>
      <c r="Z14" s="3">
        <f>T14*Inputs!$B$27+U14*Inputs!$B$28+V14*Inputs!$B$29+W14*Inputs!$B$30+X14*Inputs!$B$31+Y14*Inputs!$B$32</f>
        <v>600000</v>
      </c>
      <c r="AA14" s="10">
        <f>K14+Z14</f>
        <v>866781.16999999993</v>
      </c>
      <c r="AB14" s="16">
        <f>A14</f>
        <v>45809</v>
      </c>
      <c r="AC14" s="3">
        <f>K14</f>
        <v>266781.17</v>
      </c>
    </row>
    <row r="15" spans="1:29" x14ac:dyDescent="0.55000000000000004">
      <c r="A15" s="16"/>
      <c r="B15" s="9"/>
      <c r="C15" s="9"/>
      <c r="D15" s="9"/>
      <c r="E15" s="9"/>
      <c r="F15" s="9"/>
      <c r="G15" s="9"/>
      <c r="H15" s="9"/>
      <c r="I15" s="9"/>
      <c r="J15" s="9"/>
      <c r="K15" s="10" t="str">
        <f t="shared" ref="K5:K28" si="8">IF(COUNTA(B15:J15)=0,"",SUM(B15:J15))</f>
        <v/>
      </c>
      <c r="L15" s="3" t="str">
        <f t="shared" ref="L5:L28" si="9">IF(K15="","",B15+C15+G15+H15)</f>
        <v/>
      </c>
      <c r="M15" s="3" t="str">
        <f t="shared" ref="M5:M28" si="10">IF(K15="","",D15+I15)</f>
        <v/>
      </c>
      <c r="N15" s="3" t="str">
        <f t="shared" ref="N5:N28" si="11">IF(K15="","",J15)</f>
        <v/>
      </c>
      <c r="O15" s="3" t="str">
        <f t="shared" ref="O5:O28" si="12">IF(K15="","",E15)</f>
        <v/>
      </c>
      <c r="P15" s="3" t="str">
        <f t="shared" ref="P6:P28" si="13">IF(OR(K15="",K14=""),"",K15-K14)</f>
        <v/>
      </c>
      <c r="Q15" s="3" t="e">
        <f>IF(OR(K15="",#REF!=""),"",K15-#REF!)</f>
        <v>#REF!</v>
      </c>
      <c r="R15" s="17" t="str">
        <f t="shared" ref="R6:R28" si="14">IFERROR(IF(OR(P15="",K14=0),"",P15/K14),"")</f>
        <v/>
      </c>
      <c r="S15" s="6" t="str">
        <f>IF(A15="","",DATEDIF(Inputs!$B$4,A15,"Y"))</f>
        <v/>
      </c>
      <c r="T15" s="9"/>
      <c r="U15" s="9"/>
      <c r="V15" s="9"/>
      <c r="W15" s="9"/>
      <c r="X15" s="9"/>
      <c r="Y15" s="9"/>
      <c r="Z15" s="3" t="str">
        <f>IF(COUNTA(T15:Y15)=0,"",T15*Inputs!$B$27+U15*Inputs!$B$28+V15*Inputs!$B$29+W15*Inputs!$B$30+X15*Inputs!$B$31+Y15*Inputs!$B$32)</f>
        <v/>
      </c>
      <c r="AA15" s="10" t="str">
        <f t="shared" ref="AA5:AA28" si="15">IF(K15="","",K15+IF(Z15="",0,Z15))</f>
        <v/>
      </c>
    </row>
    <row r="16" spans="1:29" x14ac:dyDescent="0.55000000000000004">
      <c r="A16" s="16"/>
      <c r="B16" s="9"/>
      <c r="C16" s="9"/>
      <c r="D16" s="9"/>
      <c r="E16" s="9"/>
      <c r="F16" s="9"/>
      <c r="G16" s="9"/>
      <c r="H16" s="9"/>
      <c r="I16" s="9"/>
      <c r="J16" s="9"/>
      <c r="K16" s="10" t="str">
        <f t="shared" si="8"/>
        <v/>
      </c>
      <c r="L16" s="3" t="str">
        <f t="shared" si="9"/>
        <v/>
      </c>
      <c r="M16" s="3" t="str">
        <f t="shared" si="10"/>
        <v/>
      </c>
      <c r="N16" s="3" t="str">
        <f t="shared" si="11"/>
        <v/>
      </c>
      <c r="O16" s="3" t="str">
        <f t="shared" si="12"/>
        <v/>
      </c>
      <c r="P16" s="3" t="str">
        <f t="shared" si="13"/>
        <v/>
      </c>
      <c r="Q16" s="3" t="e">
        <f>IF(OR(K16="",#REF!=""),"",K16-#REF!)</f>
        <v>#REF!</v>
      </c>
      <c r="R16" s="17" t="str">
        <f t="shared" si="14"/>
        <v/>
      </c>
      <c r="S16" s="6" t="str">
        <f>IF(A16="","",DATEDIF(Inputs!$B$4,A16,"Y"))</f>
        <v/>
      </c>
      <c r="T16" s="9"/>
      <c r="U16" s="9"/>
      <c r="V16" s="9"/>
      <c r="W16" s="9"/>
      <c r="X16" s="9"/>
      <c r="Y16" s="9"/>
      <c r="Z16" s="3" t="str">
        <f>IF(COUNTA(T16:Y16)=0,"",T16*Inputs!$B$27+U16*Inputs!$B$28+V16*Inputs!$B$29+W16*Inputs!$B$30+X16*Inputs!$B$31+Y16*Inputs!$B$32)</f>
        <v/>
      </c>
      <c r="AA16" s="10" t="str">
        <f t="shared" si="15"/>
        <v/>
      </c>
    </row>
    <row r="17" spans="1:27" x14ac:dyDescent="0.55000000000000004">
      <c r="A17" s="16"/>
      <c r="B17" s="9"/>
      <c r="C17" s="9"/>
      <c r="D17" s="9"/>
      <c r="E17" s="9"/>
      <c r="F17" s="9"/>
      <c r="G17" s="9"/>
      <c r="H17" s="9"/>
      <c r="I17" s="9"/>
      <c r="J17" s="9"/>
      <c r="K17" s="10" t="str">
        <f t="shared" si="8"/>
        <v/>
      </c>
      <c r="L17" s="3" t="str">
        <f t="shared" si="9"/>
        <v/>
      </c>
      <c r="M17" s="3" t="str">
        <f t="shared" si="10"/>
        <v/>
      </c>
      <c r="N17" s="3" t="str">
        <f t="shared" si="11"/>
        <v/>
      </c>
      <c r="O17" s="3" t="str">
        <f t="shared" si="12"/>
        <v/>
      </c>
      <c r="P17" s="3" t="str">
        <f t="shared" si="13"/>
        <v/>
      </c>
      <c r="Q17" s="3" t="str">
        <f t="shared" ref="Q17:Q28" si="16">IF(OR(K17="",K5=""),"",K17-K5)</f>
        <v/>
      </c>
      <c r="R17" s="17" t="str">
        <f t="shared" si="14"/>
        <v/>
      </c>
      <c r="S17" s="6" t="str">
        <f>IF(A17="","",DATEDIF(Inputs!$B$4,A17,"Y"))</f>
        <v/>
      </c>
      <c r="T17" s="9"/>
      <c r="U17" s="9"/>
      <c r="V17" s="9"/>
      <c r="W17" s="9"/>
      <c r="X17" s="9"/>
      <c r="Y17" s="9"/>
      <c r="Z17" s="3" t="str">
        <f>IF(COUNTA(T17:Y17)=0,"",T17*Inputs!$B$27+U17*Inputs!$B$28+V17*Inputs!$B$29+W17*Inputs!$B$30+X17*Inputs!$B$31+Y17*Inputs!$B$32)</f>
        <v/>
      </c>
      <c r="AA17" s="10" t="str">
        <f t="shared" si="15"/>
        <v/>
      </c>
    </row>
    <row r="18" spans="1:27" x14ac:dyDescent="0.55000000000000004">
      <c r="A18" s="16"/>
      <c r="B18" s="9"/>
      <c r="C18" s="9"/>
      <c r="D18" s="9"/>
      <c r="E18" s="9"/>
      <c r="F18" s="9"/>
      <c r="G18" s="9"/>
      <c r="H18" s="9"/>
      <c r="I18" s="9"/>
      <c r="J18" s="9"/>
      <c r="K18" s="10" t="str">
        <f t="shared" si="8"/>
        <v/>
      </c>
      <c r="L18" s="3" t="str">
        <f t="shared" si="9"/>
        <v/>
      </c>
      <c r="M18" s="3" t="str">
        <f t="shared" si="10"/>
        <v/>
      </c>
      <c r="N18" s="3" t="str">
        <f t="shared" si="11"/>
        <v/>
      </c>
      <c r="O18" s="3" t="str">
        <f t="shared" si="12"/>
        <v/>
      </c>
      <c r="P18" s="3" t="str">
        <f t="shared" si="13"/>
        <v/>
      </c>
      <c r="Q18" s="3" t="str">
        <f t="shared" si="16"/>
        <v/>
      </c>
      <c r="R18" s="17" t="str">
        <f t="shared" si="14"/>
        <v/>
      </c>
      <c r="S18" s="6" t="str">
        <f>IF(A18="","",DATEDIF(Inputs!$B$4,A18,"Y"))</f>
        <v/>
      </c>
      <c r="T18" s="9"/>
      <c r="U18" s="9"/>
      <c r="V18" s="9"/>
      <c r="W18" s="9"/>
      <c r="X18" s="9"/>
      <c r="Y18" s="9"/>
      <c r="Z18" s="3" t="str">
        <f>IF(COUNTA(T18:Y18)=0,"",T18*Inputs!$B$27+U18*Inputs!$B$28+V18*Inputs!$B$29+W18*Inputs!$B$30+X18*Inputs!$B$31+Y18*Inputs!$B$32)</f>
        <v/>
      </c>
      <c r="AA18" s="10" t="str">
        <f t="shared" si="15"/>
        <v/>
      </c>
    </row>
    <row r="19" spans="1:27" x14ac:dyDescent="0.55000000000000004">
      <c r="A19" s="16"/>
      <c r="B19" s="9"/>
      <c r="C19" s="9"/>
      <c r="D19" s="9"/>
      <c r="E19" s="9"/>
      <c r="F19" s="9"/>
      <c r="G19" s="9"/>
      <c r="H19" s="9"/>
      <c r="I19" s="9"/>
      <c r="J19" s="9"/>
      <c r="K19" s="10" t="str">
        <f t="shared" si="8"/>
        <v/>
      </c>
      <c r="L19" s="3" t="str">
        <f t="shared" si="9"/>
        <v/>
      </c>
      <c r="M19" s="3" t="str">
        <f t="shared" si="10"/>
        <v/>
      </c>
      <c r="N19" s="3" t="str">
        <f t="shared" si="11"/>
        <v/>
      </c>
      <c r="O19" s="3" t="str">
        <f t="shared" si="12"/>
        <v/>
      </c>
      <c r="P19" s="3" t="str">
        <f t="shared" si="13"/>
        <v/>
      </c>
      <c r="Q19" s="3" t="str">
        <f t="shared" si="16"/>
        <v/>
      </c>
      <c r="R19" s="17" t="str">
        <f t="shared" si="14"/>
        <v/>
      </c>
      <c r="S19" s="6" t="str">
        <f>IF(A19="","",DATEDIF(Inputs!$B$4,A19,"Y"))</f>
        <v/>
      </c>
      <c r="T19" s="9"/>
      <c r="U19" s="9"/>
      <c r="V19" s="9"/>
      <c r="W19" s="9"/>
      <c r="X19" s="9"/>
      <c r="Y19" s="9"/>
      <c r="Z19" s="3" t="str">
        <f>IF(COUNTA(T19:Y19)=0,"",T19*Inputs!$B$27+U19*Inputs!$B$28+V19*Inputs!$B$29+W19*Inputs!$B$30+X19*Inputs!$B$31+Y19*Inputs!$B$32)</f>
        <v/>
      </c>
      <c r="AA19" s="10" t="str">
        <f t="shared" si="15"/>
        <v/>
      </c>
    </row>
    <row r="20" spans="1:27" x14ac:dyDescent="0.55000000000000004">
      <c r="A20" s="16"/>
      <c r="B20" s="9"/>
      <c r="C20" s="9"/>
      <c r="D20" s="9"/>
      <c r="E20" s="9"/>
      <c r="F20" s="9"/>
      <c r="G20" s="9"/>
      <c r="H20" s="9"/>
      <c r="I20" s="9"/>
      <c r="J20" s="9"/>
      <c r="K20" s="10" t="str">
        <f t="shared" si="8"/>
        <v/>
      </c>
      <c r="L20" s="3" t="str">
        <f t="shared" si="9"/>
        <v/>
      </c>
      <c r="M20" s="3" t="str">
        <f t="shared" si="10"/>
        <v/>
      </c>
      <c r="N20" s="3" t="str">
        <f t="shared" si="11"/>
        <v/>
      </c>
      <c r="O20" s="3" t="str">
        <f t="shared" si="12"/>
        <v/>
      </c>
      <c r="P20" s="3" t="str">
        <f t="shared" si="13"/>
        <v/>
      </c>
      <c r="Q20" s="3" t="str">
        <f t="shared" si="16"/>
        <v/>
      </c>
      <c r="R20" s="17" t="str">
        <f t="shared" si="14"/>
        <v/>
      </c>
      <c r="S20" s="6" t="str">
        <f>IF(A20="","",DATEDIF(Inputs!$B$4,A20,"Y"))</f>
        <v/>
      </c>
      <c r="T20" s="9"/>
      <c r="U20" s="9"/>
      <c r="V20" s="9"/>
      <c r="W20" s="9"/>
      <c r="X20" s="9"/>
      <c r="Y20" s="9"/>
      <c r="Z20" s="3" t="str">
        <f>IF(COUNTA(T20:Y20)=0,"",T20*Inputs!$B$27+U20*Inputs!$B$28+V20*Inputs!$B$29+W20*Inputs!$B$30+X20*Inputs!$B$31+Y20*Inputs!$B$32)</f>
        <v/>
      </c>
      <c r="AA20" s="10" t="str">
        <f t="shared" si="15"/>
        <v/>
      </c>
    </row>
    <row r="21" spans="1:27" x14ac:dyDescent="0.55000000000000004">
      <c r="A21" s="16"/>
      <c r="B21" s="9"/>
      <c r="C21" s="9"/>
      <c r="D21" s="9"/>
      <c r="E21" s="9"/>
      <c r="F21" s="9"/>
      <c r="G21" s="9"/>
      <c r="H21" s="9"/>
      <c r="I21" s="9"/>
      <c r="J21" s="9"/>
      <c r="K21" s="10" t="str">
        <f t="shared" si="8"/>
        <v/>
      </c>
      <c r="L21" s="3" t="str">
        <f t="shared" si="9"/>
        <v/>
      </c>
      <c r="M21" s="3" t="str">
        <f t="shared" si="10"/>
        <v/>
      </c>
      <c r="N21" s="3" t="str">
        <f t="shared" si="11"/>
        <v/>
      </c>
      <c r="O21" s="3" t="str">
        <f t="shared" si="12"/>
        <v/>
      </c>
      <c r="P21" s="3" t="str">
        <f t="shared" si="13"/>
        <v/>
      </c>
      <c r="Q21" s="3" t="str">
        <f t="shared" si="16"/>
        <v/>
      </c>
      <c r="R21" s="17" t="str">
        <f t="shared" si="14"/>
        <v/>
      </c>
      <c r="S21" s="6" t="str">
        <f>IF(A21="","",DATEDIF(Inputs!$B$4,A21,"Y"))</f>
        <v/>
      </c>
      <c r="T21" s="9"/>
      <c r="U21" s="9"/>
      <c r="V21" s="9"/>
      <c r="W21" s="9"/>
      <c r="X21" s="9"/>
      <c r="Y21" s="9"/>
      <c r="Z21" s="3" t="str">
        <f>IF(COUNTA(T21:Y21)=0,"",T21*Inputs!$B$27+U21*Inputs!$B$28+V21*Inputs!$B$29+W21*Inputs!$B$30+X21*Inputs!$B$31+Y21*Inputs!$B$32)</f>
        <v/>
      </c>
      <c r="AA21" s="10" t="str">
        <f t="shared" si="15"/>
        <v/>
      </c>
    </row>
    <row r="22" spans="1:27" x14ac:dyDescent="0.55000000000000004">
      <c r="A22" s="16"/>
      <c r="B22" s="9"/>
      <c r="C22" s="9"/>
      <c r="D22" s="9"/>
      <c r="E22" s="9"/>
      <c r="F22" s="9"/>
      <c r="G22" s="9"/>
      <c r="H22" s="9"/>
      <c r="I22" s="9"/>
      <c r="J22" s="9"/>
      <c r="K22" s="10" t="str">
        <f t="shared" si="8"/>
        <v/>
      </c>
      <c r="L22" s="3" t="str">
        <f t="shared" si="9"/>
        <v/>
      </c>
      <c r="M22" s="3" t="str">
        <f t="shared" si="10"/>
        <v/>
      </c>
      <c r="N22" s="3" t="str">
        <f t="shared" si="11"/>
        <v/>
      </c>
      <c r="O22" s="3" t="str">
        <f t="shared" si="12"/>
        <v/>
      </c>
      <c r="P22" s="3" t="str">
        <f t="shared" si="13"/>
        <v/>
      </c>
      <c r="Q22" s="3" t="str">
        <f t="shared" si="16"/>
        <v/>
      </c>
      <c r="R22" s="17" t="str">
        <f t="shared" si="14"/>
        <v/>
      </c>
      <c r="S22" s="6" t="str">
        <f>IF(A22="","",DATEDIF(Inputs!$B$4,A22,"Y"))</f>
        <v/>
      </c>
      <c r="T22" s="9"/>
      <c r="U22" s="9"/>
      <c r="V22" s="9"/>
      <c r="W22" s="9"/>
      <c r="X22" s="9"/>
      <c r="Y22" s="9"/>
      <c r="Z22" s="3" t="str">
        <f>IF(COUNTA(T22:Y22)=0,"",T22*Inputs!$B$27+U22*Inputs!$B$28+V22*Inputs!$B$29+W22*Inputs!$B$30+X22*Inputs!$B$31+Y22*Inputs!$B$32)</f>
        <v/>
      </c>
      <c r="AA22" s="10" t="str">
        <f t="shared" si="15"/>
        <v/>
      </c>
    </row>
    <row r="23" spans="1:27" x14ac:dyDescent="0.55000000000000004">
      <c r="A23" s="16"/>
      <c r="B23" s="9"/>
      <c r="C23" s="9"/>
      <c r="D23" s="9"/>
      <c r="E23" s="9"/>
      <c r="F23" s="9"/>
      <c r="G23" s="9"/>
      <c r="H23" s="9"/>
      <c r="I23" s="9"/>
      <c r="J23" s="9"/>
      <c r="K23" s="10" t="str">
        <f t="shared" si="8"/>
        <v/>
      </c>
      <c r="L23" s="3" t="str">
        <f t="shared" si="9"/>
        <v/>
      </c>
      <c r="M23" s="3" t="str">
        <f t="shared" si="10"/>
        <v/>
      </c>
      <c r="N23" s="3" t="str">
        <f t="shared" si="11"/>
        <v/>
      </c>
      <c r="O23" s="3" t="str">
        <f t="shared" si="12"/>
        <v/>
      </c>
      <c r="P23" s="3" t="str">
        <f t="shared" si="13"/>
        <v/>
      </c>
      <c r="Q23" s="3" t="str">
        <f t="shared" si="16"/>
        <v/>
      </c>
      <c r="R23" s="17" t="str">
        <f t="shared" si="14"/>
        <v/>
      </c>
      <c r="S23" s="6" t="str">
        <f>IF(A23="","",DATEDIF(Inputs!$B$4,A23,"Y"))</f>
        <v/>
      </c>
      <c r="T23" s="9"/>
      <c r="U23" s="9"/>
      <c r="V23" s="9"/>
      <c r="W23" s="9"/>
      <c r="X23" s="9"/>
      <c r="Y23" s="9"/>
      <c r="Z23" s="3" t="str">
        <f>IF(COUNTA(T23:Y23)=0,"",T23*Inputs!$B$27+U23*Inputs!$B$28+V23*Inputs!$B$29+W23*Inputs!$B$30+X23*Inputs!$B$31+Y23*Inputs!$B$32)</f>
        <v/>
      </c>
      <c r="AA23" s="10" t="str">
        <f t="shared" si="15"/>
        <v/>
      </c>
    </row>
    <row r="24" spans="1:27" x14ac:dyDescent="0.55000000000000004">
      <c r="A24" s="16"/>
      <c r="B24" s="9"/>
      <c r="C24" s="9"/>
      <c r="D24" s="9"/>
      <c r="E24" s="9"/>
      <c r="F24" s="9"/>
      <c r="G24" s="9"/>
      <c r="H24" s="9"/>
      <c r="I24" s="9"/>
      <c r="J24" s="9"/>
      <c r="K24" s="10" t="str">
        <f t="shared" si="8"/>
        <v/>
      </c>
      <c r="L24" s="3" t="str">
        <f t="shared" si="9"/>
        <v/>
      </c>
      <c r="M24" s="3" t="str">
        <f t="shared" si="10"/>
        <v/>
      </c>
      <c r="N24" s="3" t="str">
        <f t="shared" si="11"/>
        <v/>
      </c>
      <c r="O24" s="3" t="str">
        <f t="shared" si="12"/>
        <v/>
      </c>
      <c r="P24" s="3" t="str">
        <f t="shared" si="13"/>
        <v/>
      </c>
      <c r="Q24" s="3" t="str">
        <f t="shared" si="16"/>
        <v/>
      </c>
      <c r="R24" s="17" t="str">
        <f t="shared" si="14"/>
        <v/>
      </c>
      <c r="S24" s="6" t="str">
        <f>IF(A24="","",DATEDIF(Inputs!$B$4,A24,"Y"))</f>
        <v/>
      </c>
      <c r="T24" s="9"/>
      <c r="U24" s="9"/>
      <c r="V24" s="9"/>
      <c r="W24" s="9"/>
      <c r="X24" s="9"/>
      <c r="Y24" s="9"/>
      <c r="Z24" s="3" t="str">
        <f>IF(COUNTA(T24:Y24)=0,"",T24*Inputs!$B$27+U24*Inputs!$B$28+V24*Inputs!$B$29+W24*Inputs!$B$30+X24*Inputs!$B$31+Y24*Inputs!$B$32)</f>
        <v/>
      </c>
      <c r="AA24" s="10" t="str">
        <f t="shared" si="15"/>
        <v/>
      </c>
    </row>
    <row r="25" spans="1:27" x14ac:dyDescent="0.55000000000000004">
      <c r="A25" s="16"/>
      <c r="B25" s="9"/>
      <c r="C25" s="9"/>
      <c r="D25" s="9"/>
      <c r="E25" s="9"/>
      <c r="F25" s="9"/>
      <c r="G25" s="9"/>
      <c r="H25" s="9"/>
      <c r="I25" s="9"/>
      <c r="J25" s="9"/>
      <c r="K25" s="10" t="str">
        <f t="shared" si="8"/>
        <v/>
      </c>
      <c r="L25" s="3" t="str">
        <f t="shared" si="9"/>
        <v/>
      </c>
      <c r="M25" s="3" t="str">
        <f t="shared" si="10"/>
        <v/>
      </c>
      <c r="N25" s="3" t="str">
        <f t="shared" si="11"/>
        <v/>
      </c>
      <c r="O25" s="3" t="str">
        <f t="shared" si="12"/>
        <v/>
      </c>
      <c r="P25" s="3" t="str">
        <f t="shared" si="13"/>
        <v/>
      </c>
      <c r="Q25" s="3" t="str">
        <f t="shared" si="16"/>
        <v/>
      </c>
      <c r="R25" s="17" t="str">
        <f t="shared" si="14"/>
        <v/>
      </c>
      <c r="S25" s="6" t="str">
        <f>IF(A25="","",DATEDIF(Inputs!$B$4,A25,"Y"))</f>
        <v/>
      </c>
      <c r="T25" s="9"/>
      <c r="U25" s="9"/>
      <c r="V25" s="9"/>
      <c r="W25" s="9"/>
      <c r="X25" s="9"/>
      <c r="Y25" s="9"/>
      <c r="Z25" s="3" t="str">
        <f>IF(COUNTA(T25:Y25)=0,"",T25*Inputs!$B$27+U25*Inputs!$B$28+V25*Inputs!$B$29+W25*Inputs!$B$30+X25*Inputs!$B$31+Y25*Inputs!$B$32)</f>
        <v/>
      </c>
      <c r="AA25" s="10" t="str">
        <f t="shared" si="15"/>
        <v/>
      </c>
    </row>
    <row r="26" spans="1:27" x14ac:dyDescent="0.55000000000000004">
      <c r="A26" s="16"/>
      <c r="B26" s="9"/>
      <c r="C26" s="9"/>
      <c r="D26" s="9"/>
      <c r="E26" s="9"/>
      <c r="F26" s="9"/>
      <c r="G26" s="9"/>
      <c r="H26" s="9"/>
      <c r="I26" s="9"/>
      <c r="J26" s="9"/>
      <c r="K26" s="10" t="str">
        <f t="shared" si="8"/>
        <v/>
      </c>
      <c r="L26" s="3" t="str">
        <f t="shared" si="9"/>
        <v/>
      </c>
      <c r="M26" s="3" t="str">
        <f t="shared" si="10"/>
        <v/>
      </c>
      <c r="N26" s="3" t="str">
        <f t="shared" si="11"/>
        <v/>
      </c>
      <c r="O26" s="3" t="str">
        <f t="shared" si="12"/>
        <v/>
      </c>
      <c r="P26" s="3" t="str">
        <f t="shared" si="13"/>
        <v/>
      </c>
      <c r="Q26" s="3" t="str">
        <f t="shared" si="16"/>
        <v/>
      </c>
      <c r="R26" s="17" t="str">
        <f t="shared" si="14"/>
        <v/>
      </c>
      <c r="S26" s="6" t="str">
        <f>IF(A26="","",DATEDIF(Inputs!$B$4,A26,"Y"))</f>
        <v/>
      </c>
      <c r="T26" s="9"/>
      <c r="U26" s="9"/>
      <c r="V26" s="9"/>
      <c r="W26" s="9"/>
      <c r="X26" s="9"/>
      <c r="Y26" s="9"/>
      <c r="Z26" s="3" t="str">
        <f>IF(COUNTA(T26:Y26)=0,"",T26*Inputs!$B$27+U26*Inputs!$B$28+V26*Inputs!$B$29+W26*Inputs!$B$30+X26*Inputs!$B$31+Y26*Inputs!$B$32)</f>
        <v/>
      </c>
      <c r="AA26" s="10" t="str">
        <f t="shared" si="15"/>
        <v/>
      </c>
    </row>
    <row r="27" spans="1:27" x14ac:dyDescent="0.55000000000000004">
      <c r="A27" s="16"/>
      <c r="B27" s="9"/>
      <c r="C27" s="9"/>
      <c r="D27" s="9"/>
      <c r="E27" s="9"/>
      <c r="F27" s="9"/>
      <c r="G27" s="9"/>
      <c r="H27" s="9"/>
      <c r="I27" s="9"/>
      <c r="J27" s="9"/>
      <c r="K27" s="10" t="str">
        <f t="shared" si="8"/>
        <v/>
      </c>
      <c r="L27" s="3" t="str">
        <f t="shared" si="9"/>
        <v/>
      </c>
      <c r="M27" s="3" t="str">
        <f t="shared" si="10"/>
        <v/>
      </c>
      <c r="N27" s="3" t="str">
        <f t="shared" si="11"/>
        <v/>
      </c>
      <c r="O27" s="3" t="str">
        <f t="shared" si="12"/>
        <v/>
      </c>
      <c r="P27" s="3" t="str">
        <f t="shared" si="13"/>
        <v/>
      </c>
      <c r="Q27" s="3" t="str">
        <f t="shared" si="16"/>
        <v/>
      </c>
      <c r="R27" s="17" t="str">
        <f t="shared" si="14"/>
        <v/>
      </c>
      <c r="S27" s="6" t="str">
        <f>IF(A27="","",DATEDIF(Inputs!$B$4,A27,"Y"))</f>
        <v/>
      </c>
      <c r="T27" s="9"/>
      <c r="U27" s="9"/>
      <c r="V27" s="9"/>
      <c r="W27" s="9"/>
      <c r="X27" s="9"/>
      <c r="Y27" s="9"/>
      <c r="Z27" s="3" t="str">
        <f>IF(COUNTA(T27:Y27)=0,"",T27*Inputs!$B$27+U27*Inputs!$B$28+V27*Inputs!$B$29+W27*Inputs!$B$30+X27*Inputs!$B$31+Y27*Inputs!$B$32)</f>
        <v/>
      </c>
      <c r="AA27" s="10" t="str">
        <f t="shared" si="15"/>
        <v/>
      </c>
    </row>
    <row r="28" spans="1:27" x14ac:dyDescent="0.55000000000000004">
      <c r="A28" s="16"/>
      <c r="B28" s="9"/>
      <c r="C28" s="9"/>
      <c r="D28" s="9"/>
      <c r="E28" s="9"/>
      <c r="F28" s="9"/>
      <c r="G28" s="9"/>
      <c r="H28" s="9"/>
      <c r="I28" s="9"/>
      <c r="J28" s="9"/>
      <c r="K28" s="10" t="str">
        <f t="shared" si="8"/>
        <v/>
      </c>
      <c r="L28" s="3" t="str">
        <f t="shared" si="9"/>
        <v/>
      </c>
      <c r="M28" s="3" t="str">
        <f t="shared" si="10"/>
        <v/>
      </c>
      <c r="N28" s="3" t="str">
        <f t="shared" si="11"/>
        <v/>
      </c>
      <c r="O28" s="3" t="str">
        <f t="shared" si="12"/>
        <v/>
      </c>
      <c r="P28" s="3" t="str">
        <f t="shared" si="13"/>
        <v/>
      </c>
      <c r="Q28" s="3" t="str">
        <f t="shared" si="16"/>
        <v/>
      </c>
      <c r="R28" s="17" t="str">
        <f t="shared" si="14"/>
        <v/>
      </c>
      <c r="S28" s="6" t="str">
        <f>IF(A28="","",DATEDIF(Inputs!$B$4,A28,"Y"))</f>
        <v/>
      </c>
      <c r="T28" s="9"/>
      <c r="U28" s="9"/>
      <c r="V28" s="9"/>
      <c r="W28" s="9"/>
      <c r="X28" s="9"/>
      <c r="Y28" s="9"/>
      <c r="Z28" s="3" t="str">
        <f>IF(COUNTA(T28:Y28)=0,"",T28*Inputs!$B$27+U28*Inputs!$B$28+V28*Inputs!$B$29+W28*Inputs!$B$30+X28*Inputs!$B$31+Y28*Inputs!$B$32)</f>
        <v/>
      </c>
      <c r="AA28" s="10" t="str">
        <f t="shared" si="15"/>
        <v/>
      </c>
    </row>
  </sheetData>
  <mergeCells count="2">
    <mergeCell ref="A1:AA1"/>
    <mergeCell ref="A2:AA2"/>
  </mergeCells>
  <phoneticPr fontId="20"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E712D-1BB9-44C7-8199-06F3C5B1DCC1}">
  <dimension ref="A1:F34"/>
  <sheetViews>
    <sheetView topLeftCell="A21" zoomScale="160" zoomScaleNormal="160" workbookViewId="0">
      <selection activeCell="B12" sqref="B12"/>
    </sheetView>
  </sheetViews>
  <sheetFormatPr defaultRowHeight="14.4" x14ac:dyDescent="0.55000000000000004"/>
  <cols>
    <col min="1" max="1" width="49.15625" customWidth="1"/>
    <col min="2" max="2" width="21.83984375" customWidth="1"/>
    <col min="3" max="3" width="20" customWidth="1"/>
    <col min="4" max="4" width="21.83984375" customWidth="1"/>
  </cols>
  <sheetData>
    <row r="1" spans="1:6" ht="18.3" x14ac:dyDescent="0.7">
      <c r="A1" s="267" t="s">
        <v>79</v>
      </c>
      <c r="B1" s="267"/>
      <c r="C1" s="267"/>
      <c r="D1" s="267"/>
      <c r="E1" s="267"/>
      <c r="F1" s="267"/>
    </row>
    <row r="3" spans="1:6" x14ac:dyDescent="0.55000000000000004">
      <c r="A3" s="49" t="s">
        <v>80</v>
      </c>
    </row>
    <row r="4" spans="1:6" x14ac:dyDescent="0.55000000000000004">
      <c r="A4" t="s">
        <v>81</v>
      </c>
      <c r="B4" s="18" cm="1">
        <f t="array" ref="B4">LOOKUP(2,1/('Monthly Balances'!A4:A28&lt;&gt;""),'Monthly Balances'!A4:A28)</f>
        <v>45809</v>
      </c>
    </row>
    <row r="5" spans="1:6" x14ac:dyDescent="0.55000000000000004">
      <c r="A5" t="s">
        <v>76</v>
      </c>
      <c r="B5" s="19">
        <f>DATEDIF(Inputs!B4,B4,"Y")</f>
        <v>37</v>
      </c>
    </row>
    <row r="6" spans="1:6" x14ac:dyDescent="0.55000000000000004">
      <c r="A6" t="s">
        <v>70</v>
      </c>
      <c r="B6" s="21" cm="1">
        <f t="array" ref="B6">LOOKUP(2,1/('Monthly Balances'!K4:K28&lt;&gt;""),'Monthly Balances'!K4:K28)</f>
        <v>266781.17</v>
      </c>
    </row>
    <row r="7" spans="1:6" x14ac:dyDescent="0.55000000000000004">
      <c r="A7" t="s">
        <v>82</v>
      </c>
      <c r="B7" s="20" cm="1">
        <f t="array" ref="B7">LOOKUP(2,1/('Monthly Balances'!Z4:Z28&lt;&gt;""),'Monthly Balances'!Z4:Z28)</f>
        <v>600000</v>
      </c>
    </row>
    <row r="8" spans="1:6" x14ac:dyDescent="0.55000000000000004">
      <c r="A8" t="s">
        <v>78</v>
      </c>
      <c r="B8" s="10">
        <f>B6+B7</f>
        <v>866781.16999999993</v>
      </c>
    </row>
    <row r="10" spans="1:6" x14ac:dyDescent="0.55000000000000004">
      <c r="A10" s="49" t="s">
        <v>83</v>
      </c>
    </row>
    <row r="11" spans="1:6" x14ac:dyDescent="0.55000000000000004">
      <c r="A11" s="49" t="s">
        <v>84</v>
      </c>
      <c r="B11" s="49" t="s">
        <v>85</v>
      </c>
      <c r="C11" s="49" t="s">
        <v>86</v>
      </c>
      <c r="D11" s="49" t="s">
        <v>87</v>
      </c>
    </row>
    <row r="12" spans="1:6" x14ac:dyDescent="0.55000000000000004">
      <c r="A12" t="s">
        <v>45</v>
      </c>
      <c r="B12" s="20" cm="1">
        <f t="array" ref="B12">LOOKUP(2,1/('Monthly Balances'!O4:O28&lt;&gt;""),'Monthly Balances'!O4:O28)</f>
        <v>57050.7</v>
      </c>
      <c r="C12" s="17">
        <f>IFERROR(B12/$B$17,0)</f>
        <v>0.2138483012125631</v>
      </c>
      <c r="D12" s="3">
        <f>B12*Inputs!$B$14/12</f>
        <v>190.16899999999998</v>
      </c>
    </row>
    <row r="13" spans="1:6" x14ac:dyDescent="0.55000000000000004">
      <c r="A13" t="s">
        <v>88</v>
      </c>
      <c r="B13" s="20" cm="1">
        <f t="array" ref="B13">LOOKUP(2,1/('Monthly Balances'!L4:L28&lt;&gt;""),'Monthly Balances'!L4:L28)</f>
        <v>10510.529999999999</v>
      </c>
      <c r="C13" s="17">
        <f>IFERROR(B13/$B$17,0)</f>
        <v>3.9397570675621517E-2</v>
      </c>
      <c r="D13" s="3">
        <f>B13*Inputs!$B$14/12</f>
        <v>35.035099999999993</v>
      </c>
    </row>
    <row r="14" spans="1:6" x14ac:dyDescent="0.55000000000000004">
      <c r="A14" t="s">
        <v>523</v>
      </c>
      <c r="B14" s="20" cm="1">
        <f t="array" ref="B14">LOOKUP(2,1/('Monthly Balances'!M4:M28&lt;&gt;""),'Monthly Balances'!M4:M28)</f>
        <v>196969.94</v>
      </c>
      <c r="C14" s="17">
        <f>IFERROR(B14/$B$17,0)</f>
        <v>0.73832024951386188</v>
      </c>
      <c r="D14" s="3">
        <f>B14*Inputs!$B$14/12</f>
        <v>656.56646666666666</v>
      </c>
    </row>
    <row r="15" spans="1:6" x14ac:dyDescent="0.55000000000000004">
      <c r="A15" t="s">
        <v>53</v>
      </c>
      <c r="B15" s="20" cm="1">
        <f t="array" ref="B15">LOOKUP(2,1/('Monthly Balances'!N4:N28&lt;&gt;""),'Monthly Balances'!N4:N28)</f>
        <v>2250</v>
      </c>
      <c r="C15" s="17">
        <f>IFERROR(B15/$B$17,0)</f>
        <v>8.4338785979535223E-3</v>
      </c>
      <c r="D15" s="3">
        <f>B15*Inputs!$B$14/12</f>
        <v>7.5</v>
      </c>
    </row>
    <row r="16" spans="1:6" x14ac:dyDescent="0.55000000000000004">
      <c r="A16" t="s">
        <v>47</v>
      </c>
      <c r="B16" s="20" cm="1">
        <f t="array" ref="B16">LOOKUP(2,1/(('Monthly Balances'!A4:A28&lt;&gt;"")*('Monthly Balances'!F4:F28&lt;&gt;"")),'Monthly Balances'!F4:F28)</f>
        <v>0</v>
      </c>
      <c r="C16" s="17">
        <f>IFERROR(B16/$B$17,0)</f>
        <v>0</v>
      </c>
      <c r="D16" s="3">
        <f>B16*Inputs!$B$14/12</f>
        <v>0</v>
      </c>
    </row>
    <row r="17" spans="1:4" x14ac:dyDescent="0.55000000000000004">
      <c r="A17" s="15" t="s">
        <v>70</v>
      </c>
      <c r="B17" s="10">
        <f>SUM(B12:B16)</f>
        <v>266781.17</v>
      </c>
      <c r="C17" s="22">
        <f>SUM(C12:C16)</f>
        <v>1</v>
      </c>
      <c r="D17" s="10">
        <f>SUM(D12:D16)</f>
        <v>889.27056666666658</v>
      </c>
    </row>
    <row r="19" spans="1:4" x14ac:dyDescent="0.55000000000000004">
      <c r="A19" s="49" t="s">
        <v>89</v>
      </c>
    </row>
    <row r="20" spans="1:4" x14ac:dyDescent="0.55000000000000004">
      <c r="A20" s="49" t="s">
        <v>90</v>
      </c>
      <c r="B20" s="49" t="s">
        <v>85</v>
      </c>
      <c r="C20" s="49" t="s">
        <v>28</v>
      </c>
    </row>
    <row r="21" spans="1:4" x14ac:dyDescent="0.55000000000000004">
      <c r="A21" t="s">
        <v>491</v>
      </c>
      <c r="B21" s="20" cm="1">
        <f t="array" ref="B21">LOOKUP(2,1/('Monthly Balances'!B4:B28&lt;&gt;""),'Monthly Balances'!B4:B28)</f>
        <v>4374.71</v>
      </c>
      <c r="C21" t="s">
        <v>36</v>
      </c>
    </row>
    <row r="22" spans="1:4" x14ac:dyDescent="0.55000000000000004">
      <c r="A22" t="s">
        <v>492</v>
      </c>
      <c r="B22" s="20" cm="1">
        <f t="array" ref="B22">LOOKUP(2,1/('Monthly Balances'!C4:C28&lt;&gt;""),'Monthly Balances'!C4:C28)</f>
        <v>2563.6999999999998</v>
      </c>
      <c r="C22" t="s">
        <v>36</v>
      </c>
    </row>
    <row r="23" spans="1:4" x14ac:dyDescent="0.55000000000000004">
      <c r="A23" t="s">
        <v>495</v>
      </c>
      <c r="B23" s="20" cm="1">
        <f t="array" ref="B23">LOOKUP(2,1/('Monthly Balances'!D4:D28&lt;&gt;""),'Monthly Balances'!D4:D28)</f>
        <v>193969.94</v>
      </c>
      <c r="C23" t="s">
        <v>43</v>
      </c>
    </row>
    <row r="24" spans="1:4" x14ac:dyDescent="0.55000000000000004">
      <c r="A24" t="s">
        <v>45</v>
      </c>
      <c r="B24" s="20" cm="1">
        <f t="array" ref="B24">LOOKUP(2,1/('Monthly Balances'!E4:E28&lt;&gt;""),'Monthly Balances'!E4:E28)</f>
        <v>57050.7</v>
      </c>
      <c r="C24" t="s">
        <v>45</v>
      </c>
    </row>
    <row r="25" spans="1:4" x14ac:dyDescent="0.55000000000000004">
      <c r="A25" t="s">
        <v>47</v>
      </c>
      <c r="B25" s="20" cm="1">
        <f t="array" ref="B25">LOOKUP(2,1/('Monthly Balances'!F4:F28&lt;&gt;""),'Monthly Balances'!F4:F28)</f>
        <v>0</v>
      </c>
      <c r="C25" t="s">
        <v>47</v>
      </c>
    </row>
    <row r="26" spans="1:4" x14ac:dyDescent="0.55000000000000004">
      <c r="A26" t="s">
        <v>498</v>
      </c>
      <c r="B26" s="20" cm="1">
        <f t="array" ref="B26">LOOKUP(2,1/('Monthly Balances'!G4:G28&lt;&gt;""),'Monthly Balances'!G4:G28)</f>
        <v>1772.12</v>
      </c>
      <c r="C26" t="s">
        <v>36</v>
      </c>
    </row>
    <row r="27" spans="1:4" x14ac:dyDescent="0.55000000000000004">
      <c r="A27" t="s">
        <v>499</v>
      </c>
      <c r="B27" s="20" cm="1">
        <f t="array" ref="B27">LOOKUP(2,1/('Monthly Balances'!H4:H28&lt;&gt;""),'Monthly Balances'!H4:H28)</f>
        <v>1800</v>
      </c>
      <c r="C27" t="s">
        <v>36</v>
      </c>
    </row>
    <row r="28" spans="1:4" x14ac:dyDescent="0.55000000000000004">
      <c r="A28" t="s">
        <v>500</v>
      </c>
      <c r="B28" s="20" cm="1">
        <f t="array" ref="B28">LOOKUP(2,1/('Monthly Balances'!I4:I28&lt;&gt;""),'Monthly Balances'!I4:I28)</f>
        <v>3000</v>
      </c>
      <c r="C28" t="s">
        <v>51</v>
      </c>
    </row>
    <row r="29" spans="1:4" x14ac:dyDescent="0.55000000000000004">
      <c r="A29" t="s">
        <v>501</v>
      </c>
      <c r="B29" s="20" cm="1">
        <f t="array" ref="B29">LOOKUP(2,1/('Monthly Balances'!J4:J28&lt;&gt;""),'Monthly Balances'!J4:J28)</f>
        <v>2250</v>
      </c>
      <c r="C29" t="s">
        <v>53</v>
      </c>
    </row>
    <row r="31" spans="1:4" x14ac:dyDescent="0.55000000000000004">
      <c r="A31" s="49" t="s">
        <v>91</v>
      </c>
    </row>
    <row r="32" spans="1:4" x14ac:dyDescent="0.55000000000000004">
      <c r="A32" t="s">
        <v>92</v>
      </c>
      <c r="B32" s="23" cm="1">
        <f t="array" ref="B32">LOOKUP(2,1/('Monthly Balances'!P4:P28&lt;&gt;""),'Monthly Balances'!P4:P28)</f>
        <v>2075.3699999999953</v>
      </c>
    </row>
    <row r="33" spans="1:2" x14ac:dyDescent="0.55000000000000004">
      <c r="A33" t="s">
        <v>93</v>
      </c>
      <c r="B33" s="23" t="e" cm="1">
        <f t="array" ref="B33">LOOKUP(2,1/('Monthly Balances'!Q4:Q28&lt;&gt;""),'Monthly Balances'!Q4:Q28)</f>
        <v>#N/A</v>
      </c>
    </row>
    <row r="34" spans="1:2" x14ac:dyDescent="0.55000000000000004">
      <c r="A34" t="s">
        <v>75</v>
      </c>
      <c r="B34" s="24" cm="1">
        <f t="array" ref="B34">LOOKUP(2,1/('Monthly Balances'!R4:R28&lt;&gt;""),'Monthly Balances'!R4:R28)</f>
        <v>7.8402891058677038E-3</v>
      </c>
    </row>
  </sheetData>
  <mergeCells count="1">
    <mergeCell ref="A1:F1"/>
  </mergeCells>
  <phoneticPr fontId="20"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B9B04C-0913-4269-8647-10DDCC3D363B}">
  <dimension ref="A1:F41"/>
  <sheetViews>
    <sheetView topLeftCell="B1" zoomScale="160" zoomScaleNormal="160" workbookViewId="0">
      <selection activeCell="C39" sqref="C39"/>
    </sheetView>
  </sheetViews>
  <sheetFormatPr defaultRowHeight="14.4" x14ac:dyDescent="0.55000000000000004"/>
  <cols>
    <col min="1" max="1" width="74.15625" customWidth="1"/>
    <col min="2" max="2" width="23.578125" customWidth="1"/>
    <col min="3" max="4" width="25.41796875" customWidth="1"/>
    <col min="5" max="5" width="21.83984375" customWidth="1"/>
    <col min="6" max="6" width="25.41796875" customWidth="1"/>
  </cols>
  <sheetData>
    <row r="1" spans="1:6" ht="18.3" x14ac:dyDescent="0.7">
      <c r="A1" s="267" t="s">
        <v>94</v>
      </c>
      <c r="B1" s="267"/>
      <c r="C1" s="267"/>
      <c r="D1" s="267"/>
      <c r="E1" s="267"/>
      <c r="F1" s="267"/>
    </row>
    <row r="3" spans="1:6" x14ac:dyDescent="0.55000000000000004">
      <c r="A3" s="49" t="s">
        <v>95</v>
      </c>
    </row>
    <row r="4" spans="1:6" x14ac:dyDescent="0.55000000000000004">
      <c r="A4" s="49" t="s">
        <v>96</v>
      </c>
      <c r="B4" s="49" t="s">
        <v>97</v>
      </c>
      <c r="C4" s="49" t="s">
        <v>98</v>
      </c>
      <c r="D4" s="49" t="s">
        <v>99</v>
      </c>
      <c r="E4" s="49" t="s">
        <v>87</v>
      </c>
      <c r="F4" s="49" t="s">
        <v>100</v>
      </c>
    </row>
    <row r="5" spans="1:6" x14ac:dyDescent="0.55000000000000004">
      <c r="A5" t="s">
        <v>491</v>
      </c>
      <c r="B5" s="20">
        <f>'Net Worth'!B21</f>
        <v>4374.71</v>
      </c>
      <c r="C5" s="20">
        <f>Inputs!B18</f>
        <v>1500000</v>
      </c>
      <c r="D5" s="26">
        <f t="shared" ref="D5:D11" si="0">B5-C5</f>
        <v>-1495625.29</v>
      </c>
      <c r="E5" s="3">
        <f>B5*Inputs!$B$14/12</f>
        <v>14.582366666666667</v>
      </c>
      <c r="F5" s="3">
        <f>C5*Inputs!$B$14/12</f>
        <v>5000</v>
      </c>
    </row>
    <row r="6" spans="1:6" x14ac:dyDescent="0.55000000000000004">
      <c r="A6" t="s">
        <v>492</v>
      </c>
      <c r="B6" s="20">
        <f>'Net Worth'!B22</f>
        <v>2563.6999999999998</v>
      </c>
      <c r="C6" s="20">
        <f>Inputs!B19</f>
        <v>0</v>
      </c>
      <c r="D6" s="26">
        <f t="shared" si="0"/>
        <v>2563.6999999999998</v>
      </c>
      <c r="E6" s="3">
        <f>B6*Inputs!$B$14/12</f>
        <v>8.5456666666666674</v>
      </c>
      <c r="F6" s="3">
        <f>C6*Inputs!$B$14/12</f>
        <v>0</v>
      </c>
    </row>
    <row r="7" spans="1:6" x14ac:dyDescent="0.55000000000000004">
      <c r="A7" t="s">
        <v>495</v>
      </c>
      <c r="B7" s="20">
        <f>'Net Worth'!B23</f>
        <v>193969.94</v>
      </c>
      <c r="C7" s="20">
        <f>Inputs!B20</f>
        <v>1000000</v>
      </c>
      <c r="D7" s="26">
        <f t="shared" si="0"/>
        <v>-806030.06</v>
      </c>
      <c r="E7" s="3">
        <f>B7*Inputs!$B$14/12</f>
        <v>646.56646666666666</v>
      </c>
      <c r="F7" s="3">
        <f>C7*Inputs!$B$14/12</f>
        <v>3333.3333333333335</v>
      </c>
    </row>
    <row r="8" spans="1:6" x14ac:dyDescent="0.55000000000000004">
      <c r="A8" t="s">
        <v>498</v>
      </c>
      <c r="B8" s="20">
        <f>'Net Worth'!B26+'Net Worth'!B27</f>
        <v>3572.12</v>
      </c>
      <c r="C8" s="20">
        <f>Inputs!B21</f>
        <v>0</v>
      </c>
      <c r="D8" s="26">
        <f t="shared" si="0"/>
        <v>3572.12</v>
      </c>
      <c r="E8" s="3">
        <f>B8*Inputs!$B$14/12</f>
        <v>11.907066666666667</v>
      </c>
      <c r="F8" s="3">
        <f>C8*Inputs!$B$14/12</f>
        <v>0</v>
      </c>
    </row>
    <row r="9" spans="1:6" x14ac:dyDescent="0.55000000000000004">
      <c r="A9" t="s">
        <v>500</v>
      </c>
      <c r="B9" s="20">
        <f>'Net Worth'!B28</f>
        <v>3000</v>
      </c>
      <c r="C9" s="20">
        <f>Inputs!B22</f>
        <v>0</v>
      </c>
      <c r="D9" s="26">
        <f t="shared" si="0"/>
        <v>3000</v>
      </c>
      <c r="E9" s="3">
        <f>B9*Inputs!$B$14/12</f>
        <v>10</v>
      </c>
      <c r="F9" s="3">
        <f>C9*Inputs!$B$14/12</f>
        <v>0</v>
      </c>
    </row>
    <row r="10" spans="1:6" x14ac:dyDescent="0.55000000000000004">
      <c r="A10" t="s">
        <v>501</v>
      </c>
      <c r="B10" s="20">
        <f>'Net Worth'!B29</f>
        <v>2250</v>
      </c>
      <c r="C10" s="20">
        <f>Inputs!B23</f>
        <v>0</v>
      </c>
      <c r="D10" s="26">
        <f t="shared" si="0"/>
        <v>2250</v>
      </c>
      <c r="E10" s="3">
        <f>B10*Inputs!$B$14/12</f>
        <v>7.5</v>
      </c>
      <c r="F10" s="3">
        <f>C10*Inputs!$B$14/12</f>
        <v>0</v>
      </c>
    </row>
    <row r="11" spans="1:6" x14ac:dyDescent="0.55000000000000004">
      <c r="A11" s="15" t="s">
        <v>101</v>
      </c>
      <c r="B11" s="10">
        <f>SUM(B5:B10)</f>
        <v>209730.47</v>
      </c>
      <c r="C11" s="10">
        <f>SUM(C5:C10)</f>
        <v>2500000</v>
      </c>
      <c r="D11" s="27">
        <f t="shared" si="0"/>
        <v>-2290269.5299999998</v>
      </c>
      <c r="E11" s="10">
        <f>SUM(E5:E10)</f>
        <v>699.1015666666666</v>
      </c>
      <c r="F11" s="10">
        <f>SUM(F5:F10)</f>
        <v>8333.3333333333339</v>
      </c>
    </row>
    <row r="13" spans="1:6" x14ac:dyDescent="0.55000000000000004">
      <c r="A13" s="49" t="s">
        <v>102</v>
      </c>
    </row>
    <row r="14" spans="1:6" x14ac:dyDescent="0.55000000000000004">
      <c r="A14" s="49" t="s">
        <v>103</v>
      </c>
      <c r="B14" s="49" t="s">
        <v>104</v>
      </c>
      <c r="C14" s="49" t="s">
        <v>105</v>
      </c>
    </row>
    <row r="15" spans="1:6" x14ac:dyDescent="0.55000000000000004">
      <c r="A15" t="s">
        <v>106</v>
      </c>
      <c r="B15" s="3">
        <f>E11</f>
        <v>699.1015666666666</v>
      </c>
      <c r="C15" s="3">
        <f>F11</f>
        <v>8333.3333333333339</v>
      </c>
    </row>
    <row r="16" spans="1:6" x14ac:dyDescent="0.55000000000000004">
      <c r="A16" t="s">
        <v>107</v>
      </c>
      <c r="B16" s="20">
        <f>'SS Benefits'!B13</f>
        <v>4938</v>
      </c>
      <c r="C16" s="20">
        <f>B16</f>
        <v>4938</v>
      </c>
    </row>
    <row r="17" spans="1:3" x14ac:dyDescent="0.55000000000000004">
      <c r="A17" t="s">
        <v>108</v>
      </c>
      <c r="B17" s="20">
        <f>Inputs!B15</f>
        <v>0</v>
      </c>
      <c r="C17" s="3">
        <f>B17</f>
        <v>0</v>
      </c>
    </row>
    <row r="18" spans="1:3" x14ac:dyDescent="0.55000000000000004">
      <c r="A18" s="15" t="s">
        <v>109</v>
      </c>
      <c r="B18" s="10">
        <f>B15+B16+B17</f>
        <v>5637.1015666666663</v>
      </c>
      <c r="C18" s="10">
        <f>C15+C16+C17</f>
        <v>13271.333333333334</v>
      </c>
    </row>
    <row r="20" spans="1:3" x14ac:dyDescent="0.55000000000000004">
      <c r="A20" s="49" t="s">
        <v>110</v>
      </c>
    </row>
    <row r="21" spans="1:3" x14ac:dyDescent="0.55000000000000004">
      <c r="A21" t="s">
        <v>111</v>
      </c>
      <c r="B21" s="6">
        <f>MAX(0,Inputs!B8-Inputs!B5)</f>
        <v>27</v>
      </c>
    </row>
    <row r="22" spans="1:3" x14ac:dyDescent="0.55000000000000004">
      <c r="A22" t="s">
        <v>524</v>
      </c>
      <c r="B22" s="28">
        <f>Inputs!B13</f>
        <v>0.06</v>
      </c>
    </row>
    <row r="23" spans="1:3" x14ac:dyDescent="0.55000000000000004">
      <c r="A23" t="s">
        <v>112</v>
      </c>
      <c r="B23" s="28">
        <f>Inputs!B12</f>
        <v>0.03</v>
      </c>
    </row>
    <row r="24" spans="1:3" x14ac:dyDescent="0.55000000000000004">
      <c r="A24" t="s">
        <v>491</v>
      </c>
      <c r="B24" s="3">
        <f>B5*(1+Inputs!$B$13)^$B$21</f>
        <v>21096.365010256253</v>
      </c>
    </row>
    <row r="25" spans="1:3" x14ac:dyDescent="0.55000000000000004">
      <c r="A25" t="s">
        <v>492</v>
      </c>
      <c r="B25" s="3">
        <f>B6*(1+Inputs!$B$13)^$B$21</f>
        <v>12363.048288182292</v>
      </c>
    </row>
    <row r="26" spans="1:3" x14ac:dyDescent="0.55000000000000004">
      <c r="A26" t="s">
        <v>495</v>
      </c>
      <c r="B26" s="3">
        <f>B7*(1+Inputs!$B$13)^$B$21</f>
        <v>935390.15277755668</v>
      </c>
    </row>
    <row r="27" spans="1:3" x14ac:dyDescent="0.55000000000000004">
      <c r="A27" t="s">
        <v>498</v>
      </c>
      <c r="B27" s="3">
        <f>B8*(1+Inputs!$B$13)^$B$21</f>
        <v>17225.998381706802</v>
      </c>
    </row>
    <row r="28" spans="1:3" x14ac:dyDescent="0.55000000000000004">
      <c r="A28" t="s">
        <v>500</v>
      </c>
      <c r="B28" s="3">
        <f>B9*(1+Inputs!$B$13)^$B$21</f>
        <v>14467.037822111353</v>
      </c>
    </row>
    <row r="29" spans="1:3" x14ac:dyDescent="0.55000000000000004">
      <c r="A29" t="s">
        <v>72</v>
      </c>
      <c r="B29" s="3">
        <f>B10*(1+Inputs!$B$13)^$B$21</f>
        <v>10850.278366583516</v>
      </c>
    </row>
    <row r="30" spans="1:3" x14ac:dyDescent="0.55000000000000004">
      <c r="A30" s="15" t="s">
        <v>525</v>
      </c>
      <c r="B30" s="10">
        <f>SUM(B24:B29)</f>
        <v>1011392.8806463969</v>
      </c>
    </row>
    <row r="31" spans="1:3" x14ac:dyDescent="0.55000000000000004">
      <c r="A31" t="s">
        <v>526</v>
      </c>
      <c r="B31" s="3">
        <f>B30*Inputs!$B$14/12</f>
        <v>3371.3096021546567</v>
      </c>
    </row>
    <row r="32" spans="1:3" x14ac:dyDescent="0.55000000000000004">
      <c r="A32" t="s">
        <v>527</v>
      </c>
      <c r="B32" s="3">
        <f>B31+'SS Benefits'!B13*(1+Inputs!$B$12)^$B$21+Inputs!B15*(1+Inputs!$B$12)^$B$21</f>
        <v>14340.034711660084</v>
      </c>
    </row>
    <row r="33" spans="1:6" x14ac:dyDescent="0.55000000000000004">
      <c r="A33" t="s">
        <v>528</v>
      </c>
      <c r="B33" s="10">
        <f>B32/(1+Inputs!$B$12)^$B$21</f>
        <v>6455.7266864872972</v>
      </c>
    </row>
    <row r="35" spans="1:6" x14ac:dyDescent="0.55000000000000004">
      <c r="A35" s="49" t="s">
        <v>113</v>
      </c>
    </row>
    <row r="36" spans="1:6" x14ac:dyDescent="0.55000000000000004">
      <c r="A36" t="s">
        <v>114</v>
      </c>
      <c r="B36" s="26">
        <f>D11</f>
        <v>-2290269.5299999998</v>
      </c>
    </row>
    <row r="37" spans="1:6" x14ac:dyDescent="0.55000000000000004">
      <c r="A37" t="s">
        <v>115</v>
      </c>
      <c r="B37" s="6">
        <f>IFERROR(ABS(D11)/ABS(D11)*$B$21,$B$21)</f>
        <v>27</v>
      </c>
    </row>
    <row r="38" spans="1:6" x14ac:dyDescent="0.55000000000000004">
      <c r="A38" t="s">
        <v>116</v>
      </c>
      <c r="B38" s="3">
        <f>IF($B$21&lt;=0,MAX(0,-D11),MAX(0,-D11)/$B$21)</f>
        <v>84824.797407407401</v>
      </c>
    </row>
    <row r="39" spans="1:6" x14ac:dyDescent="0.55000000000000004">
      <c r="A39" t="s">
        <v>117</v>
      </c>
      <c r="B39" s="3">
        <f>IF(OR($B$21&lt;=0,Inputs!$B$13=0),B38,MAX(0,(-D11)*Inputs!$B$13/((1+Inputs!$B$13)^$B$21-1)))</f>
        <v>35950.741751726011</v>
      </c>
    </row>
    <row r="41" spans="1:6" ht="48" customHeight="1" x14ac:dyDescent="0.55000000000000004">
      <c r="A41" s="269" t="s">
        <v>118</v>
      </c>
      <c r="B41" s="269"/>
      <c r="C41" s="269"/>
      <c r="D41" s="269"/>
      <c r="E41" s="269"/>
      <c r="F41" s="269"/>
    </row>
  </sheetData>
  <mergeCells count="2">
    <mergeCell ref="A1:F1"/>
    <mergeCell ref="A41:F41"/>
  </mergeCells>
  <phoneticPr fontId="20" type="noConversion"/>
  <conditionalFormatting sqref="D5:D11">
    <cfRule type="cellIs" dxfId="2" priority="1" operator="lessThan">
      <formula>0</formula>
    </cfRule>
    <cfRule type="cellIs" dxfId="1" priority="2" operator="greaterThan">
      <formula>0</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A0BF9-7629-4D73-AF70-5140013EAE14}">
  <dimension ref="A1:J14"/>
  <sheetViews>
    <sheetView tabSelected="1" zoomScale="130" zoomScaleNormal="130" workbookViewId="0">
      <selection activeCell="A13" sqref="A13"/>
    </sheetView>
  </sheetViews>
  <sheetFormatPr defaultRowHeight="14.4" x14ac:dyDescent="0.55000000000000004"/>
  <cols>
    <col min="1" max="1" width="57.26171875" bestFit="1" customWidth="1"/>
    <col min="2" max="2" width="61.68359375" bestFit="1" customWidth="1"/>
    <col min="3" max="3" width="13.15625" bestFit="1" customWidth="1"/>
    <col min="4" max="4" width="14.68359375" bestFit="1" customWidth="1"/>
    <col min="5" max="5" width="13.578125" bestFit="1" customWidth="1"/>
    <col min="6" max="6" width="11.41796875" bestFit="1" customWidth="1"/>
    <col min="7" max="10" width="15.578125" bestFit="1" customWidth="1"/>
  </cols>
  <sheetData>
    <row r="1" spans="1:10" ht="18.3" x14ac:dyDescent="0.7">
      <c r="A1" s="267" t="s">
        <v>119</v>
      </c>
      <c r="B1" s="267"/>
      <c r="C1" s="267"/>
      <c r="D1" s="267"/>
      <c r="E1" s="267"/>
      <c r="F1" s="267"/>
    </row>
    <row r="3" spans="1:10" x14ac:dyDescent="0.55000000000000004">
      <c r="A3" s="49" t="s">
        <v>120</v>
      </c>
    </row>
    <row r="4" spans="1:10" x14ac:dyDescent="0.55000000000000004">
      <c r="A4" s="48" t="s">
        <v>121</v>
      </c>
      <c r="B4" s="48" t="s">
        <v>122</v>
      </c>
      <c r="C4" s="48" t="s">
        <v>123</v>
      </c>
      <c r="D4" s="48" t="s">
        <v>124</v>
      </c>
      <c r="E4" s="48" t="s">
        <v>125</v>
      </c>
      <c r="F4" s="48" t="s">
        <v>126</v>
      </c>
      <c r="G4" s="48" t="s">
        <v>127</v>
      </c>
      <c r="H4" s="48" t="s">
        <v>128</v>
      </c>
      <c r="I4" s="48" t="s">
        <v>129</v>
      </c>
      <c r="J4" s="48" t="s">
        <v>130</v>
      </c>
    </row>
    <row r="5" spans="1:10" x14ac:dyDescent="0.55000000000000004">
      <c r="A5" s="7">
        <v>62</v>
      </c>
      <c r="B5" s="9">
        <v>2568</v>
      </c>
      <c r="C5" s="3">
        <f>B5*0.5</f>
        <v>1284</v>
      </c>
      <c r="D5" s="3">
        <f>B5+C5</f>
        <v>3852</v>
      </c>
      <c r="E5" s="3">
        <f>D5*12</f>
        <v>46224</v>
      </c>
      <c r="F5" s="6">
        <f>A5-Inputs!$B$5</f>
        <v>24</v>
      </c>
      <c r="G5" s="3">
        <f>MAX(0,70-A5)*B5*12</f>
        <v>246528</v>
      </c>
      <c r="H5" s="3">
        <f>MAX(0,75-A5)*B5*12</f>
        <v>400608</v>
      </c>
      <c r="I5" s="3">
        <f>MAX(0,80-A5)*B5*12</f>
        <v>554688</v>
      </c>
      <c r="J5" s="3">
        <f>MAX(0,85-A5)*B5*12</f>
        <v>708768</v>
      </c>
    </row>
    <row r="6" spans="1:10" x14ac:dyDescent="0.55000000000000004">
      <c r="A6" s="7">
        <v>65</v>
      </c>
      <c r="B6" s="9">
        <v>3292</v>
      </c>
      <c r="C6" s="3">
        <f>B6*0.5</f>
        <v>1646</v>
      </c>
      <c r="D6" s="3">
        <f>B6+C6</f>
        <v>4938</v>
      </c>
      <c r="E6" s="3">
        <f>D6*12</f>
        <v>59256</v>
      </c>
      <c r="F6" s="6">
        <f>A6-Inputs!$B$5</f>
        <v>27</v>
      </c>
      <c r="G6" s="3">
        <f>MAX(0,70-A6)*B6*12</f>
        <v>197520</v>
      </c>
      <c r="H6" s="3">
        <f>MAX(0,75-A6)*B6*12</f>
        <v>395040</v>
      </c>
      <c r="I6" s="3">
        <f>MAX(0,80-A6)*B6*12</f>
        <v>592560</v>
      </c>
      <c r="J6" s="3">
        <f>MAX(0,85-A6)*B6*12</f>
        <v>790080</v>
      </c>
    </row>
    <row r="7" spans="1:10" x14ac:dyDescent="0.55000000000000004">
      <c r="A7" s="7">
        <v>67</v>
      </c>
      <c r="B7" s="9">
        <v>3899</v>
      </c>
      <c r="C7" s="3">
        <f>B7*0.5</f>
        <v>1949.5</v>
      </c>
      <c r="D7" s="3">
        <f>B7+C7</f>
        <v>5848.5</v>
      </c>
      <c r="E7" s="3">
        <f>D7*12</f>
        <v>70182</v>
      </c>
      <c r="F7" s="6">
        <f>A7-Inputs!$B$5</f>
        <v>29</v>
      </c>
      <c r="G7" s="3">
        <f>MAX(0,70-A7)*B7*12</f>
        <v>140364</v>
      </c>
      <c r="H7" s="3">
        <f>MAX(0,75-A7)*B7*12</f>
        <v>374304</v>
      </c>
      <c r="I7" s="3">
        <f>MAX(0,80-A7)*B7*12</f>
        <v>608244</v>
      </c>
      <c r="J7" s="3">
        <f>MAX(0,85-A7)*B7*12</f>
        <v>842184</v>
      </c>
    </row>
    <row r="8" spans="1:10" x14ac:dyDescent="0.55000000000000004">
      <c r="A8" s="7">
        <v>70</v>
      </c>
      <c r="B8" s="9">
        <v>4965</v>
      </c>
      <c r="C8" s="3">
        <f>B8*0.5</f>
        <v>2482.5</v>
      </c>
      <c r="D8" s="3">
        <f>B8+C8</f>
        <v>7447.5</v>
      </c>
      <c r="E8" s="3">
        <f>D8*12</f>
        <v>89370</v>
      </c>
      <c r="F8" s="6">
        <f>A8-Inputs!$B$5</f>
        <v>32</v>
      </c>
      <c r="G8" s="3">
        <f>MAX(0,70-A8)*B8*12</f>
        <v>0</v>
      </c>
      <c r="H8" s="3">
        <f>MAX(0,75-A8)*B8*12</f>
        <v>297900</v>
      </c>
      <c r="I8" s="3">
        <f>MAX(0,80-A8)*B8*12</f>
        <v>595800</v>
      </c>
      <c r="J8" s="3">
        <f>MAX(0,85-A8)*B8*12</f>
        <v>893700</v>
      </c>
    </row>
    <row r="10" spans="1:10" x14ac:dyDescent="0.55000000000000004">
      <c r="A10" s="49" t="s">
        <v>131</v>
      </c>
    </row>
    <row r="11" spans="1:10" x14ac:dyDescent="0.55000000000000004">
      <c r="A11" t="s">
        <v>132</v>
      </c>
      <c r="B11" s="7">
        <f>Inputs!B8</f>
        <v>65</v>
      </c>
    </row>
    <row r="12" spans="1:10" x14ac:dyDescent="0.55000000000000004">
      <c r="A12" t="s">
        <v>133</v>
      </c>
      <c r="B12" s="20">
        <f>_xlfn.XLOOKUP(B11,A5:A8,B5:B8)</f>
        <v>3292</v>
      </c>
    </row>
    <row r="13" spans="1:10" x14ac:dyDescent="0.55000000000000004">
      <c r="A13" t="s">
        <v>134</v>
      </c>
      <c r="B13" s="21">
        <f>_xlfn.XLOOKUP(B11,A5:A8,D5:D8)</f>
        <v>4938</v>
      </c>
    </row>
    <row r="14" spans="1:10" x14ac:dyDescent="0.55000000000000004">
      <c r="A14" s="25" t="s">
        <v>135</v>
      </c>
      <c r="B14" s="47" t="s">
        <v>136</v>
      </c>
    </row>
  </sheetData>
  <mergeCells count="1">
    <mergeCell ref="A1:F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5B6448-88E3-45D1-AB47-744BB390BC9B}">
  <dimension ref="A1:F29"/>
  <sheetViews>
    <sheetView workbookViewId="0">
      <selection activeCell="C29" sqref="C29"/>
    </sheetView>
  </sheetViews>
  <sheetFormatPr defaultRowHeight="14.4" x14ac:dyDescent="0.55000000000000004"/>
  <cols>
    <col min="1" max="1" width="35.26171875" customWidth="1"/>
    <col min="2" max="3" width="19" customWidth="1"/>
    <col min="4" max="5" width="22.83984375" customWidth="1"/>
    <col min="6" max="6" width="13.26171875" customWidth="1"/>
  </cols>
  <sheetData>
    <row r="1" spans="1:6" ht="18.3" x14ac:dyDescent="0.7">
      <c r="A1" s="267" t="s">
        <v>137</v>
      </c>
      <c r="B1" s="267"/>
      <c r="C1" s="267"/>
      <c r="D1" s="267"/>
      <c r="E1" s="267"/>
      <c r="F1" s="267"/>
    </row>
    <row r="3" spans="1:6" x14ac:dyDescent="0.55000000000000004">
      <c r="A3" s="49" t="s">
        <v>138</v>
      </c>
    </row>
    <row r="4" spans="1:6" x14ac:dyDescent="0.55000000000000004">
      <c r="A4" t="s">
        <v>139</v>
      </c>
    </row>
    <row r="6" spans="1:6" x14ac:dyDescent="0.55000000000000004">
      <c r="A6" s="49" t="s">
        <v>140</v>
      </c>
    </row>
    <row r="7" spans="1:6" x14ac:dyDescent="0.55000000000000004">
      <c r="A7" t="s">
        <v>141</v>
      </c>
      <c r="B7" s="7">
        <v>2026</v>
      </c>
    </row>
    <row r="8" spans="1:6" x14ac:dyDescent="0.55000000000000004">
      <c r="A8" t="s">
        <v>11</v>
      </c>
      <c r="B8" s="13" t="str">
        <f>Inputs!B6</f>
        <v>Married Filing Jointly</v>
      </c>
    </row>
    <row r="9" spans="1:6" x14ac:dyDescent="0.55000000000000004">
      <c r="A9" t="s">
        <v>142</v>
      </c>
      <c r="B9" s="9">
        <f>100000+B11</f>
        <v>100000</v>
      </c>
    </row>
    <row r="10" spans="1:6" x14ac:dyDescent="0.55000000000000004">
      <c r="A10" t="s">
        <v>143</v>
      </c>
      <c r="B10" s="9">
        <f>Tax!F14</f>
        <v>50367.6</v>
      </c>
    </row>
    <row r="11" spans="1:6" x14ac:dyDescent="0.55000000000000004">
      <c r="A11" t="s">
        <v>144</v>
      </c>
      <c r="B11" s="9">
        <f>'Roth Conversion'!B9</f>
        <v>0</v>
      </c>
    </row>
    <row r="12" spans="1:6" x14ac:dyDescent="0.55000000000000004">
      <c r="A12" t="s">
        <v>145</v>
      </c>
      <c r="B12" s="9">
        <f>Tax!F5</f>
        <v>0</v>
      </c>
    </row>
    <row r="14" spans="1:6" x14ac:dyDescent="0.55000000000000004">
      <c r="A14" s="49" t="s">
        <v>529</v>
      </c>
    </row>
    <row r="15" spans="1:6" x14ac:dyDescent="0.55000000000000004">
      <c r="A15" s="59" t="s">
        <v>146</v>
      </c>
      <c r="B15" s="59" t="s">
        <v>147</v>
      </c>
      <c r="C15" s="59" t="s">
        <v>148</v>
      </c>
      <c r="D15" s="59" t="s">
        <v>149</v>
      </c>
      <c r="E15" s="59" t="s">
        <v>150</v>
      </c>
    </row>
    <row r="16" spans="1:6" x14ac:dyDescent="0.55000000000000004">
      <c r="A16" s="60">
        <v>0</v>
      </c>
      <c r="B16" s="61">
        <v>0</v>
      </c>
      <c r="C16" s="61">
        <v>218000</v>
      </c>
      <c r="D16" s="62">
        <v>0</v>
      </c>
      <c r="E16" s="62">
        <v>0</v>
      </c>
    </row>
    <row r="17" spans="1:5" x14ac:dyDescent="0.55000000000000004">
      <c r="A17" s="60">
        <v>1</v>
      </c>
      <c r="B17" s="61">
        <v>218001</v>
      </c>
      <c r="C17" s="61">
        <v>274000</v>
      </c>
      <c r="D17" s="62">
        <v>81.2</v>
      </c>
      <c r="E17" s="62">
        <v>14.5</v>
      </c>
    </row>
    <row r="18" spans="1:5" x14ac:dyDescent="0.55000000000000004">
      <c r="A18" s="60">
        <v>2</v>
      </c>
      <c r="B18" s="61">
        <v>274001</v>
      </c>
      <c r="C18" s="61">
        <v>342000</v>
      </c>
      <c r="D18" s="62">
        <v>202.9</v>
      </c>
      <c r="E18" s="62">
        <v>37.5</v>
      </c>
    </row>
    <row r="19" spans="1:5" x14ac:dyDescent="0.55000000000000004">
      <c r="A19" s="60">
        <v>3</v>
      </c>
      <c r="B19" s="61">
        <v>342001</v>
      </c>
      <c r="C19" s="61">
        <v>410000</v>
      </c>
      <c r="D19" s="62">
        <v>324.60000000000002</v>
      </c>
      <c r="E19" s="62">
        <v>60.4</v>
      </c>
    </row>
    <row r="20" spans="1:5" x14ac:dyDescent="0.55000000000000004">
      <c r="A20" s="60">
        <v>4</v>
      </c>
      <c r="B20" s="61">
        <v>410001</v>
      </c>
      <c r="C20" s="61">
        <v>749999</v>
      </c>
      <c r="D20" s="62">
        <v>446.3</v>
      </c>
      <c r="E20" s="62">
        <v>83.3</v>
      </c>
    </row>
    <row r="21" spans="1:5" x14ac:dyDescent="0.55000000000000004">
      <c r="A21" s="63">
        <v>5</v>
      </c>
      <c r="B21" s="64">
        <v>750000</v>
      </c>
      <c r="C21" s="64" t="s">
        <v>245</v>
      </c>
      <c r="D21" s="65">
        <v>487</v>
      </c>
      <c r="E21" s="65">
        <v>91</v>
      </c>
    </row>
    <row r="22" spans="1:5" x14ac:dyDescent="0.55000000000000004">
      <c r="A22" s="49" t="s">
        <v>151</v>
      </c>
    </row>
    <row r="23" spans="1:5" x14ac:dyDescent="0.55000000000000004">
      <c r="A23" t="s">
        <v>531</v>
      </c>
    </row>
    <row r="24" spans="1:5" x14ac:dyDescent="0.55000000000000004">
      <c r="A24" t="s">
        <v>532</v>
      </c>
    </row>
    <row r="25" spans="1:5" x14ac:dyDescent="0.55000000000000004">
      <c r="A25" t="s">
        <v>533</v>
      </c>
    </row>
    <row r="26" spans="1:5" x14ac:dyDescent="0.55000000000000004">
      <c r="A26" t="s">
        <v>152</v>
      </c>
      <c r="B26" s="29" t="s">
        <v>530</v>
      </c>
    </row>
    <row r="28" spans="1:5" x14ac:dyDescent="0.55000000000000004">
      <c r="A28" t="s">
        <v>153</v>
      </c>
      <c r="B28" s="13">
        <f>Timeline!D46</f>
        <v>0</v>
      </c>
    </row>
    <row r="29" spans="1:5" x14ac:dyDescent="0.55000000000000004">
      <c r="A29" t="s">
        <v>154</v>
      </c>
      <c r="B29" s="20">
        <f>Timeline!BB8</f>
        <v>218000</v>
      </c>
    </row>
  </sheetData>
  <mergeCells count="1">
    <mergeCell ref="A1:F1"/>
  </mergeCells>
  <conditionalFormatting sqref="A16:E21">
    <cfRule type="expression" dxfId="0" priority="1">
      <formula>AND($B$9&gt;=$B16,OR($C16="No limit",$B$9&lt;=$C16))</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8C6B4-5E9F-441F-96C3-106D2D64A078}">
  <dimension ref="A1:F79"/>
  <sheetViews>
    <sheetView topLeftCell="A61" workbookViewId="0">
      <selection activeCell="B79" sqref="B79"/>
    </sheetView>
  </sheetViews>
  <sheetFormatPr defaultRowHeight="14.4" x14ac:dyDescent="0.55000000000000004"/>
  <cols>
    <col min="1" max="1" width="40" customWidth="1"/>
    <col min="2" max="2" width="41.26171875" bestFit="1" customWidth="1"/>
    <col min="3" max="3" width="26.41796875" customWidth="1"/>
    <col min="4" max="4" width="25.41796875" customWidth="1"/>
    <col min="5" max="5" width="19.15625" customWidth="1"/>
    <col min="6" max="6" width="7.26171875" customWidth="1"/>
  </cols>
  <sheetData>
    <row r="1" spans="1:6" ht="18.3" x14ac:dyDescent="0.7">
      <c r="A1" s="267" t="s">
        <v>155</v>
      </c>
      <c r="B1" s="267"/>
      <c r="C1" s="267"/>
      <c r="D1" s="267"/>
      <c r="E1" s="267"/>
      <c r="F1" s="267"/>
    </row>
    <row r="3" spans="1:6" x14ac:dyDescent="0.55000000000000004">
      <c r="A3" s="49" t="s">
        <v>138</v>
      </c>
    </row>
    <row r="4" spans="1:6" ht="43.2" x14ac:dyDescent="0.55000000000000004">
      <c r="A4" s="50" t="s">
        <v>156</v>
      </c>
    </row>
    <row r="6" spans="1:6" x14ac:dyDescent="0.55000000000000004">
      <c r="A6" s="49" t="s">
        <v>157</v>
      </c>
    </row>
    <row r="7" spans="1:6" x14ac:dyDescent="0.55000000000000004">
      <c r="A7" t="s">
        <v>158</v>
      </c>
      <c r="B7" s="30">
        <f>Inputs!B4</f>
        <v>32143</v>
      </c>
    </row>
    <row r="8" spans="1:6" x14ac:dyDescent="0.55000000000000004">
      <c r="A8" t="s">
        <v>9</v>
      </c>
      <c r="B8" s="19">
        <f>Inputs!B5</f>
        <v>38</v>
      </c>
    </row>
    <row r="9" spans="1:6" x14ac:dyDescent="0.55000000000000004">
      <c r="A9" t="s">
        <v>159</v>
      </c>
      <c r="B9" s="40">
        <f>IF(YEAR(B7)&gt;=1960,75,IF(YEAR(B7)&gt;=1951,73,IF(YEAR(B7)&gt;=1949,72,70.5)))</f>
        <v>75</v>
      </c>
    </row>
    <row r="10" spans="1:6" x14ac:dyDescent="0.55000000000000004">
      <c r="A10" t="s">
        <v>160</v>
      </c>
      <c r="B10" s="6">
        <f>MAX(0,B9-B8)</f>
        <v>37</v>
      </c>
    </row>
    <row r="11" spans="1:6" x14ac:dyDescent="0.55000000000000004">
      <c r="A11" t="s">
        <v>161</v>
      </c>
      <c r="B11" t="str">
        <f>IF(B8&gt;=B9,"Yes","No")</f>
        <v>No</v>
      </c>
    </row>
    <row r="12" spans="1:6" x14ac:dyDescent="0.55000000000000004">
      <c r="A12" s="15" t="s">
        <v>162</v>
      </c>
      <c r="B12" s="51">
        <f>_xlfn.XLOOKUP(B9,$A$21:$A$69,$B$21:$B$69,"")</f>
        <v>24.6</v>
      </c>
    </row>
    <row r="13" spans="1:6" x14ac:dyDescent="0.55000000000000004">
      <c r="A13" s="49" t="s">
        <v>163</v>
      </c>
    </row>
    <row r="14" spans="1:6" x14ac:dyDescent="0.55000000000000004">
      <c r="A14" s="49" t="s">
        <v>90</v>
      </c>
      <c r="B14" s="49" t="s">
        <v>85</v>
      </c>
      <c r="C14" s="49" t="s">
        <v>164</v>
      </c>
      <c r="D14" s="49" t="s">
        <v>165</v>
      </c>
      <c r="E14" s="49" t="s">
        <v>166</v>
      </c>
    </row>
    <row r="15" spans="1:6" x14ac:dyDescent="0.55000000000000004">
      <c r="A15" t="s">
        <v>495</v>
      </c>
      <c r="B15" s="20">
        <f>'Net Worth'!B23</f>
        <v>193969.94</v>
      </c>
      <c r="C15" s="9">
        <v>0</v>
      </c>
      <c r="D15" s="31">
        <f>IF($B$11="No",0,_xlfn.XLOOKUP($B$8,$A$21:$A$69,$B$21:$B$69,0))</f>
        <v>0</v>
      </c>
      <c r="E15" s="3">
        <f>IF(OR($B$11="No",D15=0),0,C15/D15)</f>
        <v>0</v>
      </c>
    </row>
    <row r="16" spans="1:6" x14ac:dyDescent="0.55000000000000004">
      <c r="A16" t="s">
        <v>500</v>
      </c>
      <c r="B16" s="20">
        <f>'Net Worth'!B28</f>
        <v>3000</v>
      </c>
      <c r="C16" s="9">
        <v>0</v>
      </c>
      <c r="D16" s="31">
        <f t="shared" ref="D16" si="0">IF($B$11="No",0,_xlfn.XLOOKUP($B$8,$A$21:$A$69,$B$21:$B$69,0))</f>
        <v>0</v>
      </c>
      <c r="E16" s="3">
        <f>IF(OR($B$11="No",D16=0),0,C16/D16)</f>
        <v>0</v>
      </c>
    </row>
    <row r="17" spans="1:5" x14ac:dyDescent="0.55000000000000004">
      <c r="A17" s="15" t="s">
        <v>167</v>
      </c>
      <c r="E17" s="10">
        <f>SUM(E15:E16)</f>
        <v>0</v>
      </c>
    </row>
    <row r="19" spans="1:5" x14ac:dyDescent="0.55000000000000004">
      <c r="A19" s="49" t="s">
        <v>168</v>
      </c>
    </row>
    <row r="20" spans="1:5" x14ac:dyDescent="0.55000000000000004">
      <c r="A20" s="52" t="s">
        <v>76</v>
      </c>
      <c r="B20" s="52" t="s">
        <v>169</v>
      </c>
    </row>
    <row r="21" spans="1:5" x14ac:dyDescent="0.55000000000000004">
      <c r="A21" s="53">
        <v>72</v>
      </c>
      <c r="B21" s="56">
        <v>27.4</v>
      </c>
    </row>
    <row r="22" spans="1:5" x14ac:dyDescent="0.55000000000000004">
      <c r="A22" s="54">
        <v>73</v>
      </c>
      <c r="B22" s="57">
        <v>26.5</v>
      </c>
    </row>
    <row r="23" spans="1:5" x14ac:dyDescent="0.55000000000000004">
      <c r="A23" s="54">
        <v>74</v>
      </c>
      <c r="B23" s="57">
        <v>25.5</v>
      </c>
    </row>
    <row r="24" spans="1:5" x14ac:dyDescent="0.55000000000000004">
      <c r="A24" s="54">
        <v>75</v>
      </c>
      <c r="B24" s="57">
        <v>24.6</v>
      </c>
    </row>
    <row r="25" spans="1:5" x14ac:dyDescent="0.55000000000000004">
      <c r="A25" s="54">
        <v>76</v>
      </c>
      <c r="B25" s="57">
        <v>23.7</v>
      </c>
    </row>
    <row r="26" spans="1:5" x14ac:dyDescent="0.55000000000000004">
      <c r="A26" s="54">
        <v>77</v>
      </c>
      <c r="B26" s="57">
        <v>22.9</v>
      </c>
    </row>
    <row r="27" spans="1:5" x14ac:dyDescent="0.55000000000000004">
      <c r="A27" s="54">
        <v>78</v>
      </c>
      <c r="B27" s="57">
        <v>22</v>
      </c>
    </row>
    <row r="28" spans="1:5" x14ac:dyDescent="0.55000000000000004">
      <c r="A28" s="54">
        <v>79</v>
      </c>
      <c r="B28" s="57">
        <v>21.1</v>
      </c>
    </row>
    <row r="29" spans="1:5" x14ac:dyDescent="0.55000000000000004">
      <c r="A29" s="54">
        <v>80</v>
      </c>
      <c r="B29" s="57">
        <v>20.2</v>
      </c>
    </row>
    <row r="30" spans="1:5" x14ac:dyDescent="0.55000000000000004">
      <c r="A30" s="54">
        <v>81</v>
      </c>
      <c r="B30" s="57">
        <v>19.399999999999999</v>
      </c>
    </row>
    <row r="31" spans="1:5" x14ac:dyDescent="0.55000000000000004">
      <c r="A31" s="54">
        <v>82</v>
      </c>
      <c r="B31" s="57">
        <v>18.5</v>
      </c>
    </row>
    <row r="32" spans="1:5" x14ac:dyDescent="0.55000000000000004">
      <c r="A32" s="54">
        <v>83</v>
      </c>
      <c r="B32" s="57">
        <v>17.7</v>
      </c>
    </row>
    <row r="33" spans="1:2" x14ac:dyDescent="0.55000000000000004">
      <c r="A33" s="54">
        <v>84</v>
      </c>
      <c r="B33" s="57">
        <v>16.8</v>
      </c>
    </row>
    <row r="34" spans="1:2" x14ac:dyDescent="0.55000000000000004">
      <c r="A34" s="54">
        <v>85</v>
      </c>
      <c r="B34" s="57">
        <v>16</v>
      </c>
    </row>
    <row r="35" spans="1:2" x14ac:dyDescent="0.55000000000000004">
      <c r="A35" s="54">
        <v>86</v>
      </c>
      <c r="B35" s="57">
        <v>15.2</v>
      </c>
    </row>
    <row r="36" spans="1:2" x14ac:dyDescent="0.55000000000000004">
      <c r="A36" s="54">
        <v>87</v>
      </c>
      <c r="B36" s="57">
        <v>14.4</v>
      </c>
    </row>
    <row r="37" spans="1:2" x14ac:dyDescent="0.55000000000000004">
      <c r="A37" s="54">
        <v>88</v>
      </c>
      <c r="B37" s="57">
        <v>13.7</v>
      </c>
    </row>
    <row r="38" spans="1:2" x14ac:dyDescent="0.55000000000000004">
      <c r="A38" s="54">
        <v>89</v>
      </c>
      <c r="B38" s="57">
        <v>12.9</v>
      </c>
    </row>
    <row r="39" spans="1:2" x14ac:dyDescent="0.55000000000000004">
      <c r="A39" s="54">
        <v>90</v>
      </c>
      <c r="B39" s="57">
        <v>12.2</v>
      </c>
    </row>
    <row r="40" spans="1:2" x14ac:dyDescent="0.55000000000000004">
      <c r="A40" s="54">
        <v>91</v>
      </c>
      <c r="B40" s="57">
        <v>11.5</v>
      </c>
    </row>
    <row r="41" spans="1:2" x14ac:dyDescent="0.55000000000000004">
      <c r="A41" s="54">
        <v>92</v>
      </c>
      <c r="B41" s="57">
        <v>10.8</v>
      </c>
    </row>
    <row r="42" spans="1:2" x14ac:dyDescent="0.55000000000000004">
      <c r="A42" s="54">
        <v>93</v>
      </c>
      <c r="B42" s="57">
        <v>10.1</v>
      </c>
    </row>
    <row r="43" spans="1:2" x14ac:dyDescent="0.55000000000000004">
      <c r="A43" s="54">
        <v>94</v>
      </c>
      <c r="B43" s="57">
        <v>9.5</v>
      </c>
    </row>
    <row r="44" spans="1:2" x14ac:dyDescent="0.55000000000000004">
      <c r="A44" s="54">
        <v>95</v>
      </c>
      <c r="B44" s="57">
        <v>8.9</v>
      </c>
    </row>
    <row r="45" spans="1:2" x14ac:dyDescent="0.55000000000000004">
      <c r="A45" s="54">
        <v>96</v>
      </c>
      <c r="B45" s="57">
        <v>8.4</v>
      </c>
    </row>
    <row r="46" spans="1:2" x14ac:dyDescent="0.55000000000000004">
      <c r="A46" s="54">
        <v>97</v>
      </c>
      <c r="B46" s="57">
        <v>7.8</v>
      </c>
    </row>
    <row r="47" spans="1:2" x14ac:dyDescent="0.55000000000000004">
      <c r="A47" s="54">
        <v>98</v>
      </c>
      <c r="B47" s="57">
        <v>7.3</v>
      </c>
    </row>
    <row r="48" spans="1:2" x14ac:dyDescent="0.55000000000000004">
      <c r="A48" s="54">
        <v>99</v>
      </c>
      <c r="B48" s="57">
        <v>6.8</v>
      </c>
    </row>
    <row r="49" spans="1:2" x14ac:dyDescent="0.55000000000000004">
      <c r="A49" s="54">
        <v>100</v>
      </c>
      <c r="B49" s="57">
        <v>6.4</v>
      </c>
    </row>
    <row r="50" spans="1:2" x14ac:dyDescent="0.55000000000000004">
      <c r="A50" s="54">
        <v>101</v>
      </c>
      <c r="B50" s="57">
        <v>6</v>
      </c>
    </row>
    <row r="51" spans="1:2" x14ac:dyDescent="0.55000000000000004">
      <c r="A51" s="54">
        <v>102</v>
      </c>
      <c r="B51" s="57">
        <v>5.6</v>
      </c>
    </row>
    <row r="52" spans="1:2" x14ac:dyDescent="0.55000000000000004">
      <c r="A52" s="54">
        <v>103</v>
      </c>
      <c r="B52" s="57">
        <v>5.2</v>
      </c>
    </row>
    <row r="53" spans="1:2" x14ac:dyDescent="0.55000000000000004">
      <c r="A53" s="54">
        <v>104</v>
      </c>
      <c r="B53" s="57">
        <v>4.9000000000000004</v>
      </c>
    </row>
    <row r="54" spans="1:2" x14ac:dyDescent="0.55000000000000004">
      <c r="A54" s="54">
        <v>105</v>
      </c>
      <c r="B54" s="57">
        <v>4.5999999999999996</v>
      </c>
    </row>
    <row r="55" spans="1:2" x14ac:dyDescent="0.55000000000000004">
      <c r="A55" s="54">
        <v>106</v>
      </c>
      <c r="B55" s="57">
        <v>4.3</v>
      </c>
    </row>
    <row r="56" spans="1:2" x14ac:dyDescent="0.55000000000000004">
      <c r="A56" s="54">
        <v>107</v>
      </c>
      <c r="B56" s="57">
        <v>4.0999999999999996</v>
      </c>
    </row>
    <row r="57" spans="1:2" x14ac:dyDescent="0.55000000000000004">
      <c r="A57" s="54">
        <v>108</v>
      </c>
      <c r="B57" s="57">
        <v>3.9</v>
      </c>
    </row>
    <row r="58" spans="1:2" x14ac:dyDescent="0.55000000000000004">
      <c r="A58" s="54">
        <v>109</v>
      </c>
      <c r="B58" s="57">
        <v>3.7</v>
      </c>
    </row>
    <row r="59" spans="1:2" x14ac:dyDescent="0.55000000000000004">
      <c r="A59" s="54">
        <v>110</v>
      </c>
      <c r="B59" s="57">
        <v>3.5</v>
      </c>
    </row>
    <row r="60" spans="1:2" x14ac:dyDescent="0.55000000000000004">
      <c r="A60" s="54">
        <v>111</v>
      </c>
      <c r="B60" s="57">
        <v>3.4</v>
      </c>
    </row>
    <row r="61" spans="1:2" x14ac:dyDescent="0.55000000000000004">
      <c r="A61" s="54">
        <v>112</v>
      </c>
      <c r="B61" s="57">
        <v>3.3</v>
      </c>
    </row>
    <row r="62" spans="1:2" x14ac:dyDescent="0.55000000000000004">
      <c r="A62" s="54">
        <v>113</v>
      </c>
      <c r="B62" s="57">
        <v>3.1</v>
      </c>
    </row>
    <row r="63" spans="1:2" x14ac:dyDescent="0.55000000000000004">
      <c r="A63" s="54">
        <v>114</v>
      </c>
      <c r="B63" s="57">
        <v>3</v>
      </c>
    </row>
    <row r="64" spans="1:2" x14ac:dyDescent="0.55000000000000004">
      <c r="A64" s="54">
        <v>115</v>
      </c>
      <c r="B64" s="57">
        <v>2.9</v>
      </c>
    </row>
    <row r="65" spans="1:2" x14ac:dyDescent="0.55000000000000004">
      <c r="A65" s="54">
        <v>116</v>
      </c>
      <c r="B65" s="57">
        <v>2.8</v>
      </c>
    </row>
    <row r="66" spans="1:2" x14ac:dyDescent="0.55000000000000004">
      <c r="A66" s="54">
        <v>117</v>
      </c>
      <c r="B66" s="57">
        <v>2.7</v>
      </c>
    </row>
    <row r="67" spans="1:2" x14ac:dyDescent="0.55000000000000004">
      <c r="A67" s="54">
        <v>118</v>
      </c>
      <c r="B67" s="57">
        <v>2.5</v>
      </c>
    </row>
    <row r="68" spans="1:2" x14ac:dyDescent="0.55000000000000004">
      <c r="A68" s="54">
        <v>119</v>
      </c>
      <c r="B68" s="57">
        <v>2.2999999999999998</v>
      </c>
    </row>
    <row r="69" spans="1:2" x14ac:dyDescent="0.55000000000000004">
      <c r="A69" s="55">
        <v>120</v>
      </c>
      <c r="B69" s="58">
        <v>2</v>
      </c>
    </row>
    <row r="71" spans="1:2" x14ac:dyDescent="0.55000000000000004">
      <c r="A71" s="49" t="s">
        <v>151</v>
      </c>
    </row>
    <row r="72" spans="1:2" x14ac:dyDescent="0.55000000000000004">
      <c r="A72" s="50" t="s">
        <v>534</v>
      </c>
    </row>
    <row r="73" spans="1:2" x14ac:dyDescent="0.55000000000000004">
      <c r="A73" s="50" t="s">
        <v>535</v>
      </c>
    </row>
    <row r="74" spans="1:2" ht="28.8" x14ac:dyDescent="0.55000000000000004">
      <c r="A74" s="50" t="s">
        <v>536</v>
      </c>
    </row>
    <row r="75" spans="1:2" x14ac:dyDescent="0.55000000000000004">
      <c r="A75" t="s">
        <v>152</v>
      </c>
      <c r="B75" s="29" t="str">
        <f>IF(B11="Yes","RMD required — use prior year-end balances","RMD not required yet; first RMD year is "&amp;(YEAR(B7)+B9))</f>
        <v>RMD not required yet; first RMD year is 2063</v>
      </c>
    </row>
    <row r="77" spans="1:2" x14ac:dyDescent="0.55000000000000004">
      <c r="A77" s="15" t="s">
        <v>170</v>
      </c>
    </row>
    <row r="78" spans="1:2" ht="28.8" x14ac:dyDescent="0.55000000000000004">
      <c r="A78" s="50" t="s">
        <v>171</v>
      </c>
    </row>
    <row r="79" spans="1:2" x14ac:dyDescent="0.55000000000000004">
      <c r="A79" t="s">
        <v>172</v>
      </c>
      <c r="B79" s="20">
        <f>Timeline!D44</f>
        <v>1941186.0876288703</v>
      </c>
    </row>
  </sheetData>
  <mergeCells count="1">
    <mergeCell ref="A1:F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7FCD2-08B3-4B27-8887-710C321FB43C}">
  <dimension ref="A1:F30"/>
  <sheetViews>
    <sheetView workbookViewId="0">
      <selection activeCell="B7" sqref="B7"/>
    </sheetView>
  </sheetViews>
  <sheetFormatPr defaultRowHeight="14.4" x14ac:dyDescent="0.55000000000000004"/>
  <cols>
    <col min="1" max="1" width="46.68359375" customWidth="1"/>
    <col min="2" max="5" width="20" customWidth="1"/>
    <col min="6" max="6" width="13.26171875" customWidth="1"/>
  </cols>
  <sheetData>
    <row r="1" spans="1:6" ht="18.3" x14ac:dyDescent="0.7">
      <c r="A1" s="267" t="s">
        <v>173</v>
      </c>
      <c r="B1" s="267"/>
      <c r="C1" s="267"/>
      <c r="D1" s="267"/>
      <c r="E1" s="267"/>
      <c r="F1" s="267"/>
    </row>
    <row r="3" spans="1:6" x14ac:dyDescent="0.55000000000000004">
      <c r="A3" s="49" t="s">
        <v>138</v>
      </c>
    </row>
    <row r="4" spans="1:6" x14ac:dyDescent="0.55000000000000004">
      <c r="A4" t="s">
        <v>174</v>
      </c>
    </row>
    <row r="6" spans="1:6" x14ac:dyDescent="0.55000000000000004">
      <c r="A6" s="49" t="s">
        <v>175</v>
      </c>
    </row>
    <row r="7" spans="1:6" x14ac:dyDescent="0.55000000000000004">
      <c r="A7" t="s">
        <v>176</v>
      </c>
      <c r="B7" s="20">
        <f>'Net Worth'!B23+'Net Worth'!B28</f>
        <v>196969.94</v>
      </c>
    </row>
    <row r="8" spans="1:6" x14ac:dyDescent="0.55000000000000004">
      <c r="A8" t="s">
        <v>177</v>
      </c>
      <c r="B8" s="20">
        <f>'Net Worth'!B29</f>
        <v>2250</v>
      </c>
    </row>
    <row r="9" spans="1:6" x14ac:dyDescent="0.55000000000000004">
      <c r="A9" t="s">
        <v>178</v>
      </c>
      <c r="B9" s="66">
        <v>0</v>
      </c>
    </row>
    <row r="10" spans="1:6" x14ac:dyDescent="0.55000000000000004">
      <c r="A10" t="s">
        <v>179</v>
      </c>
      <c r="B10" s="67">
        <f>MAX(0,Tax!B12+Tax!F16-(Tax!F11-Tax!F6)-Tax!F9*85%)</f>
        <v>0</v>
      </c>
    </row>
    <row r="11" spans="1:6" x14ac:dyDescent="0.55000000000000004">
      <c r="A11" t="s">
        <v>180</v>
      </c>
      <c r="B11" s="67">
        <f>MAX(0,IRMAA!C16-(IRMAA!B9-IRMAA!B11))</f>
        <v>118000</v>
      </c>
    </row>
    <row r="12" spans="1:6" x14ac:dyDescent="0.55000000000000004">
      <c r="A12" t="s">
        <v>181</v>
      </c>
      <c r="B12" s="68">
        <f>MAX(0,MIN(B7,B10,B11))</f>
        <v>0</v>
      </c>
    </row>
    <row r="13" spans="1:6" x14ac:dyDescent="0.55000000000000004">
      <c r="A13" t="s">
        <v>182</v>
      </c>
      <c r="B13" t="str">
        <f>IF(B9&lt;=B12,"OK","EXCEEDS")</f>
        <v>OK</v>
      </c>
    </row>
    <row r="15" spans="1:6" x14ac:dyDescent="0.55000000000000004">
      <c r="A15" s="49" t="s">
        <v>183</v>
      </c>
    </row>
    <row r="16" spans="1:6" x14ac:dyDescent="0.55000000000000004">
      <c r="A16" s="49" t="s">
        <v>184</v>
      </c>
      <c r="B16" s="49" t="s">
        <v>185</v>
      </c>
      <c r="C16" s="49" t="s">
        <v>537</v>
      </c>
      <c r="D16" s="49" t="s">
        <v>186</v>
      </c>
      <c r="E16" s="49" t="s">
        <v>187</v>
      </c>
    </row>
    <row r="17" spans="1:5" x14ac:dyDescent="0.55000000000000004">
      <c r="A17" s="7">
        <v>1</v>
      </c>
      <c r="B17" s="69">
        <f>$B$9</f>
        <v>0</v>
      </c>
      <c r="C17" s="9">
        <f>B17*12%</f>
        <v>0</v>
      </c>
      <c r="D17" s="3">
        <f>$B$7-B17</f>
        <v>196969.94</v>
      </c>
      <c r="E17" s="3">
        <f>$B$8+B17</f>
        <v>2250</v>
      </c>
    </row>
    <row r="18" spans="1:5" x14ac:dyDescent="0.55000000000000004">
      <c r="A18" s="7">
        <v>2</v>
      </c>
      <c r="B18" s="69">
        <f>MIN($B$10,D17)</f>
        <v>0</v>
      </c>
      <c r="C18" s="9">
        <f t="shared" ref="C18:C21" si="0">B18*12%</f>
        <v>0</v>
      </c>
      <c r="D18" s="3">
        <f>D17-B18</f>
        <v>196969.94</v>
      </c>
      <c r="E18" s="3">
        <f>E17+B18</f>
        <v>2250</v>
      </c>
    </row>
    <row r="19" spans="1:5" x14ac:dyDescent="0.55000000000000004">
      <c r="A19" s="7">
        <v>3</v>
      </c>
      <c r="B19" s="69">
        <f>MIN($B$10,D18)</f>
        <v>0</v>
      </c>
      <c r="C19" s="9">
        <f t="shared" si="0"/>
        <v>0</v>
      </c>
      <c r="D19" s="3">
        <f>D18-B19</f>
        <v>196969.94</v>
      </c>
      <c r="E19" s="3">
        <f>E18+B19</f>
        <v>2250</v>
      </c>
    </row>
    <row r="20" spans="1:5" x14ac:dyDescent="0.55000000000000004">
      <c r="A20" s="7">
        <v>4</v>
      </c>
      <c r="B20" s="69">
        <f>MIN($B$10,D19)</f>
        <v>0</v>
      </c>
      <c r="C20" s="9">
        <f t="shared" si="0"/>
        <v>0</v>
      </c>
      <c r="D20" s="3">
        <f>D19-B20</f>
        <v>196969.94</v>
      </c>
      <c r="E20" s="3">
        <f>E19+B20</f>
        <v>2250</v>
      </c>
    </row>
    <row r="21" spans="1:5" x14ac:dyDescent="0.55000000000000004">
      <c r="A21" s="7">
        <v>5</v>
      </c>
      <c r="B21" s="69">
        <f>MIN($B$10,D20)</f>
        <v>0</v>
      </c>
      <c r="C21" s="9">
        <f t="shared" si="0"/>
        <v>0</v>
      </c>
      <c r="D21" s="3">
        <f>D20-B21</f>
        <v>196969.94</v>
      </c>
      <c r="E21" s="3">
        <f>E20+B21</f>
        <v>2250</v>
      </c>
    </row>
    <row r="23" spans="1:5" x14ac:dyDescent="0.55000000000000004">
      <c r="A23" s="49" t="s">
        <v>151</v>
      </c>
    </row>
    <row r="24" spans="1:5" x14ac:dyDescent="0.55000000000000004">
      <c r="A24" t="s">
        <v>188</v>
      </c>
    </row>
    <row r="25" spans="1:5" x14ac:dyDescent="0.55000000000000004">
      <c r="A25" t="s">
        <v>189</v>
      </c>
    </row>
    <row r="26" spans="1:5" x14ac:dyDescent="0.55000000000000004">
      <c r="A26" t="s">
        <v>152</v>
      </c>
      <c r="B26" s="70" t="s">
        <v>538</v>
      </c>
    </row>
    <row r="28" spans="1:5" x14ac:dyDescent="0.55000000000000004">
      <c r="A28" s="15" t="s">
        <v>190</v>
      </c>
    </row>
    <row r="29" spans="1:5" x14ac:dyDescent="0.55000000000000004">
      <c r="A29" t="s">
        <v>191</v>
      </c>
      <c r="B29" s="20">
        <f>Timeline!D42</f>
        <v>0</v>
      </c>
    </row>
    <row r="30" spans="1:5" x14ac:dyDescent="0.55000000000000004">
      <c r="A30" t="s">
        <v>192</v>
      </c>
    </row>
  </sheetData>
  <mergeCells count="1">
    <mergeCell ref="A1:F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7EA7A-DEF3-4A7F-94C8-CDEDE7BB77F5}">
  <dimension ref="A1:AD58"/>
  <sheetViews>
    <sheetView topLeftCell="A21" zoomScaleNormal="100" workbookViewId="0">
      <selection activeCell="B27" sqref="B27"/>
    </sheetView>
  </sheetViews>
  <sheetFormatPr defaultRowHeight="14.4" x14ac:dyDescent="0.55000000000000004"/>
  <cols>
    <col min="1" max="1" width="49.26171875" customWidth="1"/>
    <col min="2" max="2" width="45.41796875" customWidth="1"/>
    <col min="3" max="3" width="41.83984375" customWidth="1"/>
    <col min="4" max="4" width="21.83984375" customWidth="1"/>
    <col min="5" max="5" width="45" bestFit="1" customWidth="1"/>
    <col min="6" max="9" width="11.26171875" customWidth="1"/>
    <col min="10" max="10" width="21.578125" bestFit="1" customWidth="1"/>
    <col min="11" max="13" width="11.26171875" customWidth="1"/>
    <col min="29" max="30" width="21.83984375" customWidth="1"/>
  </cols>
  <sheetData>
    <row r="1" spans="1:30" ht="18.3" x14ac:dyDescent="0.7">
      <c r="A1" s="267" t="s">
        <v>193</v>
      </c>
      <c r="B1" s="270"/>
      <c r="C1" s="270"/>
      <c r="D1" s="270"/>
      <c r="E1" s="270"/>
      <c r="F1" s="270"/>
      <c r="G1" s="270"/>
      <c r="AC1" s="49" t="s">
        <v>194</v>
      </c>
    </row>
    <row r="2" spans="1:30" x14ac:dyDescent="0.55000000000000004">
      <c r="AC2" t="s">
        <v>195</v>
      </c>
      <c r="AD2">
        <v>2025</v>
      </c>
    </row>
    <row r="3" spans="1:30" x14ac:dyDescent="0.55000000000000004">
      <c r="A3" s="49" t="s">
        <v>196</v>
      </c>
      <c r="E3" s="49" t="s">
        <v>197</v>
      </c>
      <c r="AC3" t="s">
        <v>198</v>
      </c>
      <c r="AD3">
        <f>YEAR(Inputs!B4)+Inputs!B9</f>
        <v>2073</v>
      </c>
    </row>
    <row r="4" spans="1:30" x14ac:dyDescent="0.55000000000000004">
      <c r="A4" t="s">
        <v>199</v>
      </c>
      <c r="B4" s="41" t="str">
        <f>Inputs!B6</f>
        <v>Married Filing Jointly</v>
      </c>
      <c r="E4" t="s">
        <v>200</v>
      </c>
      <c r="F4" s="9">
        <v>186240</v>
      </c>
      <c r="AC4" t="s">
        <v>112</v>
      </c>
      <c r="AD4" s="28">
        <f>Inputs!B12</f>
        <v>0.03</v>
      </c>
    </row>
    <row r="5" spans="1:30" x14ac:dyDescent="0.55000000000000004">
      <c r="A5" t="s">
        <v>201</v>
      </c>
      <c r="B5" s="40">
        <v>2026</v>
      </c>
      <c r="C5" s="47" t="s">
        <v>202</v>
      </c>
      <c r="E5" t="s">
        <v>203</v>
      </c>
      <c r="F5" s="9">
        <v>0</v>
      </c>
      <c r="AC5" t="s">
        <v>204</v>
      </c>
      <c r="AD5">
        <f>AD3-AD2+1</f>
        <v>49</v>
      </c>
    </row>
    <row r="6" spans="1:30" x14ac:dyDescent="0.55000000000000004">
      <c r="A6" t="s">
        <v>205</v>
      </c>
      <c r="B6" s="13">
        <f ca="1">YEAR(TODAY())</f>
        <v>2026</v>
      </c>
      <c r="E6" t="s">
        <v>206</v>
      </c>
      <c r="F6" s="20">
        <f>'Roth Conversion'!B9</f>
        <v>0</v>
      </c>
    </row>
    <row r="7" spans="1:30" x14ac:dyDescent="0.55000000000000004">
      <c r="A7" s="49" t="s">
        <v>207</v>
      </c>
      <c r="E7" t="s">
        <v>208</v>
      </c>
      <c r="F7" s="9">
        <v>0</v>
      </c>
    </row>
    <row r="8" spans="1:30" x14ac:dyDescent="0.55000000000000004">
      <c r="A8" t="s">
        <v>209</v>
      </c>
      <c r="B8" s="13" t="str">
        <f>IF(B5&lt;=2025,"2025 IRS",IF(B5=2026,"2026 IRS","2026+inflate"))</f>
        <v>2026 IRS</v>
      </c>
      <c r="E8" t="s">
        <v>210</v>
      </c>
      <c r="F8" s="9">
        <v>0</v>
      </c>
      <c r="AC8" s="15" t="s">
        <v>211</v>
      </c>
    </row>
    <row r="9" spans="1:30" x14ac:dyDescent="0.55000000000000004">
      <c r="E9" t="s">
        <v>212</v>
      </c>
      <c r="F9" s="20">
        <f>'SS Benefits'!B13*12</f>
        <v>59256</v>
      </c>
      <c r="AC9">
        <f>IF(AD2+0&gt;$AD$3,"",AD2+0)</f>
        <v>2025</v>
      </c>
    </row>
    <row r="10" spans="1:30" x14ac:dyDescent="0.55000000000000004">
      <c r="A10" t="s">
        <v>213</v>
      </c>
      <c r="B10" s="20">
        <f>IF($B$5&lt;=2025,_xlfn.XLOOKUP($B$4,$A$41:$A$45,B41:B45),ROUND(_xlfn.XLOOKUP($B$4,$A$51:$A$55,B51:B55)*(1+$AD$4)^MAX(0,$B$5-2026),0))</f>
        <v>32200</v>
      </c>
      <c r="AC10">
        <f>IF(AD2+1&gt;$AD$3,"",AD2+1)</f>
        <v>2026</v>
      </c>
    </row>
    <row r="11" spans="1:30" x14ac:dyDescent="0.55000000000000004">
      <c r="A11" t="s">
        <v>214</v>
      </c>
      <c r="B11" s="20">
        <f>IF($B$5&lt;=2025,_xlfn.XLOOKUP($B$4,$A$41:$A$45,C41:C45),ROUND(_xlfn.XLOOKUP($B$4,$A$51:$A$55,C51:C55)*(1+$AD$4)^MAX(0,$B$5-2026),0))</f>
        <v>24800</v>
      </c>
      <c r="E11" t="s">
        <v>215</v>
      </c>
      <c r="F11" s="3">
        <f>F4+F5+F6+F7</f>
        <v>186240</v>
      </c>
      <c r="AC11">
        <f>IF(AD2+2&gt;$AD$3,"",AD2+2)</f>
        <v>2027</v>
      </c>
    </row>
    <row r="12" spans="1:30" x14ac:dyDescent="0.55000000000000004">
      <c r="A12" t="s">
        <v>216</v>
      </c>
      <c r="B12" s="20">
        <f>IF($B$5&lt;=2025,_xlfn.XLOOKUP($B$4,$A$41:$A$45,D41:D45),ROUND(_xlfn.XLOOKUP($B$4,$A$51:$A$55,D51:D55)*(1+$AD$4)^MAX(0,$B$5-2026),0))</f>
        <v>100800</v>
      </c>
      <c r="E12" t="s">
        <v>217</v>
      </c>
      <c r="F12" s="3">
        <f>F11+F8+F9*0.5</f>
        <v>215868</v>
      </c>
      <c r="AC12">
        <f>IF(AD2+3&gt;$AD$3,"",AD2+3)</f>
        <v>2028</v>
      </c>
    </row>
    <row r="13" spans="1:30" x14ac:dyDescent="0.55000000000000004">
      <c r="A13" t="s">
        <v>218</v>
      </c>
      <c r="B13" s="20">
        <f>IF($B$5&lt;=2025,_xlfn.XLOOKUP($B$4,$A$41:$A$45,E41:E45),ROUND(_xlfn.XLOOKUP($B$4,$A$51:$A$55,E51:E55)*(1+$AD$4)^MAX(0,$B$5-2026),0))</f>
        <v>211400</v>
      </c>
      <c r="E13" t="s">
        <v>219</v>
      </c>
      <c r="F13" s="11">
        <f>IF(AND(B21&lt;=0,B22&lt;=0),IF(F9&gt;0,0.85,0),IF(F12&lt;B21,0,IF(F12&lt;B22,0.5,0.85)))</f>
        <v>0.85</v>
      </c>
      <c r="AC13">
        <f>IF(AD2+4&gt;$AD$3,"",AD2+4)</f>
        <v>2029</v>
      </c>
    </row>
    <row r="14" spans="1:30" x14ac:dyDescent="0.55000000000000004">
      <c r="A14" t="s">
        <v>220</v>
      </c>
      <c r="B14" s="20">
        <f>IF($B$5&lt;=2025,_xlfn.XLOOKUP($B$4,$A$41:$A$45,F41:F45),ROUND(_xlfn.XLOOKUP($B$4,$A$51:$A$55,F51:F55)*(1+$AD$4)^MAX(0,$B$5-2026),0))</f>
        <v>403550</v>
      </c>
      <c r="E14" t="s">
        <v>221</v>
      </c>
      <c r="F14" s="3">
        <f>F9*F13</f>
        <v>50367.6</v>
      </c>
      <c r="AC14">
        <f>IF(AD2+5&gt;$AD$3,"",AD2+5)</f>
        <v>2030</v>
      </c>
    </row>
    <row r="15" spans="1:30" x14ac:dyDescent="0.55000000000000004">
      <c r="A15" t="s">
        <v>222</v>
      </c>
      <c r="B15" s="20">
        <f>IF($B$5&lt;=2025,_xlfn.XLOOKUP($B$4,$A$41:$A$45,G41:G45),ROUND(_xlfn.XLOOKUP($B$4,$A$51:$A$55,G51:G55)*(1+$AD$4)^MAX(0,$B$5-2026),0))</f>
        <v>512450</v>
      </c>
      <c r="E15" t="s">
        <v>223</v>
      </c>
      <c r="F15" s="3">
        <f>F11+F14</f>
        <v>236607.6</v>
      </c>
      <c r="AC15">
        <f>IF(AD2+6&gt;$AD$3,"",AD2+6)</f>
        <v>2031</v>
      </c>
    </row>
    <row r="16" spans="1:30" x14ac:dyDescent="0.55000000000000004">
      <c r="A16" t="s">
        <v>224</v>
      </c>
      <c r="B16" s="20">
        <f>IF($B$5&lt;=2025,_xlfn.XLOOKUP($B$4,$A$41:$A$45,H41:H45),ROUND(_xlfn.XLOOKUP($B$4,$A$51:$A$55,H51:H55)*(1+$AD$4)^MAX(0,$B$5-2026),0))</f>
        <v>768700</v>
      </c>
      <c r="E16" t="s">
        <v>225</v>
      </c>
      <c r="F16" s="20">
        <f>B10</f>
        <v>32200</v>
      </c>
      <c r="AC16">
        <f>IF(AD2+7&gt;$AD$3,"",AD2+7)</f>
        <v>2032</v>
      </c>
    </row>
    <row r="17" spans="1:29" x14ac:dyDescent="0.55000000000000004">
      <c r="A17" t="s">
        <v>226</v>
      </c>
      <c r="B17" s="20">
        <f>B16</f>
        <v>768700</v>
      </c>
      <c r="E17" t="s">
        <v>227</v>
      </c>
      <c r="F17" s="3">
        <f>MAX(0,F15-F16)</f>
        <v>204407.6</v>
      </c>
      <c r="AC17">
        <f>IF(AD2+8&gt;$AD$3,"",AD2+8)</f>
        <v>2033</v>
      </c>
    </row>
    <row r="18" spans="1:29" x14ac:dyDescent="0.55000000000000004">
      <c r="A18" t="s">
        <v>228</v>
      </c>
      <c r="B18" s="20">
        <f>IF($B$5&lt;=2025,_xlfn.XLOOKUP($B$4,$A$41:$A$45,I41:I45),ROUND(_xlfn.XLOOKUP($B$4,$A$51:$A$55,I51:I55)*(1+$AD$4)^MAX(0,$B$5-2026),0))</f>
        <v>98900</v>
      </c>
      <c r="E18" t="s">
        <v>229</v>
      </c>
      <c r="F18" s="3">
        <f>F8</f>
        <v>0</v>
      </c>
      <c r="AC18">
        <f>IF(AD2+9&gt;$AD$3,"",AD2+9)</f>
        <v>2034</v>
      </c>
    </row>
    <row r="19" spans="1:29" x14ac:dyDescent="0.55000000000000004">
      <c r="A19" t="s">
        <v>540</v>
      </c>
      <c r="B19" s="20">
        <f>IF($B$5&lt;=2025,_xlfn.XLOOKUP($B$4,$A$41:$A$45,J41:J45),ROUND(_xlfn.XLOOKUP($B$4,$A$51:$A$55,J51:J55)*(1+$AD$4)^MAX(0,$B$5-2026),0))</f>
        <v>613700</v>
      </c>
      <c r="AC19">
        <f>IF(AD2+10&gt;$AD$3,"",AD2+10)</f>
        <v>2035</v>
      </c>
    </row>
    <row r="20" spans="1:29" x14ac:dyDescent="0.55000000000000004">
      <c r="A20" t="s">
        <v>230</v>
      </c>
      <c r="B20" s="20">
        <f>IF($B$5&lt;=2025,_xlfn.XLOOKUP($B$4,$A$41:$A$45,K41:K45),_xlfn.XLOOKUP($B$4,$A$51:$A$55,K51:K55))</f>
        <v>250000</v>
      </c>
      <c r="E20" t="s">
        <v>231</v>
      </c>
      <c r="F20" s="3">
        <f>_xlfn.LET(_xlpm.t,F17,MAX(0,MIN(_xlpm.t,B11))*0.1+MAX(0,MIN(_xlpm.t,B12)-B11)*0.12+MAX(0,MIN(_xlpm.t,B13)-B12)*0.22+MAX(0,MIN(_xlpm.t,B14)-B13)*0.24+MAX(0,MIN(_xlpm.t,B15)-B14)*0.32+MAX(0,MIN(_xlpm.t,B16)-B15)*0.35+MAX(0,_xlpm.t-B16)*0.37)</f>
        <v>34393.672000000006</v>
      </c>
      <c r="AC20">
        <f>IF(AD2+11&gt;$AD$3,"",AD2+11)</f>
        <v>2036</v>
      </c>
    </row>
    <row r="21" spans="1:29" x14ac:dyDescent="0.55000000000000004">
      <c r="A21" t="s">
        <v>232</v>
      </c>
      <c r="B21" s="20">
        <f>IF($B$5&lt;=2025,_xlfn.XLOOKUP($B$4,$A$41:$A$45,L41:L45),_xlfn.XLOOKUP($B$4,$A$51:$A$55,L51:L55))</f>
        <v>32000</v>
      </c>
      <c r="E21" t="s">
        <v>233</v>
      </c>
      <c r="F21" s="3">
        <f>_xlfn.LET(_xlpm.lo,F17,_xlpm.hi,F17+F18,MAX(0,MIN(_xlpm.hi,B18)-_xlpm.lo)*0+MAX(0,MIN(_xlpm.hi,B19)-MAX(_xlpm.lo,B18))*0.15+MAX(0,_xlpm.hi-MAX(_xlpm.lo,B19))*0.2)</f>
        <v>0</v>
      </c>
      <c r="AC21">
        <f>IF(AD2+12&gt;$AD$3,"",AD2+12)</f>
        <v>2037</v>
      </c>
    </row>
    <row r="22" spans="1:29" x14ac:dyDescent="0.55000000000000004">
      <c r="A22" t="s">
        <v>234</v>
      </c>
      <c r="B22" s="20">
        <f>IF($B$5&lt;=2025,_xlfn.XLOOKUP($B$4,$A$41:$A$45,M41:M45),_xlfn.XLOOKUP($B$4,$A$51:$A$55,M51:M55))</f>
        <v>44000</v>
      </c>
      <c r="E22" t="s">
        <v>235</v>
      </c>
      <c r="F22" s="3">
        <f>MAX(0,(F15+F18)-B20)*0.038</f>
        <v>0</v>
      </c>
      <c r="AC22">
        <f>IF(AD2+13&gt;$AD$3,"",AD2+13)</f>
        <v>2038</v>
      </c>
    </row>
    <row r="23" spans="1:29" x14ac:dyDescent="0.55000000000000004">
      <c r="E23" s="36" t="s">
        <v>236</v>
      </c>
      <c r="F23" s="44">
        <f>F20+F21+F22</f>
        <v>34393.672000000006</v>
      </c>
      <c r="AC23">
        <f>IF(AD2+14&gt;$AD$3,"",AD2+14)</f>
        <v>2039</v>
      </c>
    </row>
    <row r="24" spans="1:29" x14ac:dyDescent="0.55000000000000004">
      <c r="A24" s="49" t="s">
        <v>237</v>
      </c>
      <c r="E24" t="s">
        <v>238</v>
      </c>
      <c r="F24" s="17">
        <f>IFERROR(F23/MAX(1,F15+F18+(F9-F14)),0)</f>
        <v>0.1400987062925669</v>
      </c>
      <c r="AC24">
        <f>IF(AD2+15&gt;$AD$3,"",AD2+15)</f>
        <v>2040</v>
      </c>
    </row>
    <row r="25" spans="1:29" x14ac:dyDescent="0.55000000000000004">
      <c r="A25" s="49" t="s">
        <v>239</v>
      </c>
      <c r="B25" s="49" t="s">
        <v>240</v>
      </c>
      <c r="C25" s="49" t="s">
        <v>241</v>
      </c>
      <c r="AC25">
        <f>IF(AD2+16&gt;$AD$3,"",AD2+16)</f>
        <v>2041</v>
      </c>
    </row>
    <row r="26" spans="1:29" x14ac:dyDescent="0.55000000000000004">
      <c r="A26" s="11">
        <v>0.1</v>
      </c>
      <c r="B26" s="3">
        <v>0</v>
      </c>
      <c r="C26" s="3">
        <f t="shared" ref="C26:C31" si="0">B11</f>
        <v>24800</v>
      </c>
      <c r="E26" s="49" t="s">
        <v>242</v>
      </c>
      <c r="AC26">
        <f>IF(AD2+17&gt;$AD$3,"",AD2+17)</f>
        <v>2042</v>
      </c>
    </row>
    <row r="27" spans="1:29" x14ac:dyDescent="0.55000000000000004">
      <c r="A27" s="11">
        <v>0.12</v>
      </c>
      <c r="B27" s="3">
        <f t="shared" ref="B27:B32" si="1">B11</f>
        <v>24800</v>
      </c>
      <c r="C27" s="3">
        <f t="shared" si="0"/>
        <v>100800</v>
      </c>
      <c r="E27" t="s">
        <v>243</v>
      </c>
      <c r="AC27">
        <f>IF(AD2+18&gt;$AD$3,"",AD2+18)</f>
        <v>2043</v>
      </c>
    </row>
    <row r="28" spans="1:29" x14ac:dyDescent="0.55000000000000004">
      <c r="A28" s="11">
        <v>0.22</v>
      </c>
      <c r="B28" s="3">
        <f t="shared" si="1"/>
        <v>100800</v>
      </c>
      <c r="C28" s="3">
        <f t="shared" si="0"/>
        <v>211400</v>
      </c>
      <c r="E28" t="s">
        <v>244</v>
      </c>
      <c r="F28" s="20">
        <f>Timeline!D41</f>
        <v>693787.13756312872</v>
      </c>
      <c r="AC28">
        <f>IF(AD2+19&gt;$AD$3,"",AD2+19)</f>
        <v>2044</v>
      </c>
    </row>
    <row r="29" spans="1:29" x14ac:dyDescent="0.55000000000000004">
      <c r="A29" s="11">
        <v>0.24</v>
      </c>
      <c r="B29" s="3">
        <f t="shared" si="1"/>
        <v>211400</v>
      </c>
      <c r="C29" s="3">
        <f t="shared" si="0"/>
        <v>403550</v>
      </c>
      <c r="AC29">
        <f>IF(AD2+20&gt;$AD$3,"",AD2+20)</f>
        <v>2045</v>
      </c>
    </row>
    <row r="30" spans="1:29" x14ac:dyDescent="0.55000000000000004">
      <c r="A30" s="11">
        <v>0.32</v>
      </c>
      <c r="B30" s="3">
        <f t="shared" si="1"/>
        <v>403550</v>
      </c>
      <c r="C30" s="3">
        <f t="shared" si="0"/>
        <v>512450</v>
      </c>
      <c r="AC30">
        <f>IF(AD2+21&gt;$AD$3,"",AD2+21)</f>
        <v>2046</v>
      </c>
    </row>
    <row r="31" spans="1:29" x14ac:dyDescent="0.55000000000000004">
      <c r="A31" s="11">
        <v>0.35</v>
      </c>
      <c r="B31" s="3">
        <f t="shared" si="1"/>
        <v>512450</v>
      </c>
      <c r="C31" s="3">
        <f t="shared" si="0"/>
        <v>768700</v>
      </c>
      <c r="AC31">
        <f>IF(AD2+22&gt;$AD$3,"",AD2+22)</f>
        <v>2047</v>
      </c>
    </row>
    <row r="32" spans="1:29" x14ac:dyDescent="0.55000000000000004">
      <c r="A32" s="11">
        <v>0.37</v>
      </c>
      <c r="B32">
        <f t="shared" si="1"/>
        <v>768700</v>
      </c>
      <c r="C32" t="s">
        <v>245</v>
      </c>
      <c r="AC32">
        <f>IF(AD2+23&gt;$AD$3,"",AD2+23)</f>
        <v>2048</v>
      </c>
    </row>
    <row r="33" spans="1:29" x14ac:dyDescent="0.55000000000000004">
      <c r="AC33">
        <f>IF(AD2+24&gt;$AD$3,"",AD2+24)</f>
        <v>2049</v>
      </c>
    </row>
    <row r="34" spans="1:29" x14ac:dyDescent="0.55000000000000004">
      <c r="A34" s="39" t="s">
        <v>246</v>
      </c>
      <c r="AC34">
        <f>IF(AD2+25&gt;$AD$3,"",AD2+25)</f>
        <v>2050</v>
      </c>
    </row>
    <row r="35" spans="1:29" x14ac:dyDescent="0.55000000000000004">
      <c r="A35" t="s">
        <v>247</v>
      </c>
      <c r="AC35">
        <f>IF(AD2+26&gt;$AD$3,"",AD2+26)</f>
        <v>2051</v>
      </c>
    </row>
    <row r="36" spans="1:29" x14ac:dyDescent="0.55000000000000004">
      <c r="A36" t="s">
        <v>248</v>
      </c>
      <c r="AC36">
        <f>IF(AD2+27&gt;$AD$3,"",AD2+27)</f>
        <v>2052</v>
      </c>
    </row>
    <row r="37" spans="1:29" x14ac:dyDescent="0.55000000000000004">
      <c r="A37" t="s">
        <v>249</v>
      </c>
      <c r="AC37">
        <f>IF(AD2+28&gt;$AD$3,"",AD2+28)</f>
        <v>2053</v>
      </c>
    </row>
    <row r="38" spans="1:29" x14ac:dyDescent="0.55000000000000004">
      <c r="AC38">
        <f>IF(AD2+29&gt;$AD$3,"",AD2+29)</f>
        <v>2054</v>
      </c>
    </row>
    <row r="39" spans="1:29" x14ac:dyDescent="0.55000000000000004">
      <c r="A39" s="271" t="s">
        <v>250</v>
      </c>
      <c r="B39" s="271"/>
      <c r="C39" s="271"/>
      <c r="D39" s="271"/>
      <c r="E39" s="271"/>
      <c r="F39" s="271"/>
      <c r="G39" s="271"/>
      <c r="H39" s="271"/>
      <c r="I39" s="271"/>
      <c r="J39" s="271"/>
      <c r="K39" s="271"/>
      <c r="L39" s="271"/>
      <c r="M39" s="271"/>
      <c r="AC39">
        <f>IF(AD2+30&gt;$AD$3,"",AD2+30)</f>
        <v>2055</v>
      </c>
    </row>
    <row r="40" spans="1:29" x14ac:dyDescent="0.55000000000000004">
      <c r="A40" s="49" t="s">
        <v>11</v>
      </c>
      <c r="B40" s="49" t="s">
        <v>251</v>
      </c>
      <c r="C40" s="49" t="s">
        <v>252</v>
      </c>
      <c r="D40" s="49" t="s">
        <v>253</v>
      </c>
      <c r="E40" s="49" t="s">
        <v>254</v>
      </c>
      <c r="F40" s="49" t="s">
        <v>255</v>
      </c>
      <c r="G40" s="49" t="s">
        <v>256</v>
      </c>
      <c r="H40" s="49" t="s">
        <v>257</v>
      </c>
      <c r="I40" s="49" t="s">
        <v>258</v>
      </c>
      <c r="J40" s="49" t="s">
        <v>541</v>
      </c>
      <c r="K40" s="49" t="s">
        <v>259</v>
      </c>
      <c r="L40" s="49" t="s">
        <v>260</v>
      </c>
      <c r="M40" s="49" t="s">
        <v>261</v>
      </c>
      <c r="AC40">
        <f>IF(AD2+31&gt;$AD$3,"",AD2+31)</f>
        <v>2056</v>
      </c>
    </row>
    <row r="41" spans="1:29" x14ac:dyDescent="0.55000000000000004">
      <c r="A41" s="42" t="s">
        <v>3</v>
      </c>
      <c r="B41" s="43">
        <v>15000</v>
      </c>
      <c r="C41" s="43">
        <v>11925</v>
      </c>
      <c r="D41" s="43">
        <v>48475</v>
      </c>
      <c r="E41" s="43">
        <v>103350</v>
      </c>
      <c r="F41" s="43">
        <v>197300</v>
      </c>
      <c r="G41" s="43">
        <v>250525</v>
      </c>
      <c r="H41" s="43">
        <v>626350</v>
      </c>
      <c r="I41" s="43">
        <v>48350</v>
      </c>
      <c r="J41" s="43">
        <v>533400</v>
      </c>
      <c r="K41" s="43">
        <v>200000</v>
      </c>
      <c r="L41" s="43">
        <v>25000</v>
      </c>
      <c r="M41" s="43">
        <v>34000</v>
      </c>
      <c r="AC41">
        <f>IF(AD2+32&gt;$AD$3,"",AD2+32)</f>
        <v>2057</v>
      </c>
    </row>
    <row r="42" spans="1:29" x14ac:dyDescent="0.55000000000000004">
      <c r="A42" s="42" t="s">
        <v>5</v>
      </c>
      <c r="B42" s="43">
        <v>30000</v>
      </c>
      <c r="C42" s="43">
        <v>23850</v>
      </c>
      <c r="D42" s="43">
        <v>96950</v>
      </c>
      <c r="E42" s="43">
        <v>206700</v>
      </c>
      <c r="F42" s="43">
        <v>394600</v>
      </c>
      <c r="G42" s="43">
        <v>501050</v>
      </c>
      <c r="H42" s="43">
        <v>751600</v>
      </c>
      <c r="I42" s="43">
        <v>96700</v>
      </c>
      <c r="J42" s="43">
        <v>600050</v>
      </c>
      <c r="K42" s="43">
        <v>250000</v>
      </c>
      <c r="L42" s="43">
        <v>32000</v>
      </c>
      <c r="M42" s="43">
        <v>44000</v>
      </c>
      <c r="AC42">
        <f>IF(AD2+33&gt;$AD$3,"",AD2+33)</f>
        <v>2058</v>
      </c>
    </row>
    <row r="43" spans="1:29" x14ac:dyDescent="0.55000000000000004">
      <c r="A43" s="42" t="s">
        <v>8</v>
      </c>
      <c r="B43" s="43">
        <v>15000</v>
      </c>
      <c r="C43" s="43">
        <v>11925</v>
      </c>
      <c r="D43" s="43">
        <v>48475</v>
      </c>
      <c r="E43" s="43">
        <v>103350</v>
      </c>
      <c r="F43" s="43">
        <v>197300</v>
      </c>
      <c r="G43" s="43">
        <v>250525</v>
      </c>
      <c r="H43" s="43">
        <v>375800</v>
      </c>
      <c r="I43" s="43">
        <v>48350</v>
      </c>
      <c r="J43" s="43">
        <v>300000</v>
      </c>
      <c r="K43" s="43">
        <v>125000</v>
      </c>
      <c r="L43" s="43">
        <v>0</v>
      </c>
      <c r="M43" s="43">
        <v>0</v>
      </c>
      <c r="AC43">
        <f>IF(AD2+34&gt;$AD$3,"",AD2+34)</f>
        <v>2059</v>
      </c>
    </row>
    <row r="44" spans="1:29" x14ac:dyDescent="0.55000000000000004">
      <c r="A44" s="42" t="s">
        <v>10</v>
      </c>
      <c r="B44" s="43">
        <v>22500</v>
      </c>
      <c r="C44" s="43">
        <v>17000</v>
      </c>
      <c r="D44" s="43">
        <v>64850</v>
      </c>
      <c r="E44" s="43">
        <v>103350</v>
      </c>
      <c r="F44" s="43">
        <v>197300</v>
      </c>
      <c r="G44" s="43">
        <v>250500</v>
      </c>
      <c r="H44" s="43">
        <v>626350</v>
      </c>
      <c r="I44" s="43">
        <v>64750</v>
      </c>
      <c r="J44" s="43">
        <v>566700</v>
      </c>
      <c r="K44" s="43">
        <v>200000</v>
      </c>
      <c r="L44" s="43">
        <v>25000</v>
      </c>
      <c r="M44" s="43">
        <v>34000</v>
      </c>
      <c r="AC44">
        <f>IF(AD2+35&gt;$AD$3,"",AD2+35)</f>
        <v>2060</v>
      </c>
    </row>
    <row r="45" spans="1:29" x14ac:dyDescent="0.55000000000000004">
      <c r="A45" s="42" t="s">
        <v>13</v>
      </c>
      <c r="B45" s="43">
        <v>30000</v>
      </c>
      <c r="C45" s="43">
        <v>23850</v>
      </c>
      <c r="D45" s="43">
        <v>96950</v>
      </c>
      <c r="E45" s="43">
        <v>206700</v>
      </c>
      <c r="F45" s="43">
        <v>394600</v>
      </c>
      <c r="G45" s="43">
        <v>501050</v>
      </c>
      <c r="H45" s="43">
        <v>751600</v>
      </c>
      <c r="I45" s="43">
        <v>96700</v>
      </c>
      <c r="J45" s="43">
        <v>600050</v>
      </c>
      <c r="K45" s="43">
        <v>200000</v>
      </c>
      <c r="L45" s="43">
        <v>25000</v>
      </c>
      <c r="M45" s="43">
        <v>34000</v>
      </c>
      <c r="AC45">
        <f>IF(AD2+36&gt;$AD$3,"",AD2+36)</f>
        <v>2061</v>
      </c>
    </row>
    <row r="46" spans="1:29" x14ac:dyDescent="0.55000000000000004">
      <c r="AC46">
        <f>IF(AD2+37&gt;$AD$3,"",AD2+37)</f>
        <v>2062</v>
      </c>
    </row>
    <row r="47" spans="1:29" x14ac:dyDescent="0.55000000000000004">
      <c r="A47" s="45" t="s">
        <v>262</v>
      </c>
      <c r="AC47">
        <f>IF(AD2+38&gt;$AD$3,"",AD2+38)</f>
        <v>2063</v>
      </c>
    </row>
    <row r="48" spans="1:29" x14ac:dyDescent="0.55000000000000004">
      <c r="AC48">
        <f>IF(AD2+39&gt;$AD$3,"",AD2+39)</f>
        <v>2064</v>
      </c>
    </row>
    <row r="49" spans="1:29" x14ac:dyDescent="0.55000000000000004">
      <c r="A49" s="271" t="s">
        <v>263</v>
      </c>
      <c r="B49" s="271"/>
      <c r="C49" s="271"/>
      <c r="D49" s="271"/>
      <c r="E49" s="271"/>
      <c r="F49" s="271"/>
      <c r="G49" s="271"/>
      <c r="H49" s="271"/>
      <c r="I49" s="271"/>
      <c r="J49" s="271"/>
      <c r="K49" s="271"/>
      <c r="L49" s="271"/>
      <c r="M49" s="271"/>
      <c r="AC49">
        <f>IF(AD2+40&gt;$AD$3,"",AD2+40)</f>
        <v>2065</v>
      </c>
    </row>
    <row r="50" spans="1:29" x14ac:dyDescent="0.55000000000000004">
      <c r="A50" s="49" t="s">
        <v>11</v>
      </c>
      <c r="B50" s="49" t="s">
        <v>251</v>
      </c>
      <c r="C50" s="49" t="s">
        <v>252</v>
      </c>
      <c r="D50" s="49" t="s">
        <v>253</v>
      </c>
      <c r="E50" s="49" t="s">
        <v>254</v>
      </c>
      <c r="F50" s="49" t="s">
        <v>255</v>
      </c>
      <c r="G50" s="49" t="s">
        <v>256</v>
      </c>
      <c r="H50" s="49" t="s">
        <v>257</v>
      </c>
      <c r="I50" s="49" t="s">
        <v>258</v>
      </c>
      <c r="J50" s="49" t="s">
        <v>541</v>
      </c>
      <c r="K50" s="49" t="s">
        <v>259</v>
      </c>
      <c r="L50" s="49" t="s">
        <v>260</v>
      </c>
      <c r="M50" s="49" t="s">
        <v>261</v>
      </c>
      <c r="AC50">
        <f>IF(AD2+41&gt;$AD$3,"",AD2+41)</f>
        <v>2066</v>
      </c>
    </row>
    <row r="51" spans="1:29" x14ac:dyDescent="0.55000000000000004">
      <c r="A51" s="37" t="s">
        <v>3</v>
      </c>
      <c r="B51" s="38">
        <v>16100</v>
      </c>
      <c r="C51" s="38">
        <v>12400</v>
      </c>
      <c r="D51" s="38">
        <v>50400</v>
      </c>
      <c r="E51" s="38">
        <v>105700</v>
      </c>
      <c r="F51" s="38">
        <v>201775</v>
      </c>
      <c r="G51" s="38">
        <v>256225</v>
      </c>
      <c r="H51" s="38">
        <v>640600</v>
      </c>
      <c r="I51" s="38">
        <v>49450</v>
      </c>
      <c r="J51" s="38">
        <v>545500</v>
      </c>
      <c r="K51" s="38">
        <v>200000</v>
      </c>
      <c r="L51" s="38">
        <v>25000</v>
      </c>
      <c r="M51" s="38">
        <v>34000</v>
      </c>
      <c r="AC51">
        <f>IF(AD2+42&gt;$AD$3,"",AD2+42)</f>
        <v>2067</v>
      </c>
    </row>
    <row r="52" spans="1:29" x14ac:dyDescent="0.55000000000000004">
      <c r="A52" s="37" t="s">
        <v>5</v>
      </c>
      <c r="B52" s="38">
        <v>32200</v>
      </c>
      <c r="C52" s="38">
        <v>24800</v>
      </c>
      <c r="D52" s="38">
        <v>100800</v>
      </c>
      <c r="E52" s="38">
        <v>211400</v>
      </c>
      <c r="F52" s="38">
        <v>403550</v>
      </c>
      <c r="G52" s="38">
        <v>512450</v>
      </c>
      <c r="H52" s="38">
        <v>768700</v>
      </c>
      <c r="I52" s="38">
        <v>98900</v>
      </c>
      <c r="J52" s="38">
        <v>613700</v>
      </c>
      <c r="K52" s="38">
        <v>250000</v>
      </c>
      <c r="L52" s="38">
        <v>32000</v>
      </c>
      <c r="M52" s="38">
        <v>44000</v>
      </c>
      <c r="AC52">
        <f>IF(AD2+43&gt;$AD$3,"",AD2+43)</f>
        <v>2068</v>
      </c>
    </row>
    <row r="53" spans="1:29" x14ac:dyDescent="0.55000000000000004">
      <c r="A53" s="37" t="s">
        <v>8</v>
      </c>
      <c r="B53" s="38">
        <v>16100</v>
      </c>
      <c r="C53" s="38">
        <v>12400</v>
      </c>
      <c r="D53" s="38">
        <v>50400</v>
      </c>
      <c r="E53" s="38">
        <v>105700</v>
      </c>
      <c r="F53" s="38">
        <v>201775</v>
      </c>
      <c r="G53" s="38">
        <v>256225</v>
      </c>
      <c r="H53" s="38">
        <v>384350</v>
      </c>
      <c r="I53" s="38">
        <v>49450</v>
      </c>
      <c r="J53" s="38">
        <v>306850</v>
      </c>
      <c r="K53" s="38">
        <v>125000</v>
      </c>
      <c r="L53" s="38">
        <v>0</v>
      </c>
      <c r="M53" s="38">
        <v>0</v>
      </c>
      <c r="AC53">
        <f>IF(AD2+44&gt;$AD$3,"",AD2+44)</f>
        <v>2069</v>
      </c>
    </row>
    <row r="54" spans="1:29" x14ac:dyDescent="0.55000000000000004">
      <c r="A54" s="37" t="s">
        <v>10</v>
      </c>
      <c r="B54" s="38">
        <v>24150</v>
      </c>
      <c r="C54" s="38">
        <v>17700</v>
      </c>
      <c r="D54" s="38">
        <v>67450</v>
      </c>
      <c r="E54" s="38">
        <v>105700</v>
      </c>
      <c r="F54" s="38">
        <v>201775</v>
      </c>
      <c r="G54" s="38">
        <v>256200</v>
      </c>
      <c r="H54" s="38">
        <v>640600</v>
      </c>
      <c r="I54" s="38">
        <v>66200</v>
      </c>
      <c r="J54" s="38">
        <v>579600</v>
      </c>
      <c r="K54" s="38">
        <v>200000</v>
      </c>
      <c r="L54" s="38">
        <v>25000</v>
      </c>
      <c r="M54" s="38">
        <v>34000</v>
      </c>
      <c r="AC54">
        <f>IF(AD2+45&gt;$AD$3,"",AD2+45)</f>
        <v>2070</v>
      </c>
    </row>
    <row r="55" spans="1:29" x14ac:dyDescent="0.55000000000000004">
      <c r="A55" s="37" t="s">
        <v>13</v>
      </c>
      <c r="B55" s="38">
        <v>32200</v>
      </c>
      <c r="C55" s="38">
        <v>24800</v>
      </c>
      <c r="D55" s="38">
        <v>100800</v>
      </c>
      <c r="E55" s="38">
        <v>211400</v>
      </c>
      <c r="F55" s="38">
        <v>403550</v>
      </c>
      <c r="G55" s="38">
        <v>512450</v>
      </c>
      <c r="H55" s="38">
        <v>768700</v>
      </c>
      <c r="I55" s="38">
        <v>98900</v>
      </c>
      <c r="J55" s="38">
        <v>613700</v>
      </c>
      <c r="K55" s="38">
        <v>200000</v>
      </c>
      <c r="L55" s="38">
        <v>25000</v>
      </c>
      <c r="M55" s="38">
        <v>34000</v>
      </c>
      <c r="AC55">
        <f>IF(AD2+46&gt;$AD$3,"",AD2+46)</f>
        <v>2071</v>
      </c>
    </row>
    <row r="56" spans="1:29" x14ac:dyDescent="0.55000000000000004">
      <c r="A56" s="46" t="s">
        <v>264</v>
      </c>
      <c r="AC56">
        <f>IF(AD2+47&gt;$AD$3,"",AD2+47)</f>
        <v>2072</v>
      </c>
    </row>
    <row r="57" spans="1:29" x14ac:dyDescent="0.55000000000000004">
      <c r="A57" s="46" t="s">
        <v>265</v>
      </c>
      <c r="AC57">
        <f>IF(AD2+48&gt;$AD$3,"",AD2+48)</f>
        <v>2073</v>
      </c>
    </row>
    <row r="58" spans="1:29" x14ac:dyDescent="0.55000000000000004">
      <c r="AC58" t="str">
        <f>IF(AD2+49&gt;$AD$3,"",AD2+49)</f>
        <v/>
      </c>
    </row>
  </sheetData>
  <mergeCells count="3">
    <mergeCell ref="A1:G1"/>
    <mergeCell ref="A39:M39"/>
    <mergeCell ref="A49:M49"/>
  </mergeCells>
  <dataValidations count="1">
    <dataValidation type="list" allowBlank="1" showInputMessage="1" showErrorMessage="1" promptTitle="Tax Year" prompt="2025 through DOB+horizon age. 2025-2026 IRS; later inflated from 2026." sqref="B5" xr:uid="{C193BEDC-33A3-4E21-B314-DA66888823C2}">
      <formula1>$AC$9:$AC$58</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F8B1B6-A249-4648-8684-A2611AD1C041}">
  <dimension ref="A1:AT727"/>
  <sheetViews>
    <sheetView topLeftCell="A39" workbookViewId="0">
      <selection activeCell="E44" sqref="E44"/>
    </sheetView>
  </sheetViews>
  <sheetFormatPr defaultRowHeight="14.4" x14ac:dyDescent="0.55000000000000004"/>
  <cols>
    <col min="1" max="1" width="35" style="50" customWidth="1"/>
    <col min="2" max="2" width="24.83984375" customWidth="1"/>
    <col min="3" max="3" width="9.68359375" bestFit="1" customWidth="1"/>
    <col min="4" max="4" width="22.578125" customWidth="1"/>
    <col min="5" max="5" width="36.83984375" customWidth="1"/>
  </cols>
  <sheetData>
    <row r="1" spans="1:46" ht="18.3" x14ac:dyDescent="0.7">
      <c r="A1" s="267" t="s">
        <v>266</v>
      </c>
      <c r="B1" s="267"/>
      <c r="C1" s="267"/>
      <c r="D1" s="267"/>
      <c r="E1" s="267"/>
      <c r="F1" s="267"/>
      <c r="AG1" t="s">
        <v>591</v>
      </c>
      <c r="AH1" t="s">
        <v>592</v>
      </c>
      <c r="AI1" t="s">
        <v>593</v>
      </c>
      <c r="AJ1" t="s">
        <v>594</v>
      </c>
      <c r="AK1" t="s">
        <v>595</v>
      </c>
      <c r="AL1" t="s">
        <v>596</v>
      </c>
      <c r="AM1" t="s">
        <v>597</v>
      </c>
      <c r="AN1" t="s">
        <v>598</v>
      </c>
      <c r="AO1" t="s">
        <v>599</v>
      </c>
      <c r="AP1" t="s">
        <v>289</v>
      </c>
      <c r="AQ1" t="s">
        <v>590</v>
      </c>
      <c r="AR1" t="s">
        <v>600</v>
      </c>
      <c r="AS1" t="s">
        <v>601</v>
      </c>
      <c r="AT1" t="s">
        <v>602</v>
      </c>
    </row>
    <row r="2" spans="1:46" x14ac:dyDescent="0.55000000000000004">
      <c r="AG2">
        <f>ROW()-1</f>
        <v>1</v>
      </c>
      <c r="AH2">
        <f>INT((AG2-1)/66)/10</f>
        <v>0</v>
      </c>
      <c r="AI2">
        <f>MOD(INT((AG2-1)/6),11)/10</f>
        <v>0</v>
      </c>
      <c r="AJ2">
        <f>MOD(AG2-1,6)/5</f>
        <v>0</v>
      </c>
      <c r="AK2">
        <f>MAX(0,$B$10-AL2-AM2)</f>
        <v>60744</v>
      </c>
      <c r="AL2">
        <f>MIN($B$10*AH2,$B$47)</f>
        <v>0</v>
      </c>
      <c r="AM2">
        <f>MIN(MAX(0,$B$10-AL2)*AI2,'Retirement Gap'!$B$29)</f>
        <v>0</v>
      </c>
      <c r="AN2">
        <f>IF($E$40="B - Withdrawals + Roth conversions",AJ2*MAX(0,MIN($B$47-AL2,MIN($B$59,IRMAA!$C$16)-(AL2+$B$8*0.85+AK2*$B$46))),0)</f>
        <v>0</v>
      </c>
      <c r="AO2" cm="1">
        <f t="array" ref="AO2">_xlfn.LET(_xlpm.N,$B$49,_xlpm.R,$B$48,_xlpm.Start,$B$47,_xlpm.PlanWD,AL2,_xlpm.PlanRoth,AM2,_xlpm.PlanConv,AN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9083.7999999999993</v>
      </c>
      <c r="AP2" cm="1">
        <f t="array" ref="AP2">_xlfn.LET(_xlpm.N,$B$49,_xlpm.R,$B$48,_xlpm.Start,$B$47,_xlpm.PlanWD,AL2,_xlpm.PlanRoth,AM2,_xlpm.PlanConv,AN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2" cm="1">
        <f t="array" ref="AQ2">_xlfn.LET(_xlpm.N,$B$49,_xlpm.R,$B$48,_xlpm.Start,$B$47,_xlpm.PlanWD,AL2,_xlpm.PlanRoth,AM2,_xlpm.PlanConv,AN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1000811.002115303</v>
      </c>
      <c r="AR2" cm="1">
        <f t="array" ref="AR2">_xlfn.LET(_xlpm.N,$B$49,_xlpm.R,$B$48,_xlpm.Start,$B$47,_xlpm.PlanWD,AL2,_xlpm.PlanRoth,AM2,_xlpm.PlanConv,AN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1251763.0274820982</v>
      </c>
      <c r="AS2">
        <f>--AND(AK2&lt;=SUM('Retirement Gap'!$B$24:$B$25,'Retirement Gap'!$B$27),AL2+AN2&lt;=$B$47,AM2&lt;='Retirement Gap'!$B$29,ABS(AK2+AL2+AM2-$B$10)&lt;1)</f>
        <v>0</v>
      </c>
      <c r="AT2" cm="1">
        <f t="array" ref="AT2">IF(AS2=0,1E+99,_xlfn.SWITCH(LEFT($E$39,1),"1",AO2,"2",AP2*1000000000+AO2,"3",-AQ2,"4",AO2+AP2*25000+AR2*0.005-AQ2*0.0001,AO2))</f>
        <v>9.9999999999999997E+98</v>
      </c>
    </row>
    <row r="3" spans="1:46" x14ac:dyDescent="0.55000000000000004">
      <c r="A3" s="71" t="s">
        <v>138</v>
      </c>
      <c r="AG3">
        <f t="shared" ref="AG3:AG66" si="0">ROW()-1</f>
        <v>2</v>
      </c>
      <c r="AH3">
        <f t="shared" ref="AH3:AH66" si="1">INT((AG3-1)/66)/10</f>
        <v>0</v>
      </c>
      <c r="AI3">
        <f t="shared" ref="AI3:AI66" si="2">MOD(INT((AG3-1)/6),11)/10</f>
        <v>0</v>
      </c>
      <c r="AJ3">
        <f t="shared" ref="AJ3:AJ66" si="3">MOD(AG3-1,6)/5</f>
        <v>0.2</v>
      </c>
      <c r="AK3">
        <f t="shared" ref="AK3:AK66" si="4">MAX(0,$B$10-AL3-AM3)</f>
        <v>60744</v>
      </c>
      <c r="AL3">
        <f t="shared" ref="AL3:AL66" si="5">MIN($B$10*AH3,$B$47)</f>
        <v>0</v>
      </c>
      <c r="AM3">
        <f>MIN(MAX(0,$B$10-AL3)*AI3,'Retirement Gap'!$B$29)</f>
        <v>0</v>
      </c>
      <c r="AN3">
        <f>IF($E$40="B - Withdrawals + Roth conversions",AJ3*MAX(0,MIN($B$47-AL3,MIN($B$59,IRMAA!$C$16)-(AL3+$B$8*0.85+AK3*$B$46))),0)</f>
        <v>0</v>
      </c>
      <c r="AO3" cm="1">
        <f t="array" ref="AO3">_xlfn.LET(_xlpm.N,$B$49,_xlpm.R,$B$48,_xlpm.Start,$B$47,_xlpm.PlanWD,AL3,_xlpm.PlanRoth,AM3,_xlpm.PlanConv,AN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9083.7999999999993</v>
      </c>
      <c r="AP3" cm="1">
        <f t="array" ref="AP3">_xlfn.LET(_xlpm.N,$B$49,_xlpm.R,$B$48,_xlpm.Start,$B$47,_xlpm.PlanWD,AL3,_xlpm.PlanRoth,AM3,_xlpm.PlanConv,AN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3" cm="1">
        <f t="array" ref="AQ3">_xlfn.LET(_xlpm.N,$B$49,_xlpm.R,$B$48,_xlpm.Start,$B$47,_xlpm.PlanWD,AL3,_xlpm.PlanRoth,AM3,_xlpm.PlanConv,AN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1000811.002115303</v>
      </c>
      <c r="AR3" cm="1">
        <f t="array" ref="AR3">_xlfn.LET(_xlpm.N,$B$49,_xlpm.R,$B$48,_xlpm.Start,$B$47,_xlpm.PlanWD,AL3,_xlpm.PlanRoth,AM3,_xlpm.PlanConv,AN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1251763.0274820982</v>
      </c>
      <c r="AS3">
        <f>--AND(AK3&lt;=SUM('Retirement Gap'!$B$24:$B$25,'Retirement Gap'!$B$27),AL3+AN3&lt;=$B$47,AM3&lt;='Retirement Gap'!$B$29,ABS(AK3+AL3+AM3-$B$10)&lt;1)</f>
        <v>0</v>
      </c>
      <c r="AT3" cm="1">
        <f t="array" ref="AT3">IF(AS3=0,1E+99,_xlfn.SWITCH(LEFT($E$39,1),"1",AO3,"2",AP3*1000000000+AO3,"3",-AQ3,"4",AO3+AP3*25000+AR3*0.005-AQ3*0.0001,AO3))</f>
        <v>9.9999999999999997E+98</v>
      </c>
    </row>
    <row r="4" spans="1:46" ht="43.2" x14ac:dyDescent="0.55000000000000004">
      <c r="A4" s="50" t="s">
        <v>267</v>
      </c>
      <c r="AG4">
        <f t="shared" si="0"/>
        <v>3</v>
      </c>
      <c r="AH4">
        <f t="shared" si="1"/>
        <v>0</v>
      </c>
      <c r="AI4">
        <f t="shared" si="2"/>
        <v>0</v>
      </c>
      <c r="AJ4">
        <f t="shared" si="3"/>
        <v>0.4</v>
      </c>
      <c r="AK4">
        <f t="shared" si="4"/>
        <v>60744</v>
      </c>
      <c r="AL4">
        <f t="shared" si="5"/>
        <v>0</v>
      </c>
      <c r="AM4">
        <f>MIN(MAX(0,$B$10-AL4)*AI4,'Retirement Gap'!$B$29)</f>
        <v>0</v>
      </c>
      <c r="AN4">
        <f>IF($E$40="B - Withdrawals + Roth conversions",AJ4*MAX(0,MIN($B$47-AL4,MIN($B$59,IRMAA!$C$16)-(AL4+$B$8*0.85+AK4*$B$46))),0)</f>
        <v>0</v>
      </c>
      <c r="AO4" cm="1">
        <f t="array" ref="AO4">_xlfn.LET(_xlpm.N,$B$49,_xlpm.R,$B$48,_xlpm.Start,$B$47,_xlpm.PlanWD,AL4,_xlpm.PlanRoth,AM4,_xlpm.PlanConv,AN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9083.7999999999993</v>
      </c>
      <c r="AP4" cm="1">
        <f t="array" ref="AP4">_xlfn.LET(_xlpm.N,$B$49,_xlpm.R,$B$48,_xlpm.Start,$B$47,_xlpm.PlanWD,AL4,_xlpm.PlanRoth,AM4,_xlpm.PlanConv,AN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4" cm="1">
        <f t="array" ref="AQ4">_xlfn.LET(_xlpm.N,$B$49,_xlpm.R,$B$48,_xlpm.Start,$B$47,_xlpm.PlanWD,AL4,_xlpm.PlanRoth,AM4,_xlpm.PlanConv,AN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1000811.002115303</v>
      </c>
      <c r="AR4" cm="1">
        <f t="array" ref="AR4">_xlfn.LET(_xlpm.N,$B$49,_xlpm.R,$B$48,_xlpm.Start,$B$47,_xlpm.PlanWD,AL4,_xlpm.PlanRoth,AM4,_xlpm.PlanConv,AN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1251763.0274820982</v>
      </c>
      <c r="AS4">
        <f>--AND(AK4&lt;=SUM('Retirement Gap'!$B$24:$B$25,'Retirement Gap'!$B$27),AL4+AN4&lt;=$B$47,AM4&lt;='Retirement Gap'!$B$29,ABS(AK4+AL4+AM4-$B$10)&lt;1)</f>
        <v>0</v>
      </c>
      <c r="AT4" cm="1">
        <f t="array" ref="AT4">IF(AS4=0,1E+99,_xlfn.SWITCH(LEFT($E$39,1),"1",AO4,"2",AP4*1000000000+AO4,"3",-AQ4,"4",AO4+AP4*25000+AR4*0.005-AQ4*0.0001,AO4))</f>
        <v>9.9999999999999997E+98</v>
      </c>
    </row>
    <row r="5" spans="1:46" x14ac:dyDescent="0.55000000000000004">
      <c r="AG5">
        <f t="shared" si="0"/>
        <v>4</v>
      </c>
      <c r="AH5">
        <f t="shared" si="1"/>
        <v>0</v>
      </c>
      <c r="AI5">
        <f t="shared" si="2"/>
        <v>0</v>
      </c>
      <c r="AJ5">
        <f t="shared" si="3"/>
        <v>0.6</v>
      </c>
      <c r="AK5">
        <f t="shared" si="4"/>
        <v>60744</v>
      </c>
      <c r="AL5">
        <f t="shared" si="5"/>
        <v>0</v>
      </c>
      <c r="AM5">
        <f>MIN(MAX(0,$B$10-AL5)*AI5,'Retirement Gap'!$B$29)</f>
        <v>0</v>
      </c>
      <c r="AN5">
        <f>IF($E$40="B - Withdrawals + Roth conversions",AJ5*MAX(0,MIN($B$47-AL5,MIN($B$59,IRMAA!$C$16)-(AL5+$B$8*0.85+AK5*$B$46))),0)</f>
        <v>0</v>
      </c>
      <c r="AO5" cm="1">
        <f t="array" ref="AO5">_xlfn.LET(_xlpm.N,$B$49,_xlpm.R,$B$48,_xlpm.Start,$B$47,_xlpm.PlanWD,AL5,_xlpm.PlanRoth,AM5,_xlpm.PlanConv,AN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9083.7999999999993</v>
      </c>
      <c r="AP5" cm="1">
        <f t="array" ref="AP5">_xlfn.LET(_xlpm.N,$B$49,_xlpm.R,$B$48,_xlpm.Start,$B$47,_xlpm.PlanWD,AL5,_xlpm.PlanRoth,AM5,_xlpm.PlanConv,AN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5" cm="1">
        <f t="array" ref="AQ5">_xlfn.LET(_xlpm.N,$B$49,_xlpm.R,$B$48,_xlpm.Start,$B$47,_xlpm.PlanWD,AL5,_xlpm.PlanRoth,AM5,_xlpm.PlanConv,AN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1000811.002115303</v>
      </c>
      <c r="AR5" cm="1">
        <f t="array" ref="AR5">_xlfn.LET(_xlpm.N,$B$49,_xlpm.R,$B$48,_xlpm.Start,$B$47,_xlpm.PlanWD,AL5,_xlpm.PlanRoth,AM5,_xlpm.PlanConv,AN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1251763.0274820982</v>
      </c>
      <c r="AS5">
        <f>--AND(AK5&lt;=SUM('Retirement Gap'!$B$24:$B$25,'Retirement Gap'!$B$27),AL5+AN5&lt;=$B$47,AM5&lt;='Retirement Gap'!$B$29,ABS(AK5+AL5+AM5-$B$10)&lt;1)</f>
        <v>0</v>
      </c>
      <c r="AT5" cm="1">
        <f t="array" ref="AT5">IF(AS5=0,1E+99,_xlfn.SWITCH(LEFT($E$39,1),"1",AO5,"2",AP5*1000000000+AO5,"3",-AQ5,"4",AO5+AP5*25000+AR5*0.005-AQ5*0.0001,AO5))</f>
        <v>9.9999999999999997E+98</v>
      </c>
    </row>
    <row r="6" spans="1:46" x14ac:dyDescent="0.55000000000000004">
      <c r="A6" s="71" t="s">
        <v>268</v>
      </c>
      <c r="AG6">
        <f t="shared" si="0"/>
        <v>5</v>
      </c>
      <c r="AH6">
        <f t="shared" si="1"/>
        <v>0</v>
      </c>
      <c r="AI6">
        <f t="shared" si="2"/>
        <v>0</v>
      </c>
      <c r="AJ6">
        <f t="shared" si="3"/>
        <v>0.8</v>
      </c>
      <c r="AK6">
        <f t="shared" si="4"/>
        <v>60744</v>
      </c>
      <c r="AL6">
        <f t="shared" si="5"/>
        <v>0</v>
      </c>
      <c r="AM6">
        <f>MIN(MAX(0,$B$10-AL6)*AI6,'Retirement Gap'!$B$29)</f>
        <v>0</v>
      </c>
      <c r="AN6">
        <f>IF($E$40="B - Withdrawals + Roth conversions",AJ6*MAX(0,MIN($B$47-AL6,MIN($B$59,IRMAA!$C$16)-(AL6+$B$8*0.85+AK6*$B$46))),0)</f>
        <v>0</v>
      </c>
      <c r="AO6" cm="1">
        <f t="array" ref="AO6">_xlfn.LET(_xlpm.N,$B$49,_xlpm.R,$B$48,_xlpm.Start,$B$47,_xlpm.PlanWD,AL6,_xlpm.PlanRoth,AM6,_xlpm.PlanConv,AN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9083.7999999999993</v>
      </c>
      <c r="AP6" cm="1">
        <f t="array" ref="AP6">_xlfn.LET(_xlpm.N,$B$49,_xlpm.R,$B$48,_xlpm.Start,$B$47,_xlpm.PlanWD,AL6,_xlpm.PlanRoth,AM6,_xlpm.PlanConv,AN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6" cm="1">
        <f t="array" ref="AQ6">_xlfn.LET(_xlpm.N,$B$49,_xlpm.R,$B$48,_xlpm.Start,$B$47,_xlpm.PlanWD,AL6,_xlpm.PlanRoth,AM6,_xlpm.PlanConv,AN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1000811.002115303</v>
      </c>
      <c r="AR6" cm="1">
        <f t="array" ref="AR6">_xlfn.LET(_xlpm.N,$B$49,_xlpm.R,$B$48,_xlpm.Start,$B$47,_xlpm.PlanWD,AL6,_xlpm.PlanRoth,AM6,_xlpm.PlanConv,AN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1251763.0274820982</v>
      </c>
      <c r="AS6">
        <f>--AND(AK6&lt;=SUM('Retirement Gap'!$B$24:$B$25,'Retirement Gap'!$B$27),AL6+AN6&lt;=$B$47,AM6&lt;='Retirement Gap'!$B$29,ABS(AK6+AL6+AM6-$B$10)&lt;1)</f>
        <v>0</v>
      </c>
      <c r="AT6" cm="1">
        <f t="array" ref="AT6">IF(AS6=0,1E+99,_xlfn.SWITCH(LEFT($E$39,1),"1",AO6,"2",AP6*1000000000+AO6,"3",-AQ6,"4",AO6+AP6*25000+AR6*0.005-AQ6*0.0001,AO6))</f>
        <v>9.9999999999999997E+98</v>
      </c>
    </row>
    <row r="7" spans="1:46" x14ac:dyDescent="0.55000000000000004">
      <c r="A7" s="50" t="s">
        <v>269</v>
      </c>
      <c r="B7" s="9">
        <v>120000</v>
      </c>
      <c r="AG7">
        <f t="shared" si="0"/>
        <v>6</v>
      </c>
      <c r="AH7">
        <f t="shared" si="1"/>
        <v>0</v>
      </c>
      <c r="AI7">
        <f t="shared" si="2"/>
        <v>0</v>
      </c>
      <c r="AJ7">
        <f t="shared" si="3"/>
        <v>1</v>
      </c>
      <c r="AK7">
        <f t="shared" si="4"/>
        <v>60744</v>
      </c>
      <c r="AL7">
        <f t="shared" si="5"/>
        <v>0</v>
      </c>
      <c r="AM7">
        <f>MIN(MAX(0,$B$10-AL7)*AI7,'Retirement Gap'!$B$29)</f>
        <v>0</v>
      </c>
      <c r="AN7">
        <f>IF($E$40="B - Withdrawals + Roth conversions",AJ7*MAX(0,MIN($B$47-AL7,MIN($B$59,IRMAA!$C$16)-(AL7+$B$8*0.85+AK7*$B$46))),0)</f>
        <v>0</v>
      </c>
      <c r="AO7" cm="1">
        <f t="array" ref="AO7">_xlfn.LET(_xlpm.N,$B$49,_xlpm.R,$B$48,_xlpm.Start,$B$47,_xlpm.PlanWD,AL7,_xlpm.PlanRoth,AM7,_xlpm.PlanConv,AN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9083.7999999999993</v>
      </c>
      <c r="AP7" cm="1">
        <f t="array" ref="AP7">_xlfn.LET(_xlpm.N,$B$49,_xlpm.R,$B$48,_xlpm.Start,$B$47,_xlpm.PlanWD,AL7,_xlpm.PlanRoth,AM7,_xlpm.PlanConv,AN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7" cm="1">
        <f t="array" ref="AQ7">_xlfn.LET(_xlpm.N,$B$49,_xlpm.R,$B$48,_xlpm.Start,$B$47,_xlpm.PlanWD,AL7,_xlpm.PlanRoth,AM7,_xlpm.PlanConv,AN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1000811.002115303</v>
      </c>
      <c r="AR7" cm="1">
        <f t="array" ref="AR7">_xlfn.LET(_xlpm.N,$B$49,_xlpm.R,$B$48,_xlpm.Start,$B$47,_xlpm.PlanWD,AL7,_xlpm.PlanRoth,AM7,_xlpm.PlanConv,AN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1251763.0274820982</v>
      </c>
      <c r="AS7">
        <f>--AND(AK7&lt;=SUM('Retirement Gap'!$B$24:$B$25,'Retirement Gap'!$B$27),AL7+AN7&lt;=$B$47,AM7&lt;='Retirement Gap'!$B$29,ABS(AK7+AL7+AM7-$B$10)&lt;1)</f>
        <v>0</v>
      </c>
      <c r="AT7" cm="1">
        <f t="array" ref="AT7">IF(AS7=0,1E+99,_xlfn.SWITCH(LEFT($E$39,1),"1",AO7,"2",AP7*1000000000+AO7,"3",-AQ7,"4",AO7+AP7*25000+AR7*0.005-AQ7*0.0001,AO7))</f>
        <v>9.9999999999999997E+98</v>
      </c>
    </row>
    <row r="8" spans="1:46" x14ac:dyDescent="0.55000000000000004">
      <c r="A8" s="50" t="s">
        <v>270</v>
      </c>
      <c r="B8" s="20">
        <f>'SS Benefits'!B13*12</f>
        <v>59256</v>
      </c>
      <c r="AG8">
        <f t="shared" si="0"/>
        <v>7</v>
      </c>
      <c r="AH8">
        <f t="shared" si="1"/>
        <v>0</v>
      </c>
      <c r="AI8">
        <f t="shared" si="2"/>
        <v>0.1</v>
      </c>
      <c r="AJ8">
        <f t="shared" si="3"/>
        <v>0</v>
      </c>
      <c r="AK8">
        <f t="shared" si="4"/>
        <v>54669.599999999999</v>
      </c>
      <c r="AL8">
        <f t="shared" si="5"/>
        <v>0</v>
      </c>
      <c r="AM8">
        <f>MIN(MAX(0,$B$10-AL8)*AI8,'Retirement Gap'!$B$29)</f>
        <v>6074.4000000000005</v>
      </c>
      <c r="AN8">
        <f>IF($E$40="B - Withdrawals + Roth conversions",AJ8*MAX(0,MIN($B$47-AL8,MIN($B$59,IRMAA!$C$16)-(AL8+$B$8*0.85+AK8*$B$46))),0)</f>
        <v>0</v>
      </c>
      <c r="AO8" cm="1">
        <f t="array" ref="AO8">_xlfn.LET(_xlpm.N,$B$49,_xlpm.R,$B$48,_xlpm.Start,$B$47,_xlpm.PlanWD,AL8,_xlpm.PlanRoth,AM8,_xlpm.PlanConv,AN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0</v>
      </c>
      <c r="AP8" cm="1">
        <f t="array" ref="AP8">_xlfn.LET(_xlpm.N,$B$49,_xlpm.R,$B$48,_xlpm.Start,$B$47,_xlpm.PlanWD,AL8,_xlpm.PlanRoth,AM8,_xlpm.PlanConv,AN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8" cm="1">
        <f t="array" ref="AQ8">_xlfn.LET(_xlpm.N,$B$49,_xlpm.R,$B$48,_xlpm.Start,$B$47,_xlpm.PlanWD,AL8,_xlpm.PlanRoth,AM8,_xlpm.PlanConv,AN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1011052.2471213129</v>
      </c>
      <c r="AR8" cm="1">
        <f t="array" ref="AR8">_xlfn.LET(_xlpm.N,$B$49,_xlpm.R,$B$48,_xlpm.Start,$B$47,_xlpm.PlanWD,AL8,_xlpm.PlanRoth,AM8,_xlpm.PlanConv,AN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1251763.0274820982</v>
      </c>
      <c r="AS8">
        <f>--AND(AK8&lt;=SUM('Retirement Gap'!$B$24:$B$25,'Retirement Gap'!$B$27),AL8+AN8&lt;=$B$47,AM8&lt;='Retirement Gap'!$B$29,ABS(AK8+AL8+AM8-$B$10)&lt;1)</f>
        <v>0</v>
      </c>
      <c r="AT8" cm="1">
        <f t="array" ref="AT8">IF(AS8=0,1E+99,_xlfn.SWITCH(LEFT($E$39,1),"1",AO8,"2",AP8*1000000000+AO8,"3",-AQ8,"4",AO8+AP8*25000+AR8*0.005-AQ8*0.0001,AO8))</f>
        <v>9.9999999999999997E+98</v>
      </c>
    </row>
    <row r="9" spans="1:46" x14ac:dyDescent="0.55000000000000004">
      <c r="A9" s="50" t="s">
        <v>271</v>
      </c>
      <c r="B9" s="20">
        <f>Inputs!B15*12</f>
        <v>0</v>
      </c>
      <c r="AG9">
        <f t="shared" si="0"/>
        <v>8</v>
      </c>
      <c r="AH9">
        <f t="shared" si="1"/>
        <v>0</v>
      </c>
      <c r="AI9">
        <f t="shared" si="2"/>
        <v>0.1</v>
      </c>
      <c r="AJ9">
        <f t="shared" si="3"/>
        <v>0.2</v>
      </c>
      <c r="AK9">
        <f t="shared" si="4"/>
        <v>54669.599999999999</v>
      </c>
      <c r="AL9">
        <f t="shared" si="5"/>
        <v>0</v>
      </c>
      <c r="AM9">
        <f>MIN(MAX(0,$B$10-AL9)*AI9,'Retirement Gap'!$B$29)</f>
        <v>6074.4000000000005</v>
      </c>
      <c r="AN9">
        <f>IF($E$40="B - Withdrawals + Roth conversions",AJ9*MAX(0,MIN($B$47-AL9,MIN($B$59,IRMAA!$C$16)-(AL9+$B$8*0.85+AK9*$B$46))),0)</f>
        <v>0</v>
      </c>
      <c r="AO9" cm="1">
        <f t="array" ref="AO9">_xlfn.LET(_xlpm.N,$B$49,_xlpm.R,$B$48,_xlpm.Start,$B$47,_xlpm.PlanWD,AL9,_xlpm.PlanRoth,AM9,_xlpm.PlanConv,AN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0</v>
      </c>
      <c r="AP9" cm="1">
        <f t="array" ref="AP9">_xlfn.LET(_xlpm.N,$B$49,_xlpm.R,$B$48,_xlpm.Start,$B$47,_xlpm.PlanWD,AL9,_xlpm.PlanRoth,AM9,_xlpm.PlanConv,AN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9" cm="1">
        <f t="array" ref="AQ9">_xlfn.LET(_xlpm.N,$B$49,_xlpm.R,$B$48,_xlpm.Start,$B$47,_xlpm.PlanWD,AL9,_xlpm.PlanRoth,AM9,_xlpm.PlanConv,AN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1011052.2471213129</v>
      </c>
      <c r="AR9" cm="1">
        <f t="array" ref="AR9">_xlfn.LET(_xlpm.N,$B$49,_xlpm.R,$B$48,_xlpm.Start,$B$47,_xlpm.PlanWD,AL9,_xlpm.PlanRoth,AM9,_xlpm.PlanConv,AN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1251763.0274820982</v>
      </c>
      <c r="AS9">
        <f>--AND(AK9&lt;=SUM('Retirement Gap'!$B$24:$B$25,'Retirement Gap'!$B$27),AL9+AN9&lt;=$B$47,AM9&lt;='Retirement Gap'!$B$29,ABS(AK9+AL9+AM9-$B$10)&lt;1)</f>
        <v>0</v>
      </c>
      <c r="AT9" cm="1">
        <f t="array" ref="AT9">IF(AS9=0,1E+99,_xlfn.SWITCH(LEFT($E$39,1),"1",AO9,"2",AP9*1000000000+AO9,"3",-AQ9,"4",AO9+AP9*25000+AR9*0.005-AQ9*0.0001,AO9))</f>
        <v>9.9999999999999997E+98</v>
      </c>
    </row>
    <row r="10" spans="1:46" x14ac:dyDescent="0.55000000000000004">
      <c r="A10" s="50" t="s">
        <v>272</v>
      </c>
      <c r="B10" s="10">
        <f>MAX(0,B7-B8-B9)</f>
        <v>60744</v>
      </c>
      <c r="AG10">
        <f t="shared" si="0"/>
        <v>9</v>
      </c>
      <c r="AH10">
        <f t="shared" si="1"/>
        <v>0</v>
      </c>
      <c r="AI10">
        <f t="shared" si="2"/>
        <v>0.1</v>
      </c>
      <c r="AJ10">
        <f t="shared" si="3"/>
        <v>0.4</v>
      </c>
      <c r="AK10">
        <f t="shared" si="4"/>
        <v>54669.599999999999</v>
      </c>
      <c r="AL10">
        <f t="shared" si="5"/>
        <v>0</v>
      </c>
      <c r="AM10">
        <f>MIN(MAX(0,$B$10-AL10)*AI10,'Retirement Gap'!$B$29)</f>
        <v>6074.4000000000005</v>
      </c>
      <c r="AN10">
        <f>IF($E$40="B - Withdrawals + Roth conversions",AJ10*MAX(0,MIN($B$47-AL10,MIN($B$59,IRMAA!$C$16)-(AL10+$B$8*0.85+AK10*$B$46))),0)</f>
        <v>0</v>
      </c>
      <c r="AO10" cm="1">
        <f t="array" ref="AO10">_xlfn.LET(_xlpm.N,$B$49,_xlpm.R,$B$48,_xlpm.Start,$B$47,_xlpm.PlanWD,AL10,_xlpm.PlanRoth,AM10,_xlpm.PlanConv,AN10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0</v>
      </c>
      <c r="AP10" cm="1">
        <f t="array" ref="AP10">_xlfn.LET(_xlpm.N,$B$49,_xlpm.R,$B$48,_xlpm.Start,$B$47,_xlpm.PlanWD,AL10,_xlpm.PlanRoth,AM10,_xlpm.PlanConv,AN10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10" cm="1">
        <f t="array" ref="AQ10">_xlfn.LET(_xlpm.N,$B$49,_xlpm.R,$B$48,_xlpm.Start,$B$47,_xlpm.PlanWD,AL10,_xlpm.PlanRoth,AM10,_xlpm.PlanConv,AN10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1011052.2471213129</v>
      </c>
      <c r="AR10" cm="1">
        <f t="array" ref="AR10">_xlfn.LET(_xlpm.N,$B$49,_xlpm.R,$B$48,_xlpm.Start,$B$47,_xlpm.PlanWD,AL10,_xlpm.PlanRoth,AM10,_xlpm.PlanConv,AN10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1251763.0274820982</v>
      </c>
      <c r="AS10">
        <f>--AND(AK10&lt;=SUM('Retirement Gap'!$B$24:$B$25,'Retirement Gap'!$B$27),AL10+AN10&lt;=$B$47,AM10&lt;='Retirement Gap'!$B$29,ABS(AK10+AL10+AM10-$B$10)&lt;1)</f>
        <v>0</v>
      </c>
      <c r="AT10" cm="1">
        <f t="array" ref="AT10">IF(AS10=0,1E+99,_xlfn.SWITCH(LEFT($E$39,1),"1",AO10,"2",AP10*1000000000+AO10,"3",-AQ10,"4",AO10+AP10*25000+AR10*0.005-AQ10*0.0001,AO10))</f>
        <v>9.9999999999999997E+98</v>
      </c>
    </row>
    <row r="11" spans="1:46" x14ac:dyDescent="0.55000000000000004">
      <c r="B11" s="3"/>
      <c r="AG11">
        <f t="shared" si="0"/>
        <v>10</v>
      </c>
      <c r="AH11">
        <f t="shared" si="1"/>
        <v>0</v>
      </c>
      <c r="AI11">
        <f t="shared" si="2"/>
        <v>0.1</v>
      </c>
      <c r="AJ11">
        <f t="shared" si="3"/>
        <v>0.6</v>
      </c>
      <c r="AK11">
        <f t="shared" si="4"/>
        <v>54669.599999999999</v>
      </c>
      <c r="AL11">
        <f t="shared" si="5"/>
        <v>0</v>
      </c>
      <c r="AM11">
        <f>MIN(MAX(0,$B$10-AL11)*AI11,'Retirement Gap'!$B$29)</f>
        <v>6074.4000000000005</v>
      </c>
      <c r="AN11">
        <f>IF($E$40="B - Withdrawals + Roth conversions",AJ11*MAX(0,MIN($B$47-AL11,MIN($B$59,IRMAA!$C$16)-(AL11+$B$8*0.85+AK11*$B$46))),0)</f>
        <v>0</v>
      </c>
      <c r="AO11" cm="1">
        <f t="array" ref="AO11">_xlfn.LET(_xlpm.N,$B$49,_xlpm.R,$B$48,_xlpm.Start,$B$47,_xlpm.PlanWD,AL11,_xlpm.PlanRoth,AM11,_xlpm.PlanConv,AN11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0</v>
      </c>
      <c r="AP11" cm="1">
        <f t="array" ref="AP11">_xlfn.LET(_xlpm.N,$B$49,_xlpm.R,$B$48,_xlpm.Start,$B$47,_xlpm.PlanWD,AL11,_xlpm.PlanRoth,AM11,_xlpm.PlanConv,AN11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11" cm="1">
        <f t="array" ref="AQ11">_xlfn.LET(_xlpm.N,$B$49,_xlpm.R,$B$48,_xlpm.Start,$B$47,_xlpm.PlanWD,AL11,_xlpm.PlanRoth,AM11,_xlpm.PlanConv,AN11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1011052.2471213129</v>
      </c>
      <c r="AR11" cm="1">
        <f t="array" ref="AR11">_xlfn.LET(_xlpm.N,$B$49,_xlpm.R,$B$48,_xlpm.Start,$B$47,_xlpm.PlanWD,AL11,_xlpm.PlanRoth,AM11,_xlpm.PlanConv,AN11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1251763.0274820982</v>
      </c>
      <c r="AS11">
        <f>--AND(AK11&lt;=SUM('Retirement Gap'!$B$24:$B$25,'Retirement Gap'!$B$27),AL11+AN11&lt;=$B$47,AM11&lt;='Retirement Gap'!$B$29,ABS(AK11+AL11+AM11-$B$10)&lt;1)</f>
        <v>0</v>
      </c>
      <c r="AT11" cm="1">
        <f t="array" ref="AT11">IF(AS11=0,1E+99,_xlfn.SWITCH(LEFT($E$39,1),"1",AO11,"2",AP11*1000000000+AO11,"3",-AQ11,"4",AO11+AP11*25000+AR11*0.005-AQ11*0.0001,AO11))</f>
        <v>9.9999999999999997E+98</v>
      </c>
    </row>
    <row r="12" spans="1:46" x14ac:dyDescent="0.55000000000000004">
      <c r="A12" s="71" t="s">
        <v>273</v>
      </c>
      <c r="B12" s="3"/>
      <c r="AG12">
        <f t="shared" si="0"/>
        <v>11</v>
      </c>
      <c r="AH12">
        <f t="shared" si="1"/>
        <v>0</v>
      </c>
      <c r="AI12">
        <f t="shared" si="2"/>
        <v>0.1</v>
      </c>
      <c r="AJ12">
        <f t="shared" si="3"/>
        <v>0.8</v>
      </c>
      <c r="AK12">
        <f t="shared" si="4"/>
        <v>54669.599999999999</v>
      </c>
      <c r="AL12">
        <f t="shared" si="5"/>
        <v>0</v>
      </c>
      <c r="AM12">
        <f>MIN(MAX(0,$B$10-AL12)*AI12,'Retirement Gap'!$B$29)</f>
        <v>6074.4000000000005</v>
      </c>
      <c r="AN12">
        <f>IF($E$40="B - Withdrawals + Roth conversions",AJ12*MAX(0,MIN($B$47-AL12,MIN($B$59,IRMAA!$C$16)-(AL12+$B$8*0.85+AK12*$B$46))),0)</f>
        <v>0</v>
      </c>
      <c r="AO12" cm="1">
        <f t="array" ref="AO12">_xlfn.LET(_xlpm.N,$B$49,_xlpm.R,$B$48,_xlpm.Start,$B$47,_xlpm.PlanWD,AL12,_xlpm.PlanRoth,AM12,_xlpm.PlanConv,AN12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0</v>
      </c>
      <c r="AP12" cm="1">
        <f t="array" ref="AP12">_xlfn.LET(_xlpm.N,$B$49,_xlpm.R,$B$48,_xlpm.Start,$B$47,_xlpm.PlanWD,AL12,_xlpm.PlanRoth,AM12,_xlpm.PlanConv,AN12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12" cm="1">
        <f t="array" ref="AQ12">_xlfn.LET(_xlpm.N,$B$49,_xlpm.R,$B$48,_xlpm.Start,$B$47,_xlpm.PlanWD,AL12,_xlpm.PlanRoth,AM12,_xlpm.PlanConv,AN12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1011052.2471213129</v>
      </c>
      <c r="AR12" cm="1">
        <f t="array" ref="AR12">_xlfn.LET(_xlpm.N,$B$49,_xlpm.R,$B$48,_xlpm.Start,$B$47,_xlpm.PlanWD,AL12,_xlpm.PlanRoth,AM12,_xlpm.PlanConv,AN12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1251763.0274820982</v>
      </c>
      <c r="AS12">
        <f>--AND(AK12&lt;=SUM('Retirement Gap'!$B$24:$B$25,'Retirement Gap'!$B$27),AL12+AN12&lt;=$B$47,AM12&lt;='Retirement Gap'!$B$29,ABS(AK12+AL12+AM12-$B$10)&lt;1)</f>
        <v>0</v>
      </c>
      <c r="AT12" cm="1">
        <f t="array" ref="AT12">IF(AS12=0,1E+99,_xlfn.SWITCH(LEFT($E$39,1),"1",AO12,"2",AP12*1000000000+AO12,"3",-AQ12,"4",AO12+AP12*25000+AR12*0.005-AQ12*0.0001,AO12))</f>
        <v>9.9999999999999997E+98</v>
      </c>
    </row>
    <row r="13" spans="1:46" x14ac:dyDescent="0.55000000000000004">
      <c r="A13" s="50" t="s">
        <v>274</v>
      </c>
      <c r="B13" s="9">
        <f>$B$10</f>
        <v>60744</v>
      </c>
      <c r="AG13">
        <f t="shared" si="0"/>
        <v>12</v>
      </c>
      <c r="AH13">
        <f t="shared" si="1"/>
        <v>0</v>
      </c>
      <c r="AI13">
        <f t="shared" si="2"/>
        <v>0.1</v>
      </c>
      <c r="AJ13">
        <f t="shared" si="3"/>
        <v>1</v>
      </c>
      <c r="AK13">
        <f t="shared" si="4"/>
        <v>54669.599999999999</v>
      </c>
      <c r="AL13">
        <f t="shared" si="5"/>
        <v>0</v>
      </c>
      <c r="AM13">
        <f>MIN(MAX(0,$B$10-AL13)*AI13,'Retirement Gap'!$B$29)</f>
        <v>6074.4000000000005</v>
      </c>
      <c r="AN13">
        <f>IF($E$40="B - Withdrawals + Roth conversions",AJ13*MAX(0,MIN($B$47-AL13,MIN($B$59,IRMAA!$C$16)-(AL13+$B$8*0.85+AK13*$B$46))),0)</f>
        <v>0</v>
      </c>
      <c r="AO13" cm="1">
        <f t="array" ref="AO13">_xlfn.LET(_xlpm.N,$B$49,_xlpm.R,$B$48,_xlpm.Start,$B$47,_xlpm.PlanWD,AL13,_xlpm.PlanRoth,AM13,_xlpm.PlanConv,AN13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0</v>
      </c>
      <c r="AP13" cm="1">
        <f t="array" ref="AP13">_xlfn.LET(_xlpm.N,$B$49,_xlpm.R,$B$48,_xlpm.Start,$B$47,_xlpm.PlanWD,AL13,_xlpm.PlanRoth,AM13,_xlpm.PlanConv,AN13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13" cm="1">
        <f t="array" ref="AQ13">_xlfn.LET(_xlpm.N,$B$49,_xlpm.R,$B$48,_xlpm.Start,$B$47,_xlpm.PlanWD,AL13,_xlpm.PlanRoth,AM13,_xlpm.PlanConv,AN13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1011052.2471213129</v>
      </c>
      <c r="AR13" cm="1">
        <f t="array" ref="AR13">_xlfn.LET(_xlpm.N,$B$49,_xlpm.R,$B$48,_xlpm.Start,$B$47,_xlpm.PlanWD,AL13,_xlpm.PlanRoth,AM13,_xlpm.PlanConv,AN13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1251763.0274820982</v>
      </c>
      <c r="AS13">
        <f>--AND(AK13&lt;=SUM('Retirement Gap'!$B$24:$B$25,'Retirement Gap'!$B$27),AL13+AN13&lt;=$B$47,AM13&lt;='Retirement Gap'!$B$29,ABS(AK13+AL13+AM13-$B$10)&lt;1)</f>
        <v>0</v>
      </c>
      <c r="AT13" cm="1">
        <f t="array" ref="AT13">IF(AS13=0,1E+99,_xlfn.SWITCH(LEFT($E$39,1),"1",AO13,"2",AP13*1000000000+AO13,"3",-AQ13,"4",AO13+AP13*25000+AR13*0.005-AQ13*0.0001,AO13))</f>
        <v>9.9999999999999997E+98</v>
      </c>
    </row>
    <row r="14" spans="1:46" x14ac:dyDescent="0.55000000000000004">
      <c r="A14" s="50" t="s">
        <v>275</v>
      </c>
      <c r="B14" s="9">
        <v>0</v>
      </c>
      <c r="AG14">
        <f t="shared" si="0"/>
        <v>13</v>
      </c>
      <c r="AH14">
        <f t="shared" si="1"/>
        <v>0</v>
      </c>
      <c r="AI14">
        <f t="shared" si="2"/>
        <v>0.2</v>
      </c>
      <c r="AJ14">
        <f t="shared" si="3"/>
        <v>0</v>
      </c>
      <c r="AK14">
        <f t="shared" si="4"/>
        <v>49893.721633416484</v>
      </c>
      <c r="AL14">
        <f t="shared" si="5"/>
        <v>0</v>
      </c>
      <c r="AM14">
        <f>MIN(MAX(0,$B$10-AL14)*AI14,'Retirement Gap'!$B$29)</f>
        <v>10850.278366583516</v>
      </c>
      <c r="AN14">
        <f>IF($E$40="B - Withdrawals + Roth conversions",AJ14*MAX(0,MIN($B$47-AL14,MIN($B$59,IRMAA!$C$16)-(AL14+$B$8*0.85+AK14*$B$46))),0)</f>
        <v>0</v>
      </c>
      <c r="AO14" cm="1">
        <f t="array" ref="AO14">_xlfn.LET(_xlpm.N,$B$49,_xlpm.R,$B$48,_xlpm.Start,$B$47,_xlpm.PlanWD,AL14,_xlpm.PlanRoth,AM14,_xlpm.PlanConv,AN14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0</v>
      </c>
      <c r="AP14" cm="1">
        <f t="array" ref="AP14">_xlfn.LET(_xlpm.N,$B$49,_xlpm.R,$B$48,_xlpm.Start,$B$47,_xlpm.PlanWD,AL14,_xlpm.PlanRoth,AM14,_xlpm.PlanConv,AN14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14" cm="1">
        <f t="array" ref="AQ14">_xlfn.LET(_xlpm.N,$B$49,_xlpm.R,$B$48,_xlpm.Start,$B$47,_xlpm.PlanWD,AL14,_xlpm.PlanRoth,AM14,_xlpm.PlanConv,AN14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1011052.2471213129</v>
      </c>
      <c r="AR14" cm="1">
        <f t="array" ref="AR14">_xlfn.LET(_xlpm.N,$B$49,_xlpm.R,$B$48,_xlpm.Start,$B$47,_xlpm.PlanWD,AL14,_xlpm.PlanRoth,AM14,_xlpm.PlanConv,AN14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1251763.0274820982</v>
      </c>
      <c r="AS14">
        <f>--AND(AK14&lt;=SUM('Retirement Gap'!$B$24:$B$25,'Retirement Gap'!$B$27),AL14+AN14&lt;=$B$47,AM14&lt;='Retirement Gap'!$B$29,ABS(AK14+AL14+AM14-$B$10)&lt;1)</f>
        <v>1</v>
      </c>
      <c r="AT14" cm="1">
        <f t="array" ref="AT14">IF(AS14=0,1E+99,_xlfn.SWITCH(LEFT($E$39,1),"1",AO14,"2",AP14*1000000000+AO14,"3",-AQ14,"4",AO14+AP14*25000+AR14*0.005-AQ14*0.0001,AO14))</f>
        <v>-1011052.2471213129</v>
      </c>
    </row>
    <row r="15" spans="1:46" x14ac:dyDescent="0.55000000000000004">
      <c r="A15" s="50" t="s">
        <v>276</v>
      </c>
      <c r="B15" s="9">
        <v>0</v>
      </c>
      <c r="AG15">
        <f t="shared" si="0"/>
        <v>14</v>
      </c>
      <c r="AH15">
        <f t="shared" si="1"/>
        <v>0</v>
      </c>
      <c r="AI15">
        <f t="shared" si="2"/>
        <v>0.2</v>
      </c>
      <c r="AJ15">
        <f t="shared" si="3"/>
        <v>0.2</v>
      </c>
      <c r="AK15">
        <f t="shared" si="4"/>
        <v>49893.721633416484</v>
      </c>
      <c r="AL15">
        <f t="shared" si="5"/>
        <v>0</v>
      </c>
      <c r="AM15">
        <f>MIN(MAX(0,$B$10-AL15)*AI15,'Retirement Gap'!$B$29)</f>
        <v>10850.278366583516</v>
      </c>
      <c r="AN15">
        <f>IF($E$40="B - Withdrawals + Roth conversions",AJ15*MAX(0,MIN($B$47-AL15,MIN($B$59,IRMAA!$C$16)-(AL15+$B$8*0.85+AK15*$B$46))),0)</f>
        <v>0</v>
      </c>
      <c r="AO15" cm="1">
        <f t="array" ref="AO15">_xlfn.LET(_xlpm.N,$B$49,_xlpm.R,$B$48,_xlpm.Start,$B$47,_xlpm.PlanWD,AL15,_xlpm.PlanRoth,AM15,_xlpm.PlanConv,AN15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0</v>
      </c>
      <c r="AP15" cm="1">
        <f t="array" ref="AP15">_xlfn.LET(_xlpm.N,$B$49,_xlpm.R,$B$48,_xlpm.Start,$B$47,_xlpm.PlanWD,AL15,_xlpm.PlanRoth,AM15,_xlpm.PlanConv,AN15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15" cm="1">
        <f t="array" ref="AQ15">_xlfn.LET(_xlpm.N,$B$49,_xlpm.R,$B$48,_xlpm.Start,$B$47,_xlpm.PlanWD,AL15,_xlpm.PlanRoth,AM15,_xlpm.PlanConv,AN15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1011052.2471213129</v>
      </c>
      <c r="AR15" cm="1">
        <f t="array" ref="AR15">_xlfn.LET(_xlpm.N,$B$49,_xlpm.R,$B$48,_xlpm.Start,$B$47,_xlpm.PlanWD,AL15,_xlpm.PlanRoth,AM15,_xlpm.PlanConv,AN15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1251763.0274820982</v>
      </c>
      <c r="AS15">
        <f>--AND(AK15&lt;=SUM('Retirement Gap'!$B$24:$B$25,'Retirement Gap'!$B$27),AL15+AN15&lt;=$B$47,AM15&lt;='Retirement Gap'!$B$29,ABS(AK15+AL15+AM15-$B$10)&lt;1)</f>
        <v>1</v>
      </c>
      <c r="AT15" cm="1">
        <f t="array" ref="AT15">IF(AS15=0,1E+99,_xlfn.SWITCH(LEFT($E$39,1),"1",AO15,"2",AP15*1000000000+AO15,"3",-AQ15,"4",AO15+AP15*25000+AR15*0.005-AQ15*0.0001,AO15))</f>
        <v>-1011052.2471213129</v>
      </c>
    </row>
    <row r="16" spans="1:46" x14ac:dyDescent="0.55000000000000004">
      <c r="A16" s="50" t="s">
        <v>277</v>
      </c>
      <c r="B16" s="3">
        <f>B13+B14+B15</f>
        <v>60744</v>
      </c>
      <c r="AG16">
        <f t="shared" si="0"/>
        <v>15</v>
      </c>
      <c r="AH16">
        <f t="shared" si="1"/>
        <v>0</v>
      </c>
      <c r="AI16">
        <f t="shared" si="2"/>
        <v>0.2</v>
      </c>
      <c r="AJ16">
        <f t="shared" si="3"/>
        <v>0.4</v>
      </c>
      <c r="AK16">
        <f t="shared" si="4"/>
        <v>49893.721633416484</v>
      </c>
      <c r="AL16">
        <f t="shared" si="5"/>
        <v>0</v>
      </c>
      <c r="AM16">
        <f>MIN(MAX(0,$B$10-AL16)*AI16,'Retirement Gap'!$B$29)</f>
        <v>10850.278366583516</v>
      </c>
      <c r="AN16">
        <f>IF($E$40="B - Withdrawals + Roth conversions",AJ16*MAX(0,MIN($B$47-AL16,MIN($B$59,IRMAA!$C$16)-(AL16+$B$8*0.85+AK16*$B$46))),0)</f>
        <v>0</v>
      </c>
      <c r="AO16" cm="1">
        <f t="array" ref="AO16">_xlfn.LET(_xlpm.N,$B$49,_xlpm.R,$B$48,_xlpm.Start,$B$47,_xlpm.PlanWD,AL16,_xlpm.PlanRoth,AM16,_xlpm.PlanConv,AN16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0</v>
      </c>
      <c r="AP16" cm="1">
        <f t="array" ref="AP16">_xlfn.LET(_xlpm.N,$B$49,_xlpm.R,$B$48,_xlpm.Start,$B$47,_xlpm.PlanWD,AL16,_xlpm.PlanRoth,AM16,_xlpm.PlanConv,AN16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16" cm="1">
        <f t="array" ref="AQ16">_xlfn.LET(_xlpm.N,$B$49,_xlpm.R,$B$48,_xlpm.Start,$B$47,_xlpm.PlanWD,AL16,_xlpm.PlanRoth,AM16,_xlpm.PlanConv,AN16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1011052.2471213129</v>
      </c>
      <c r="AR16" cm="1">
        <f t="array" ref="AR16">_xlfn.LET(_xlpm.N,$B$49,_xlpm.R,$B$48,_xlpm.Start,$B$47,_xlpm.PlanWD,AL16,_xlpm.PlanRoth,AM16,_xlpm.PlanConv,AN16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1251763.0274820982</v>
      </c>
      <c r="AS16">
        <f>--AND(AK16&lt;=SUM('Retirement Gap'!$B$24:$B$25,'Retirement Gap'!$B$27),AL16+AN16&lt;=$B$47,AM16&lt;='Retirement Gap'!$B$29,ABS(AK16+AL16+AM16-$B$10)&lt;1)</f>
        <v>1</v>
      </c>
      <c r="AT16" cm="1">
        <f t="array" ref="AT16">IF(AS16=0,1E+99,_xlfn.SWITCH(LEFT($E$39,1),"1",AO16,"2",AP16*1000000000+AO16,"3",-AQ16,"4",AO16+AP16*25000+AR16*0.005-AQ16*0.0001,AO16))</f>
        <v>-1011052.2471213129</v>
      </c>
    </row>
    <row r="17" spans="1:46" x14ac:dyDescent="0.55000000000000004">
      <c r="A17" s="50" t="s">
        <v>278</v>
      </c>
      <c r="B17" t="str">
        <f>IF(B16&gt;=B10,"YES","SHORT")</f>
        <v>YES</v>
      </c>
      <c r="AG17">
        <f t="shared" si="0"/>
        <v>16</v>
      </c>
      <c r="AH17">
        <f t="shared" si="1"/>
        <v>0</v>
      </c>
      <c r="AI17">
        <f t="shared" si="2"/>
        <v>0.2</v>
      </c>
      <c r="AJ17">
        <f t="shared" si="3"/>
        <v>0.6</v>
      </c>
      <c r="AK17">
        <f t="shared" si="4"/>
        <v>49893.721633416484</v>
      </c>
      <c r="AL17">
        <f t="shared" si="5"/>
        <v>0</v>
      </c>
      <c r="AM17">
        <f>MIN(MAX(0,$B$10-AL17)*AI17,'Retirement Gap'!$B$29)</f>
        <v>10850.278366583516</v>
      </c>
      <c r="AN17">
        <f>IF($E$40="B - Withdrawals + Roth conversions",AJ17*MAX(0,MIN($B$47-AL17,MIN($B$59,IRMAA!$C$16)-(AL17+$B$8*0.85+AK17*$B$46))),0)</f>
        <v>0</v>
      </c>
      <c r="AO17" cm="1">
        <f t="array" ref="AO17">_xlfn.LET(_xlpm.N,$B$49,_xlpm.R,$B$48,_xlpm.Start,$B$47,_xlpm.PlanWD,AL17,_xlpm.PlanRoth,AM17,_xlpm.PlanConv,AN17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0</v>
      </c>
      <c r="AP17" cm="1">
        <f t="array" ref="AP17">_xlfn.LET(_xlpm.N,$B$49,_xlpm.R,$B$48,_xlpm.Start,$B$47,_xlpm.PlanWD,AL17,_xlpm.PlanRoth,AM17,_xlpm.PlanConv,AN17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17" cm="1">
        <f t="array" ref="AQ17">_xlfn.LET(_xlpm.N,$B$49,_xlpm.R,$B$48,_xlpm.Start,$B$47,_xlpm.PlanWD,AL17,_xlpm.PlanRoth,AM17,_xlpm.PlanConv,AN17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1011052.2471213129</v>
      </c>
      <c r="AR17" cm="1">
        <f t="array" ref="AR17">_xlfn.LET(_xlpm.N,$B$49,_xlpm.R,$B$48,_xlpm.Start,$B$47,_xlpm.PlanWD,AL17,_xlpm.PlanRoth,AM17,_xlpm.PlanConv,AN17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1251763.0274820982</v>
      </c>
      <c r="AS17">
        <f>--AND(AK17&lt;=SUM('Retirement Gap'!$B$24:$B$25,'Retirement Gap'!$B$27),AL17+AN17&lt;=$B$47,AM17&lt;='Retirement Gap'!$B$29,ABS(AK17+AL17+AM17-$B$10)&lt;1)</f>
        <v>1</v>
      </c>
      <c r="AT17" cm="1">
        <f t="array" ref="AT17">IF(AS17=0,1E+99,_xlfn.SWITCH(LEFT($E$39,1),"1",AO17,"2",AP17*1000000000+AO17,"3",-AQ17,"4",AO17+AP17*25000+AR17*0.005-AQ17*0.0001,AO17))</f>
        <v>-1011052.2471213129</v>
      </c>
    </row>
    <row r="18" spans="1:46" x14ac:dyDescent="0.55000000000000004">
      <c r="AG18">
        <f t="shared" si="0"/>
        <v>17</v>
      </c>
      <c r="AH18">
        <f t="shared" si="1"/>
        <v>0</v>
      </c>
      <c r="AI18">
        <f t="shared" si="2"/>
        <v>0.2</v>
      </c>
      <c r="AJ18">
        <f t="shared" si="3"/>
        <v>0.8</v>
      </c>
      <c r="AK18">
        <f t="shared" si="4"/>
        <v>49893.721633416484</v>
      </c>
      <c r="AL18">
        <f t="shared" si="5"/>
        <v>0</v>
      </c>
      <c r="AM18">
        <f>MIN(MAX(0,$B$10-AL18)*AI18,'Retirement Gap'!$B$29)</f>
        <v>10850.278366583516</v>
      </c>
      <c r="AN18">
        <f>IF($E$40="B - Withdrawals + Roth conversions",AJ18*MAX(0,MIN($B$47-AL18,MIN($B$59,IRMAA!$C$16)-(AL18+$B$8*0.85+AK18*$B$46))),0)</f>
        <v>0</v>
      </c>
      <c r="AO18" cm="1">
        <f t="array" ref="AO18">_xlfn.LET(_xlpm.N,$B$49,_xlpm.R,$B$48,_xlpm.Start,$B$47,_xlpm.PlanWD,AL18,_xlpm.PlanRoth,AM18,_xlpm.PlanConv,AN18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0</v>
      </c>
      <c r="AP18" cm="1">
        <f t="array" ref="AP18">_xlfn.LET(_xlpm.N,$B$49,_xlpm.R,$B$48,_xlpm.Start,$B$47,_xlpm.PlanWD,AL18,_xlpm.PlanRoth,AM18,_xlpm.PlanConv,AN18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18" cm="1">
        <f t="array" ref="AQ18">_xlfn.LET(_xlpm.N,$B$49,_xlpm.R,$B$48,_xlpm.Start,$B$47,_xlpm.PlanWD,AL18,_xlpm.PlanRoth,AM18,_xlpm.PlanConv,AN18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1011052.2471213129</v>
      </c>
      <c r="AR18" cm="1">
        <f t="array" ref="AR18">_xlfn.LET(_xlpm.N,$B$49,_xlpm.R,$B$48,_xlpm.Start,$B$47,_xlpm.PlanWD,AL18,_xlpm.PlanRoth,AM18,_xlpm.PlanConv,AN18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1251763.0274820982</v>
      </c>
      <c r="AS18">
        <f>--AND(AK18&lt;=SUM('Retirement Gap'!$B$24:$B$25,'Retirement Gap'!$B$27),AL18+AN18&lt;=$B$47,AM18&lt;='Retirement Gap'!$B$29,ABS(AK18+AL18+AM18-$B$10)&lt;1)</f>
        <v>1</v>
      </c>
      <c r="AT18" cm="1">
        <f t="array" ref="AT18">IF(AS18=0,1E+99,_xlfn.SWITCH(LEFT($E$39,1),"1",AO18,"2",AP18*1000000000+AO18,"3",-AQ18,"4",AO18+AP18*25000+AR18*0.005-AQ18*0.0001,AO18))</f>
        <v>-1011052.2471213129</v>
      </c>
    </row>
    <row r="19" spans="1:46" x14ac:dyDescent="0.55000000000000004">
      <c r="A19" s="71" t="s">
        <v>279</v>
      </c>
      <c r="AG19">
        <f t="shared" si="0"/>
        <v>18</v>
      </c>
      <c r="AH19">
        <f t="shared" si="1"/>
        <v>0</v>
      </c>
      <c r="AI19">
        <f t="shared" si="2"/>
        <v>0.2</v>
      </c>
      <c r="AJ19">
        <f t="shared" si="3"/>
        <v>1</v>
      </c>
      <c r="AK19">
        <f t="shared" si="4"/>
        <v>49893.721633416484</v>
      </c>
      <c r="AL19">
        <f t="shared" si="5"/>
        <v>0</v>
      </c>
      <c r="AM19">
        <f>MIN(MAX(0,$B$10-AL19)*AI19,'Retirement Gap'!$B$29)</f>
        <v>10850.278366583516</v>
      </c>
      <c r="AN19">
        <f>IF($E$40="B - Withdrawals + Roth conversions",AJ19*MAX(0,MIN($B$47-AL19,MIN($B$59,IRMAA!$C$16)-(AL19+$B$8*0.85+AK19*$B$46))),0)</f>
        <v>0</v>
      </c>
      <c r="AO19" cm="1">
        <f t="array" ref="AO19">_xlfn.LET(_xlpm.N,$B$49,_xlpm.R,$B$48,_xlpm.Start,$B$47,_xlpm.PlanWD,AL19,_xlpm.PlanRoth,AM19,_xlpm.PlanConv,AN19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0</v>
      </c>
      <c r="AP19" cm="1">
        <f t="array" ref="AP19">_xlfn.LET(_xlpm.N,$B$49,_xlpm.R,$B$48,_xlpm.Start,$B$47,_xlpm.PlanWD,AL19,_xlpm.PlanRoth,AM19,_xlpm.PlanConv,AN19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19" cm="1">
        <f t="array" ref="AQ19">_xlfn.LET(_xlpm.N,$B$49,_xlpm.R,$B$48,_xlpm.Start,$B$47,_xlpm.PlanWD,AL19,_xlpm.PlanRoth,AM19,_xlpm.PlanConv,AN19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1011052.2471213129</v>
      </c>
      <c r="AR19" cm="1">
        <f t="array" ref="AR19">_xlfn.LET(_xlpm.N,$B$49,_xlpm.R,$B$48,_xlpm.Start,$B$47,_xlpm.PlanWD,AL19,_xlpm.PlanRoth,AM19,_xlpm.PlanConv,AN19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1251763.0274820982</v>
      </c>
      <c r="AS19">
        <f>--AND(AK19&lt;=SUM('Retirement Gap'!$B$24:$B$25,'Retirement Gap'!$B$27),AL19+AN19&lt;=$B$47,AM19&lt;='Retirement Gap'!$B$29,ABS(AK19+AL19+AM19-$B$10)&lt;1)</f>
        <v>1</v>
      </c>
      <c r="AT19" cm="1">
        <f t="array" ref="AT19">IF(AS19=0,1E+99,_xlfn.SWITCH(LEFT($E$39,1),"1",AO19,"2",AP19*1000000000+AO19,"3",-AQ19,"4",AO19+AP19*25000+AR19*0.005-AQ19*0.0001,AO19))</f>
        <v>-1011052.2471213129</v>
      </c>
    </row>
    <row r="20" spans="1:46" x14ac:dyDescent="0.55000000000000004">
      <c r="A20" s="50" t="s">
        <v>274</v>
      </c>
      <c r="B20" s="9">
        <f>MAX(0,$B$10-B21)</f>
        <v>53751.600000000006</v>
      </c>
      <c r="AG20">
        <f t="shared" si="0"/>
        <v>19</v>
      </c>
      <c r="AH20">
        <f t="shared" si="1"/>
        <v>0</v>
      </c>
      <c r="AI20">
        <f t="shared" si="2"/>
        <v>0.3</v>
      </c>
      <c r="AJ20">
        <f t="shared" si="3"/>
        <v>0</v>
      </c>
      <c r="AK20">
        <f t="shared" si="4"/>
        <v>49893.721633416484</v>
      </c>
      <c r="AL20">
        <f t="shared" si="5"/>
        <v>0</v>
      </c>
      <c r="AM20">
        <f>MIN(MAX(0,$B$10-AL20)*AI20,'Retirement Gap'!$B$29)</f>
        <v>10850.278366583516</v>
      </c>
      <c r="AN20">
        <f>IF($E$40="B - Withdrawals + Roth conversions",AJ20*MAX(0,MIN($B$47-AL20,MIN($B$59,IRMAA!$C$16)-(AL20+$B$8*0.85+AK20*$B$46))),0)</f>
        <v>0</v>
      </c>
      <c r="AO20" cm="1">
        <f t="array" ref="AO20">_xlfn.LET(_xlpm.N,$B$49,_xlpm.R,$B$48,_xlpm.Start,$B$47,_xlpm.PlanWD,AL20,_xlpm.PlanRoth,AM20,_xlpm.PlanConv,AN20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0</v>
      </c>
      <c r="AP20" cm="1">
        <f t="array" ref="AP20">_xlfn.LET(_xlpm.N,$B$49,_xlpm.R,$B$48,_xlpm.Start,$B$47,_xlpm.PlanWD,AL20,_xlpm.PlanRoth,AM20,_xlpm.PlanConv,AN20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20" cm="1">
        <f t="array" ref="AQ20">_xlfn.LET(_xlpm.N,$B$49,_xlpm.R,$B$48,_xlpm.Start,$B$47,_xlpm.PlanWD,AL20,_xlpm.PlanRoth,AM20,_xlpm.PlanConv,AN20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1011052.2471213129</v>
      </c>
      <c r="AR20" cm="1">
        <f t="array" ref="AR20">_xlfn.LET(_xlpm.N,$B$49,_xlpm.R,$B$48,_xlpm.Start,$B$47,_xlpm.PlanWD,AL20,_xlpm.PlanRoth,AM20,_xlpm.PlanConv,AN20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1251763.0274820982</v>
      </c>
      <c r="AS20">
        <f>--AND(AK20&lt;=SUM('Retirement Gap'!$B$24:$B$25,'Retirement Gap'!$B$27),AL20+AN20&lt;=$B$47,AM20&lt;='Retirement Gap'!$B$29,ABS(AK20+AL20+AM20-$B$10)&lt;1)</f>
        <v>1</v>
      </c>
      <c r="AT20" cm="1">
        <f t="array" ref="AT20">IF(AS20=0,1E+99,_xlfn.SWITCH(LEFT($E$39,1),"1",AO20,"2",AP20*1000000000+AO20,"3",-AQ20,"4",AO20+AP20*25000+AR20*0.005-AQ20*0.0001,AO20))</f>
        <v>-1011052.2471213129</v>
      </c>
    </row>
    <row r="21" spans="1:46" x14ac:dyDescent="0.55000000000000004">
      <c r="A21" s="50" t="s">
        <v>275</v>
      </c>
      <c r="B21" s="9">
        <f>MIN($B$10,MAX(0,Tax!$B$13-Tax!F17))</f>
        <v>6992.3999999999942</v>
      </c>
      <c r="AG21">
        <f t="shared" si="0"/>
        <v>20</v>
      </c>
      <c r="AH21">
        <f t="shared" si="1"/>
        <v>0</v>
      </c>
      <c r="AI21">
        <f t="shared" si="2"/>
        <v>0.3</v>
      </c>
      <c r="AJ21">
        <f t="shared" si="3"/>
        <v>0.2</v>
      </c>
      <c r="AK21">
        <f t="shared" si="4"/>
        <v>49893.721633416484</v>
      </c>
      <c r="AL21">
        <f t="shared" si="5"/>
        <v>0</v>
      </c>
      <c r="AM21">
        <f>MIN(MAX(0,$B$10-AL21)*AI21,'Retirement Gap'!$B$29)</f>
        <v>10850.278366583516</v>
      </c>
      <c r="AN21">
        <f>IF($E$40="B - Withdrawals + Roth conversions",AJ21*MAX(0,MIN($B$47-AL21,MIN($B$59,IRMAA!$C$16)-(AL21+$B$8*0.85+AK21*$B$46))),0)</f>
        <v>0</v>
      </c>
      <c r="AO21" cm="1">
        <f t="array" ref="AO21">_xlfn.LET(_xlpm.N,$B$49,_xlpm.R,$B$48,_xlpm.Start,$B$47,_xlpm.PlanWD,AL21,_xlpm.PlanRoth,AM21,_xlpm.PlanConv,AN21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0</v>
      </c>
      <c r="AP21" cm="1">
        <f t="array" ref="AP21">_xlfn.LET(_xlpm.N,$B$49,_xlpm.R,$B$48,_xlpm.Start,$B$47,_xlpm.PlanWD,AL21,_xlpm.PlanRoth,AM21,_xlpm.PlanConv,AN21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21" cm="1">
        <f t="array" ref="AQ21">_xlfn.LET(_xlpm.N,$B$49,_xlpm.R,$B$48,_xlpm.Start,$B$47,_xlpm.PlanWD,AL21,_xlpm.PlanRoth,AM21,_xlpm.PlanConv,AN21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1011052.2471213129</v>
      </c>
      <c r="AR21" cm="1">
        <f t="array" ref="AR21">_xlfn.LET(_xlpm.N,$B$49,_xlpm.R,$B$48,_xlpm.Start,$B$47,_xlpm.PlanWD,AL21,_xlpm.PlanRoth,AM21,_xlpm.PlanConv,AN21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1251763.0274820982</v>
      </c>
      <c r="AS21">
        <f>--AND(AK21&lt;=SUM('Retirement Gap'!$B$24:$B$25,'Retirement Gap'!$B$27),AL21+AN21&lt;=$B$47,AM21&lt;='Retirement Gap'!$B$29,ABS(AK21+AL21+AM21-$B$10)&lt;1)</f>
        <v>1</v>
      </c>
      <c r="AT21" cm="1">
        <f t="array" ref="AT21">IF(AS21=0,1E+99,_xlfn.SWITCH(LEFT($E$39,1),"1",AO21,"2",AP21*1000000000+AO21,"3",-AQ21,"4",AO21+AP21*25000+AR21*0.005-AQ21*0.0001,AO21))</f>
        <v>-1011052.2471213129</v>
      </c>
    </row>
    <row r="22" spans="1:46" x14ac:dyDescent="0.55000000000000004">
      <c r="A22" s="50" t="s">
        <v>276</v>
      </c>
      <c r="B22" s="9">
        <v>0</v>
      </c>
      <c r="AG22">
        <f t="shared" si="0"/>
        <v>21</v>
      </c>
      <c r="AH22">
        <f t="shared" si="1"/>
        <v>0</v>
      </c>
      <c r="AI22">
        <f t="shared" si="2"/>
        <v>0.3</v>
      </c>
      <c r="AJ22">
        <f t="shared" si="3"/>
        <v>0.4</v>
      </c>
      <c r="AK22">
        <f t="shared" si="4"/>
        <v>49893.721633416484</v>
      </c>
      <c r="AL22">
        <f t="shared" si="5"/>
        <v>0</v>
      </c>
      <c r="AM22">
        <f>MIN(MAX(0,$B$10-AL22)*AI22,'Retirement Gap'!$B$29)</f>
        <v>10850.278366583516</v>
      </c>
      <c r="AN22">
        <f>IF($E$40="B - Withdrawals + Roth conversions",AJ22*MAX(0,MIN($B$47-AL22,MIN($B$59,IRMAA!$C$16)-(AL22+$B$8*0.85+AK22*$B$46))),0)</f>
        <v>0</v>
      </c>
      <c r="AO22" cm="1">
        <f t="array" ref="AO22">_xlfn.LET(_xlpm.N,$B$49,_xlpm.R,$B$48,_xlpm.Start,$B$47,_xlpm.PlanWD,AL22,_xlpm.PlanRoth,AM22,_xlpm.PlanConv,AN22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0</v>
      </c>
      <c r="AP22" cm="1">
        <f t="array" ref="AP22">_xlfn.LET(_xlpm.N,$B$49,_xlpm.R,$B$48,_xlpm.Start,$B$47,_xlpm.PlanWD,AL22,_xlpm.PlanRoth,AM22,_xlpm.PlanConv,AN22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22" cm="1">
        <f t="array" ref="AQ22">_xlfn.LET(_xlpm.N,$B$49,_xlpm.R,$B$48,_xlpm.Start,$B$47,_xlpm.PlanWD,AL22,_xlpm.PlanRoth,AM22,_xlpm.PlanConv,AN22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1011052.2471213129</v>
      </c>
      <c r="AR22" cm="1">
        <f t="array" ref="AR22">_xlfn.LET(_xlpm.N,$B$49,_xlpm.R,$B$48,_xlpm.Start,$B$47,_xlpm.PlanWD,AL22,_xlpm.PlanRoth,AM22,_xlpm.PlanConv,AN22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1251763.0274820982</v>
      </c>
      <c r="AS22">
        <f>--AND(AK22&lt;=SUM('Retirement Gap'!$B$24:$B$25,'Retirement Gap'!$B$27),AL22+AN22&lt;=$B$47,AM22&lt;='Retirement Gap'!$B$29,ABS(AK22+AL22+AM22-$B$10)&lt;1)</f>
        <v>1</v>
      </c>
      <c r="AT22" cm="1">
        <f t="array" ref="AT22">IF(AS22=0,1E+99,_xlfn.SWITCH(LEFT($E$39,1),"1",AO22,"2",AP22*1000000000+AO22,"3",-AQ22,"4",AO22+AP22*25000+AR22*0.005-AQ22*0.0001,AO22))</f>
        <v>-1011052.2471213129</v>
      </c>
    </row>
    <row r="23" spans="1:46" x14ac:dyDescent="0.55000000000000004">
      <c r="A23" s="50" t="s">
        <v>277</v>
      </c>
      <c r="B23" s="3">
        <f>B20+B21+B22</f>
        <v>60744</v>
      </c>
      <c r="AG23">
        <f t="shared" si="0"/>
        <v>22</v>
      </c>
      <c r="AH23">
        <f t="shared" si="1"/>
        <v>0</v>
      </c>
      <c r="AI23">
        <f t="shared" si="2"/>
        <v>0.3</v>
      </c>
      <c r="AJ23">
        <f t="shared" si="3"/>
        <v>0.6</v>
      </c>
      <c r="AK23">
        <f t="shared" si="4"/>
        <v>49893.721633416484</v>
      </c>
      <c r="AL23">
        <f t="shared" si="5"/>
        <v>0</v>
      </c>
      <c r="AM23">
        <f>MIN(MAX(0,$B$10-AL23)*AI23,'Retirement Gap'!$B$29)</f>
        <v>10850.278366583516</v>
      </c>
      <c r="AN23">
        <f>IF($E$40="B - Withdrawals + Roth conversions",AJ23*MAX(0,MIN($B$47-AL23,MIN($B$59,IRMAA!$C$16)-(AL23+$B$8*0.85+AK23*$B$46))),0)</f>
        <v>0</v>
      </c>
      <c r="AO23" cm="1">
        <f t="array" ref="AO23">_xlfn.LET(_xlpm.N,$B$49,_xlpm.R,$B$48,_xlpm.Start,$B$47,_xlpm.PlanWD,AL23,_xlpm.PlanRoth,AM23,_xlpm.PlanConv,AN23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0</v>
      </c>
      <c r="AP23" cm="1">
        <f t="array" ref="AP23">_xlfn.LET(_xlpm.N,$B$49,_xlpm.R,$B$48,_xlpm.Start,$B$47,_xlpm.PlanWD,AL23,_xlpm.PlanRoth,AM23,_xlpm.PlanConv,AN23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23" cm="1">
        <f t="array" ref="AQ23">_xlfn.LET(_xlpm.N,$B$49,_xlpm.R,$B$48,_xlpm.Start,$B$47,_xlpm.PlanWD,AL23,_xlpm.PlanRoth,AM23,_xlpm.PlanConv,AN23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1011052.2471213129</v>
      </c>
      <c r="AR23" cm="1">
        <f t="array" ref="AR23">_xlfn.LET(_xlpm.N,$B$49,_xlpm.R,$B$48,_xlpm.Start,$B$47,_xlpm.PlanWD,AL23,_xlpm.PlanRoth,AM23,_xlpm.PlanConv,AN23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1251763.0274820982</v>
      </c>
      <c r="AS23">
        <f>--AND(AK23&lt;=SUM('Retirement Gap'!$B$24:$B$25,'Retirement Gap'!$B$27),AL23+AN23&lt;=$B$47,AM23&lt;='Retirement Gap'!$B$29,ABS(AK23+AL23+AM23-$B$10)&lt;1)</f>
        <v>1</v>
      </c>
      <c r="AT23" cm="1">
        <f t="array" ref="AT23">IF(AS23=0,1E+99,_xlfn.SWITCH(LEFT($E$39,1),"1",AO23,"2",AP23*1000000000+AO23,"3",-AQ23,"4",AO23+AP23*25000+AR23*0.005-AQ23*0.0001,AO23))</f>
        <v>-1011052.2471213129</v>
      </c>
    </row>
    <row r="24" spans="1:46" x14ac:dyDescent="0.55000000000000004">
      <c r="A24" s="50" t="s">
        <v>278</v>
      </c>
      <c r="B24" t="str">
        <f>IF(B23&gt;=B10,"YES","SHORT")</f>
        <v>YES</v>
      </c>
      <c r="AG24">
        <f t="shared" si="0"/>
        <v>23</v>
      </c>
      <c r="AH24">
        <f t="shared" si="1"/>
        <v>0</v>
      </c>
      <c r="AI24">
        <f t="shared" si="2"/>
        <v>0.3</v>
      </c>
      <c r="AJ24">
        <f t="shared" si="3"/>
        <v>0.8</v>
      </c>
      <c r="AK24">
        <f t="shared" si="4"/>
        <v>49893.721633416484</v>
      </c>
      <c r="AL24">
        <f t="shared" si="5"/>
        <v>0</v>
      </c>
      <c r="AM24">
        <f>MIN(MAX(0,$B$10-AL24)*AI24,'Retirement Gap'!$B$29)</f>
        <v>10850.278366583516</v>
      </c>
      <c r="AN24">
        <f>IF($E$40="B - Withdrawals + Roth conversions",AJ24*MAX(0,MIN($B$47-AL24,MIN($B$59,IRMAA!$C$16)-(AL24+$B$8*0.85+AK24*$B$46))),0)</f>
        <v>0</v>
      </c>
      <c r="AO24" cm="1">
        <f t="array" ref="AO24">_xlfn.LET(_xlpm.N,$B$49,_xlpm.R,$B$48,_xlpm.Start,$B$47,_xlpm.PlanWD,AL24,_xlpm.PlanRoth,AM24,_xlpm.PlanConv,AN24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0</v>
      </c>
      <c r="AP24" cm="1">
        <f t="array" ref="AP24">_xlfn.LET(_xlpm.N,$B$49,_xlpm.R,$B$48,_xlpm.Start,$B$47,_xlpm.PlanWD,AL24,_xlpm.PlanRoth,AM24,_xlpm.PlanConv,AN24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24" cm="1">
        <f t="array" ref="AQ24">_xlfn.LET(_xlpm.N,$B$49,_xlpm.R,$B$48,_xlpm.Start,$B$47,_xlpm.PlanWD,AL24,_xlpm.PlanRoth,AM24,_xlpm.PlanConv,AN24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1011052.2471213129</v>
      </c>
      <c r="AR24" cm="1">
        <f t="array" ref="AR24">_xlfn.LET(_xlpm.N,$B$49,_xlpm.R,$B$48,_xlpm.Start,$B$47,_xlpm.PlanWD,AL24,_xlpm.PlanRoth,AM24,_xlpm.PlanConv,AN24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1251763.0274820982</v>
      </c>
      <c r="AS24">
        <f>--AND(AK24&lt;=SUM('Retirement Gap'!$B$24:$B$25,'Retirement Gap'!$B$27),AL24+AN24&lt;=$B$47,AM24&lt;='Retirement Gap'!$B$29,ABS(AK24+AL24+AM24-$B$10)&lt;1)</f>
        <v>1</v>
      </c>
      <c r="AT24" cm="1">
        <f t="array" ref="AT24">IF(AS24=0,1E+99,_xlfn.SWITCH(LEFT($E$39,1),"1",AO24,"2",AP24*1000000000+AO24,"3",-AQ24,"4",AO24+AP24*25000+AR24*0.005-AQ24*0.0001,AO24))</f>
        <v>-1011052.2471213129</v>
      </c>
    </row>
    <row r="25" spans="1:46" x14ac:dyDescent="0.55000000000000004">
      <c r="AG25">
        <f t="shared" si="0"/>
        <v>24</v>
      </c>
      <c r="AH25">
        <f t="shared" si="1"/>
        <v>0</v>
      </c>
      <c r="AI25">
        <f t="shared" si="2"/>
        <v>0.3</v>
      </c>
      <c r="AJ25">
        <f t="shared" si="3"/>
        <v>1</v>
      </c>
      <c r="AK25">
        <f t="shared" si="4"/>
        <v>49893.721633416484</v>
      </c>
      <c r="AL25">
        <f t="shared" si="5"/>
        <v>0</v>
      </c>
      <c r="AM25">
        <f>MIN(MAX(0,$B$10-AL25)*AI25,'Retirement Gap'!$B$29)</f>
        <v>10850.278366583516</v>
      </c>
      <c r="AN25">
        <f>IF($E$40="B - Withdrawals + Roth conversions",AJ25*MAX(0,MIN($B$47-AL25,MIN($B$59,IRMAA!$C$16)-(AL25+$B$8*0.85+AK25*$B$46))),0)</f>
        <v>0</v>
      </c>
      <c r="AO25" cm="1">
        <f t="array" ref="AO25">_xlfn.LET(_xlpm.N,$B$49,_xlpm.R,$B$48,_xlpm.Start,$B$47,_xlpm.PlanWD,AL25,_xlpm.PlanRoth,AM25,_xlpm.PlanConv,AN25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0</v>
      </c>
      <c r="AP25" cm="1">
        <f t="array" ref="AP25">_xlfn.LET(_xlpm.N,$B$49,_xlpm.R,$B$48,_xlpm.Start,$B$47,_xlpm.PlanWD,AL25,_xlpm.PlanRoth,AM25,_xlpm.PlanConv,AN25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25" cm="1">
        <f t="array" ref="AQ25">_xlfn.LET(_xlpm.N,$B$49,_xlpm.R,$B$48,_xlpm.Start,$B$47,_xlpm.PlanWD,AL25,_xlpm.PlanRoth,AM25,_xlpm.PlanConv,AN25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1011052.2471213129</v>
      </c>
      <c r="AR25" cm="1">
        <f t="array" ref="AR25">_xlfn.LET(_xlpm.N,$B$49,_xlpm.R,$B$48,_xlpm.Start,$B$47,_xlpm.PlanWD,AL25,_xlpm.PlanRoth,AM25,_xlpm.PlanConv,AN25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1251763.0274820982</v>
      </c>
      <c r="AS25">
        <f>--AND(AK25&lt;=SUM('Retirement Gap'!$B$24:$B$25,'Retirement Gap'!$B$27),AL25+AN25&lt;=$B$47,AM25&lt;='Retirement Gap'!$B$29,ABS(AK25+AL25+AM25-$B$10)&lt;1)</f>
        <v>1</v>
      </c>
      <c r="AT25" cm="1">
        <f t="array" ref="AT25">IF(AS25=0,1E+99,_xlfn.SWITCH(LEFT($E$39,1),"1",AO25,"2",AP25*1000000000+AO25,"3",-AQ25,"4",AO25+AP25*25000+AR25*0.005-AQ25*0.0001,AO25))</f>
        <v>-1011052.2471213129</v>
      </c>
    </row>
    <row r="26" spans="1:46" ht="28.8" x14ac:dyDescent="0.55000000000000004">
      <c r="A26" s="71" t="s">
        <v>280</v>
      </c>
      <c r="AG26">
        <f t="shared" si="0"/>
        <v>25</v>
      </c>
      <c r="AH26">
        <f t="shared" si="1"/>
        <v>0</v>
      </c>
      <c r="AI26">
        <f t="shared" si="2"/>
        <v>0.4</v>
      </c>
      <c r="AJ26">
        <f t="shared" si="3"/>
        <v>0</v>
      </c>
      <c r="AK26">
        <f t="shared" si="4"/>
        <v>49893.721633416484</v>
      </c>
      <c r="AL26">
        <f t="shared" si="5"/>
        <v>0</v>
      </c>
      <c r="AM26">
        <f>MIN(MAX(0,$B$10-AL26)*AI26,'Retirement Gap'!$B$29)</f>
        <v>10850.278366583516</v>
      </c>
      <c r="AN26">
        <f>IF($E$40="B - Withdrawals + Roth conversions",AJ26*MAX(0,MIN($B$47-AL26,MIN($B$59,IRMAA!$C$16)-(AL26+$B$8*0.85+AK26*$B$46))),0)</f>
        <v>0</v>
      </c>
      <c r="AO26" cm="1">
        <f t="array" ref="AO26">_xlfn.LET(_xlpm.N,$B$49,_xlpm.R,$B$48,_xlpm.Start,$B$47,_xlpm.PlanWD,AL26,_xlpm.PlanRoth,AM26,_xlpm.PlanConv,AN26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0</v>
      </c>
      <c r="AP26" cm="1">
        <f t="array" ref="AP26">_xlfn.LET(_xlpm.N,$B$49,_xlpm.R,$B$48,_xlpm.Start,$B$47,_xlpm.PlanWD,AL26,_xlpm.PlanRoth,AM26,_xlpm.PlanConv,AN26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26" cm="1">
        <f t="array" ref="AQ26">_xlfn.LET(_xlpm.N,$B$49,_xlpm.R,$B$48,_xlpm.Start,$B$47,_xlpm.PlanWD,AL26,_xlpm.PlanRoth,AM26,_xlpm.PlanConv,AN26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1011052.2471213129</v>
      </c>
      <c r="AR26" cm="1">
        <f t="array" ref="AR26">_xlfn.LET(_xlpm.N,$B$49,_xlpm.R,$B$48,_xlpm.Start,$B$47,_xlpm.PlanWD,AL26,_xlpm.PlanRoth,AM26,_xlpm.PlanConv,AN26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1251763.0274820982</v>
      </c>
      <c r="AS26">
        <f>--AND(AK26&lt;=SUM('Retirement Gap'!$B$24:$B$25,'Retirement Gap'!$B$27),AL26+AN26&lt;=$B$47,AM26&lt;='Retirement Gap'!$B$29,ABS(AK26+AL26+AM26-$B$10)&lt;1)</f>
        <v>1</v>
      </c>
      <c r="AT26" cm="1">
        <f t="array" ref="AT26">IF(AS26=0,1E+99,_xlfn.SWITCH(LEFT($E$39,1),"1",AO26,"2",AP26*1000000000+AO26,"3",-AQ26,"4",AO26+AP26*25000+AR26*0.005-AQ26*0.0001,AO26))</f>
        <v>-1011052.2471213129</v>
      </c>
    </row>
    <row r="27" spans="1:46" x14ac:dyDescent="0.55000000000000004">
      <c r="A27" s="50" t="s">
        <v>281</v>
      </c>
      <c r="B27" s="7">
        <v>70</v>
      </c>
      <c r="AG27">
        <f t="shared" si="0"/>
        <v>26</v>
      </c>
      <c r="AH27">
        <f t="shared" si="1"/>
        <v>0</v>
      </c>
      <c r="AI27">
        <f t="shared" si="2"/>
        <v>0.4</v>
      </c>
      <c r="AJ27">
        <f t="shared" si="3"/>
        <v>0.2</v>
      </c>
      <c r="AK27">
        <f t="shared" si="4"/>
        <v>49893.721633416484</v>
      </c>
      <c r="AL27">
        <f t="shared" si="5"/>
        <v>0</v>
      </c>
      <c r="AM27">
        <f>MIN(MAX(0,$B$10-AL27)*AI27,'Retirement Gap'!$B$29)</f>
        <v>10850.278366583516</v>
      </c>
      <c r="AN27">
        <f>IF($E$40="B - Withdrawals + Roth conversions",AJ27*MAX(0,MIN($B$47-AL27,MIN($B$59,IRMAA!$C$16)-(AL27+$B$8*0.85+AK27*$B$46))),0)</f>
        <v>0</v>
      </c>
      <c r="AO27" cm="1">
        <f t="array" ref="AO27">_xlfn.LET(_xlpm.N,$B$49,_xlpm.R,$B$48,_xlpm.Start,$B$47,_xlpm.PlanWD,AL27,_xlpm.PlanRoth,AM27,_xlpm.PlanConv,AN27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0</v>
      </c>
      <c r="AP27" cm="1">
        <f t="array" ref="AP27">_xlfn.LET(_xlpm.N,$B$49,_xlpm.R,$B$48,_xlpm.Start,$B$47,_xlpm.PlanWD,AL27,_xlpm.PlanRoth,AM27,_xlpm.PlanConv,AN27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27" cm="1">
        <f t="array" ref="AQ27">_xlfn.LET(_xlpm.N,$B$49,_xlpm.R,$B$48,_xlpm.Start,$B$47,_xlpm.PlanWD,AL27,_xlpm.PlanRoth,AM27,_xlpm.PlanConv,AN27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1011052.2471213129</v>
      </c>
      <c r="AR27" cm="1">
        <f t="array" ref="AR27">_xlfn.LET(_xlpm.N,$B$49,_xlpm.R,$B$48,_xlpm.Start,$B$47,_xlpm.PlanWD,AL27,_xlpm.PlanRoth,AM27,_xlpm.PlanConv,AN27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1251763.0274820982</v>
      </c>
      <c r="AS27">
        <f>--AND(AK27&lt;=SUM('Retirement Gap'!$B$24:$B$25,'Retirement Gap'!$B$27),AL27+AN27&lt;=$B$47,AM27&lt;='Retirement Gap'!$B$29,ABS(AK27+AL27+AM27-$B$10)&lt;1)</f>
        <v>1</v>
      </c>
      <c r="AT27" cm="1">
        <f t="array" ref="AT27">IF(AS27=0,1E+99,_xlfn.SWITCH(LEFT($E$39,1),"1",AO27,"2",AP27*1000000000+AO27,"3",-AQ27,"4",AO27+AP27*25000+AR27*0.005-AQ27*0.0001,AO27))</f>
        <v>-1011052.2471213129</v>
      </c>
    </row>
    <row r="28" spans="1:46" x14ac:dyDescent="0.55000000000000004">
      <c r="A28" s="50" t="s">
        <v>282</v>
      </c>
      <c r="B28" s="20">
        <f>_xlfn.XLOOKUP(B27,'SS Benefits'!A5:A8,'SS Benefits'!D5:D8)*12</f>
        <v>89370</v>
      </c>
      <c r="AG28">
        <f t="shared" si="0"/>
        <v>27</v>
      </c>
      <c r="AH28">
        <f t="shared" si="1"/>
        <v>0</v>
      </c>
      <c r="AI28">
        <f t="shared" si="2"/>
        <v>0.4</v>
      </c>
      <c r="AJ28">
        <f t="shared" si="3"/>
        <v>0.4</v>
      </c>
      <c r="AK28">
        <f t="shared" si="4"/>
        <v>49893.721633416484</v>
      </c>
      <c r="AL28">
        <f t="shared" si="5"/>
        <v>0</v>
      </c>
      <c r="AM28">
        <f>MIN(MAX(0,$B$10-AL28)*AI28,'Retirement Gap'!$B$29)</f>
        <v>10850.278366583516</v>
      </c>
      <c r="AN28">
        <f>IF($E$40="B - Withdrawals + Roth conversions",AJ28*MAX(0,MIN($B$47-AL28,MIN($B$59,IRMAA!$C$16)-(AL28+$B$8*0.85+AK28*$B$46))),0)</f>
        <v>0</v>
      </c>
      <c r="AO28" cm="1">
        <f t="array" ref="AO28">_xlfn.LET(_xlpm.N,$B$49,_xlpm.R,$B$48,_xlpm.Start,$B$47,_xlpm.PlanWD,AL28,_xlpm.PlanRoth,AM28,_xlpm.PlanConv,AN28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0</v>
      </c>
      <c r="AP28" cm="1">
        <f t="array" ref="AP28">_xlfn.LET(_xlpm.N,$B$49,_xlpm.R,$B$48,_xlpm.Start,$B$47,_xlpm.PlanWD,AL28,_xlpm.PlanRoth,AM28,_xlpm.PlanConv,AN28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28" cm="1">
        <f t="array" ref="AQ28">_xlfn.LET(_xlpm.N,$B$49,_xlpm.R,$B$48,_xlpm.Start,$B$47,_xlpm.PlanWD,AL28,_xlpm.PlanRoth,AM28,_xlpm.PlanConv,AN28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1011052.2471213129</v>
      </c>
      <c r="AR28" cm="1">
        <f t="array" ref="AR28">_xlfn.LET(_xlpm.N,$B$49,_xlpm.R,$B$48,_xlpm.Start,$B$47,_xlpm.PlanWD,AL28,_xlpm.PlanRoth,AM28,_xlpm.PlanConv,AN28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1251763.0274820982</v>
      </c>
      <c r="AS28">
        <f>--AND(AK28&lt;=SUM('Retirement Gap'!$B$24:$B$25,'Retirement Gap'!$B$27),AL28+AN28&lt;=$B$47,AM28&lt;='Retirement Gap'!$B$29,ABS(AK28+AL28+AM28-$B$10)&lt;1)</f>
        <v>1</v>
      </c>
      <c r="AT28" cm="1">
        <f t="array" ref="AT28">IF(AS28=0,1E+99,_xlfn.SWITCH(LEFT($E$39,1),"1",AO28,"2",AP28*1000000000+AO28,"3",-AQ28,"4",AO28+AP28*25000+AR28*0.005-AQ28*0.0001,AO28))</f>
        <v>-1011052.2471213129</v>
      </c>
    </row>
    <row r="29" spans="1:46" x14ac:dyDescent="0.55000000000000004">
      <c r="A29" s="50" t="s">
        <v>283</v>
      </c>
      <c r="B29" s="3">
        <f>MAX(0,B7-B9)*MAX(0,B27-Inputs!B8)</f>
        <v>600000</v>
      </c>
      <c r="AG29">
        <f t="shared" si="0"/>
        <v>28</v>
      </c>
      <c r="AH29">
        <f t="shared" si="1"/>
        <v>0</v>
      </c>
      <c r="AI29">
        <f t="shared" si="2"/>
        <v>0.4</v>
      </c>
      <c r="AJ29">
        <f t="shared" si="3"/>
        <v>0.6</v>
      </c>
      <c r="AK29">
        <f t="shared" si="4"/>
        <v>49893.721633416484</v>
      </c>
      <c r="AL29">
        <f t="shared" si="5"/>
        <v>0</v>
      </c>
      <c r="AM29">
        <f>MIN(MAX(0,$B$10-AL29)*AI29,'Retirement Gap'!$B$29)</f>
        <v>10850.278366583516</v>
      </c>
      <c r="AN29">
        <f>IF($E$40="B - Withdrawals + Roth conversions",AJ29*MAX(0,MIN($B$47-AL29,MIN($B$59,IRMAA!$C$16)-(AL29+$B$8*0.85+AK29*$B$46))),0)</f>
        <v>0</v>
      </c>
      <c r="AO29" cm="1">
        <f t="array" ref="AO29">_xlfn.LET(_xlpm.N,$B$49,_xlpm.R,$B$48,_xlpm.Start,$B$47,_xlpm.PlanWD,AL29,_xlpm.PlanRoth,AM29,_xlpm.PlanConv,AN29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0</v>
      </c>
      <c r="AP29" cm="1">
        <f t="array" ref="AP29">_xlfn.LET(_xlpm.N,$B$49,_xlpm.R,$B$48,_xlpm.Start,$B$47,_xlpm.PlanWD,AL29,_xlpm.PlanRoth,AM29,_xlpm.PlanConv,AN29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29" cm="1">
        <f t="array" ref="AQ29">_xlfn.LET(_xlpm.N,$B$49,_xlpm.R,$B$48,_xlpm.Start,$B$47,_xlpm.PlanWD,AL29,_xlpm.PlanRoth,AM29,_xlpm.PlanConv,AN29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1011052.2471213129</v>
      </c>
      <c r="AR29" cm="1">
        <f t="array" ref="AR29">_xlfn.LET(_xlpm.N,$B$49,_xlpm.R,$B$48,_xlpm.Start,$B$47,_xlpm.PlanWD,AL29,_xlpm.PlanRoth,AM29,_xlpm.PlanConv,AN29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1251763.0274820982</v>
      </c>
      <c r="AS29">
        <f>--AND(AK29&lt;=SUM('Retirement Gap'!$B$24:$B$25,'Retirement Gap'!$B$27),AL29+AN29&lt;=$B$47,AM29&lt;='Retirement Gap'!$B$29,ABS(AK29+AL29+AM29-$B$10)&lt;1)</f>
        <v>1</v>
      </c>
      <c r="AT29" cm="1">
        <f t="array" ref="AT29">IF(AS29=0,1E+99,_xlfn.SWITCH(LEFT($E$39,1),"1",AO29,"2",AP29*1000000000+AO29,"3",-AQ29,"4",AO29+AP29*25000+AR29*0.005-AQ29*0.0001,AO29))</f>
        <v>-1011052.2471213129</v>
      </c>
    </row>
    <row r="30" spans="1:46" x14ac:dyDescent="0.55000000000000004">
      <c r="B30" s="3"/>
      <c r="AG30">
        <f t="shared" si="0"/>
        <v>29</v>
      </c>
      <c r="AH30">
        <f t="shared" si="1"/>
        <v>0</v>
      </c>
      <c r="AI30">
        <f t="shared" si="2"/>
        <v>0.4</v>
      </c>
      <c r="AJ30">
        <f t="shared" si="3"/>
        <v>0.8</v>
      </c>
      <c r="AK30">
        <f t="shared" si="4"/>
        <v>49893.721633416484</v>
      </c>
      <c r="AL30">
        <f t="shared" si="5"/>
        <v>0</v>
      </c>
      <c r="AM30">
        <f>MIN(MAX(0,$B$10-AL30)*AI30,'Retirement Gap'!$B$29)</f>
        <v>10850.278366583516</v>
      </c>
      <c r="AN30">
        <f>IF($E$40="B - Withdrawals + Roth conversions",AJ30*MAX(0,MIN($B$47-AL30,MIN($B$59,IRMAA!$C$16)-(AL30+$B$8*0.85+AK30*$B$46))),0)</f>
        <v>0</v>
      </c>
      <c r="AO30" cm="1">
        <f t="array" ref="AO30">_xlfn.LET(_xlpm.N,$B$49,_xlpm.R,$B$48,_xlpm.Start,$B$47,_xlpm.PlanWD,AL30,_xlpm.PlanRoth,AM30,_xlpm.PlanConv,AN30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0</v>
      </c>
      <c r="AP30" cm="1">
        <f t="array" ref="AP30">_xlfn.LET(_xlpm.N,$B$49,_xlpm.R,$B$48,_xlpm.Start,$B$47,_xlpm.PlanWD,AL30,_xlpm.PlanRoth,AM30,_xlpm.PlanConv,AN30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30" cm="1">
        <f t="array" ref="AQ30">_xlfn.LET(_xlpm.N,$B$49,_xlpm.R,$B$48,_xlpm.Start,$B$47,_xlpm.PlanWD,AL30,_xlpm.PlanRoth,AM30,_xlpm.PlanConv,AN30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1011052.2471213129</v>
      </c>
      <c r="AR30" cm="1">
        <f t="array" ref="AR30">_xlfn.LET(_xlpm.N,$B$49,_xlpm.R,$B$48,_xlpm.Start,$B$47,_xlpm.PlanWD,AL30,_xlpm.PlanRoth,AM30,_xlpm.PlanConv,AN30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1251763.0274820982</v>
      </c>
      <c r="AS30">
        <f>--AND(AK30&lt;=SUM('Retirement Gap'!$B$24:$B$25,'Retirement Gap'!$B$27),AL30+AN30&lt;=$B$47,AM30&lt;='Retirement Gap'!$B$29,ABS(AK30+AL30+AM30-$B$10)&lt;1)</f>
        <v>1</v>
      </c>
      <c r="AT30" cm="1">
        <f t="array" ref="AT30">IF(AS30=0,1E+99,_xlfn.SWITCH(LEFT($E$39,1),"1",AO30,"2",AP30*1000000000+AO30,"3",-AQ30,"4",AO30+AP30*25000+AR30*0.005-AQ30*0.0001,AO30))</f>
        <v>-1011052.2471213129</v>
      </c>
    </row>
    <row r="31" spans="1:46" x14ac:dyDescent="0.55000000000000004">
      <c r="A31" s="50" t="s">
        <v>543</v>
      </c>
      <c r="B31" s="7" t="s">
        <v>544</v>
      </c>
      <c r="AG31">
        <f t="shared" si="0"/>
        <v>30</v>
      </c>
      <c r="AH31">
        <f t="shared" si="1"/>
        <v>0</v>
      </c>
      <c r="AI31">
        <f t="shared" si="2"/>
        <v>0.4</v>
      </c>
      <c r="AJ31">
        <f t="shared" si="3"/>
        <v>1</v>
      </c>
      <c r="AK31">
        <f t="shared" si="4"/>
        <v>49893.721633416484</v>
      </c>
      <c r="AL31">
        <f t="shared" si="5"/>
        <v>0</v>
      </c>
      <c r="AM31">
        <f>MIN(MAX(0,$B$10-AL31)*AI31,'Retirement Gap'!$B$29)</f>
        <v>10850.278366583516</v>
      </c>
      <c r="AN31">
        <f>IF($E$40="B - Withdrawals + Roth conversions",AJ31*MAX(0,MIN($B$47-AL31,MIN($B$59,IRMAA!$C$16)-(AL31+$B$8*0.85+AK31*$B$46))),0)</f>
        <v>0</v>
      </c>
      <c r="AO31" cm="1">
        <f t="array" ref="AO31">_xlfn.LET(_xlpm.N,$B$49,_xlpm.R,$B$48,_xlpm.Start,$B$47,_xlpm.PlanWD,AL31,_xlpm.PlanRoth,AM31,_xlpm.PlanConv,AN31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0</v>
      </c>
      <c r="AP31" cm="1">
        <f t="array" ref="AP31">_xlfn.LET(_xlpm.N,$B$49,_xlpm.R,$B$48,_xlpm.Start,$B$47,_xlpm.PlanWD,AL31,_xlpm.PlanRoth,AM31,_xlpm.PlanConv,AN31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31" cm="1">
        <f t="array" ref="AQ31">_xlfn.LET(_xlpm.N,$B$49,_xlpm.R,$B$48,_xlpm.Start,$B$47,_xlpm.PlanWD,AL31,_xlpm.PlanRoth,AM31,_xlpm.PlanConv,AN31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1011052.2471213129</v>
      </c>
      <c r="AR31" cm="1">
        <f t="array" ref="AR31">_xlfn.LET(_xlpm.N,$B$49,_xlpm.R,$B$48,_xlpm.Start,$B$47,_xlpm.PlanWD,AL31,_xlpm.PlanRoth,AM31,_xlpm.PlanConv,AN31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1251763.0274820982</v>
      </c>
      <c r="AS31">
        <f>--AND(AK31&lt;=SUM('Retirement Gap'!$B$24:$B$25,'Retirement Gap'!$B$27),AL31+AN31&lt;=$B$47,AM31&lt;='Retirement Gap'!$B$29,ABS(AK31+AL31+AM31-$B$10)&lt;1)</f>
        <v>1</v>
      </c>
      <c r="AT31" cm="1">
        <f t="array" ref="AT31">IF(AS31=0,1E+99,_xlfn.SWITCH(LEFT($E$39,1),"1",AO31,"2",AP31*1000000000+AO31,"3",-AQ31,"4",AO31+AP31*25000+AR31*0.005-AQ31*0.0001,AO31))</f>
        <v>-1011052.2471213129</v>
      </c>
    </row>
    <row r="32" spans="1:46" x14ac:dyDescent="0.55000000000000004">
      <c r="A32" s="71" t="s">
        <v>545</v>
      </c>
      <c r="AG32">
        <f t="shared" si="0"/>
        <v>31</v>
      </c>
      <c r="AH32">
        <f t="shared" si="1"/>
        <v>0</v>
      </c>
      <c r="AI32">
        <f t="shared" si="2"/>
        <v>0.5</v>
      </c>
      <c r="AJ32">
        <f t="shared" si="3"/>
        <v>0</v>
      </c>
      <c r="AK32">
        <f t="shared" si="4"/>
        <v>49893.721633416484</v>
      </c>
      <c r="AL32">
        <f t="shared" si="5"/>
        <v>0</v>
      </c>
      <c r="AM32">
        <f>MIN(MAX(0,$B$10-AL32)*AI32,'Retirement Gap'!$B$29)</f>
        <v>10850.278366583516</v>
      </c>
      <c r="AN32">
        <f>IF($E$40="B - Withdrawals + Roth conversions",AJ32*MAX(0,MIN($B$47-AL32,MIN($B$59,IRMAA!$C$16)-(AL32+$B$8*0.85+AK32*$B$46))),0)</f>
        <v>0</v>
      </c>
      <c r="AO32" cm="1">
        <f t="array" ref="AO32">_xlfn.LET(_xlpm.N,$B$49,_xlpm.R,$B$48,_xlpm.Start,$B$47,_xlpm.PlanWD,AL32,_xlpm.PlanRoth,AM32,_xlpm.PlanConv,AN32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0</v>
      </c>
      <c r="AP32" cm="1">
        <f t="array" ref="AP32">_xlfn.LET(_xlpm.N,$B$49,_xlpm.R,$B$48,_xlpm.Start,$B$47,_xlpm.PlanWD,AL32,_xlpm.PlanRoth,AM32,_xlpm.PlanConv,AN32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32" cm="1">
        <f t="array" ref="AQ32">_xlfn.LET(_xlpm.N,$B$49,_xlpm.R,$B$48,_xlpm.Start,$B$47,_xlpm.PlanWD,AL32,_xlpm.PlanRoth,AM32,_xlpm.PlanConv,AN32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1011052.2471213129</v>
      </c>
      <c r="AR32" cm="1">
        <f t="array" ref="AR32">_xlfn.LET(_xlpm.N,$B$49,_xlpm.R,$B$48,_xlpm.Start,$B$47,_xlpm.PlanWD,AL32,_xlpm.PlanRoth,AM32,_xlpm.PlanConv,AN32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1251763.0274820982</v>
      </c>
      <c r="AS32">
        <f>--AND(AK32&lt;=SUM('Retirement Gap'!$B$24:$B$25,'Retirement Gap'!$B$27),AL32+AN32&lt;=$B$47,AM32&lt;='Retirement Gap'!$B$29,ABS(AK32+AL32+AM32-$B$10)&lt;1)</f>
        <v>1</v>
      </c>
      <c r="AT32" cm="1">
        <f t="array" ref="AT32">IF(AS32=0,1E+99,_xlfn.SWITCH(LEFT($E$39,1),"1",AO32,"2",AP32*1000000000+AO32,"3",-AQ32,"4",AO32+AP32*25000+AR32*0.005-AQ32*0.0001,AO32))</f>
        <v>-1011052.2471213129</v>
      </c>
    </row>
    <row r="33" spans="1:46" x14ac:dyDescent="0.55000000000000004">
      <c r="A33" s="71" t="s">
        <v>284</v>
      </c>
      <c r="B33" s="49" t="s">
        <v>285</v>
      </c>
      <c r="C33" s="49" t="s">
        <v>286</v>
      </c>
      <c r="D33" s="49" t="s">
        <v>287</v>
      </c>
      <c r="AG33">
        <f t="shared" si="0"/>
        <v>32</v>
      </c>
      <c r="AH33">
        <f t="shared" si="1"/>
        <v>0</v>
      </c>
      <c r="AI33">
        <f t="shared" si="2"/>
        <v>0.5</v>
      </c>
      <c r="AJ33">
        <f t="shared" si="3"/>
        <v>0.2</v>
      </c>
      <c r="AK33">
        <f t="shared" si="4"/>
        <v>49893.721633416484</v>
      </c>
      <c r="AL33">
        <f t="shared" si="5"/>
        <v>0</v>
      </c>
      <c r="AM33">
        <f>MIN(MAX(0,$B$10-AL33)*AI33,'Retirement Gap'!$B$29)</f>
        <v>10850.278366583516</v>
      </c>
      <c r="AN33">
        <f>IF($E$40="B - Withdrawals + Roth conversions",AJ33*MAX(0,MIN($B$47-AL33,MIN($B$59,IRMAA!$C$16)-(AL33+$B$8*0.85+AK33*$B$46))),0)</f>
        <v>0</v>
      </c>
      <c r="AO33" cm="1">
        <f t="array" ref="AO33">_xlfn.LET(_xlpm.N,$B$49,_xlpm.R,$B$48,_xlpm.Start,$B$47,_xlpm.PlanWD,AL33,_xlpm.PlanRoth,AM33,_xlpm.PlanConv,AN33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0</v>
      </c>
      <c r="AP33" cm="1">
        <f t="array" ref="AP33">_xlfn.LET(_xlpm.N,$B$49,_xlpm.R,$B$48,_xlpm.Start,$B$47,_xlpm.PlanWD,AL33,_xlpm.PlanRoth,AM33,_xlpm.PlanConv,AN33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33" cm="1">
        <f t="array" ref="AQ33">_xlfn.LET(_xlpm.N,$B$49,_xlpm.R,$B$48,_xlpm.Start,$B$47,_xlpm.PlanWD,AL33,_xlpm.PlanRoth,AM33,_xlpm.PlanConv,AN33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1011052.2471213129</v>
      </c>
      <c r="AR33" cm="1">
        <f t="array" ref="AR33">_xlfn.LET(_xlpm.N,$B$49,_xlpm.R,$B$48,_xlpm.Start,$B$47,_xlpm.PlanWD,AL33,_xlpm.PlanRoth,AM33,_xlpm.PlanConv,AN33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1251763.0274820982</v>
      </c>
      <c r="AS33">
        <f>--AND(AK33&lt;=SUM('Retirement Gap'!$B$24:$B$25,'Retirement Gap'!$B$27),AL33+AN33&lt;=$B$47,AM33&lt;='Retirement Gap'!$B$29,ABS(AK33+AL33+AM33-$B$10)&lt;1)</f>
        <v>1</v>
      </c>
      <c r="AT33" cm="1">
        <f t="array" ref="AT33">IF(AS33=0,1E+99,_xlfn.SWITCH(LEFT($E$39,1),"1",AO33,"2",AP33*1000000000+AO33,"3",-AQ33,"4",AO33+AP33*25000+AR33*0.005-AQ33*0.0001,AO33))</f>
        <v>-1011052.2471213129</v>
      </c>
    </row>
    <row r="34" spans="1:46" x14ac:dyDescent="0.55000000000000004">
      <c r="A34" s="50" t="s">
        <v>288</v>
      </c>
      <c r="B34" s="9">
        <f>SUM(M62:INDEX(M:M,61+$B$49))</f>
        <v>9083.7999999999993</v>
      </c>
      <c r="C34" s="9">
        <f>SUM(U62:INDEX(U:U,61+$B$49))</f>
        <v>12615.999999999995</v>
      </c>
      <c r="D34" s="9">
        <f>SUM(AC62:INDEX(AC:AC,61+$B$49))</f>
        <v>0</v>
      </c>
      <c r="AG34">
        <f t="shared" si="0"/>
        <v>33</v>
      </c>
      <c r="AH34">
        <f t="shared" si="1"/>
        <v>0</v>
      </c>
      <c r="AI34">
        <f t="shared" si="2"/>
        <v>0.5</v>
      </c>
      <c r="AJ34">
        <f t="shared" si="3"/>
        <v>0.4</v>
      </c>
      <c r="AK34">
        <f t="shared" si="4"/>
        <v>49893.721633416484</v>
      </c>
      <c r="AL34">
        <f t="shared" si="5"/>
        <v>0</v>
      </c>
      <c r="AM34">
        <f>MIN(MAX(0,$B$10-AL34)*AI34,'Retirement Gap'!$B$29)</f>
        <v>10850.278366583516</v>
      </c>
      <c r="AN34">
        <f>IF($E$40="B - Withdrawals + Roth conversions",AJ34*MAX(0,MIN($B$47-AL34,MIN($B$59,IRMAA!$C$16)-(AL34+$B$8*0.85+AK34*$B$46))),0)</f>
        <v>0</v>
      </c>
      <c r="AO34" cm="1">
        <f t="array" ref="AO34">_xlfn.LET(_xlpm.N,$B$49,_xlpm.R,$B$48,_xlpm.Start,$B$47,_xlpm.PlanWD,AL34,_xlpm.PlanRoth,AM34,_xlpm.PlanConv,AN34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0</v>
      </c>
      <c r="AP34" cm="1">
        <f t="array" ref="AP34">_xlfn.LET(_xlpm.N,$B$49,_xlpm.R,$B$48,_xlpm.Start,$B$47,_xlpm.PlanWD,AL34,_xlpm.PlanRoth,AM34,_xlpm.PlanConv,AN34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34" cm="1">
        <f t="array" ref="AQ34">_xlfn.LET(_xlpm.N,$B$49,_xlpm.R,$B$48,_xlpm.Start,$B$47,_xlpm.PlanWD,AL34,_xlpm.PlanRoth,AM34,_xlpm.PlanConv,AN34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1011052.2471213129</v>
      </c>
      <c r="AR34" cm="1">
        <f t="array" ref="AR34">_xlfn.LET(_xlpm.N,$B$49,_xlpm.R,$B$48,_xlpm.Start,$B$47,_xlpm.PlanWD,AL34,_xlpm.PlanRoth,AM34,_xlpm.PlanConv,AN34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1251763.0274820982</v>
      </c>
      <c r="AS34">
        <f>--AND(AK34&lt;=SUM('Retirement Gap'!$B$24:$B$25,'Retirement Gap'!$B$27),AL34+AN34&lt;=$B$47,AM34&lt;='Retirement Gap'!$B$29,ABS(AK34+AL34+AM34-$B$10)&lt;1)</f>
        <v>1</v>
      </c>
      <c r="AT34" cm="1">
        <f t="array" ref="AT34">IF(AS34=0,1E+99,_xlfn.SWITCH(LEFT($E$39,1),"1",AO34,"2",AP34*1000000000+AO34,"3",-AQ34,"4",AO34+AP34*25000+AR34*0.005-AQ34*0.0001,AO34))</f>
        <v>-1011052.2471213129</v>
      </c>
    </row>
    <row r="35" spans="1:46" x14ac:dyDescent="0.55000000000000004">
      <c r="A35" s="50" t="s">
        <v>546</v>
      </c>
      <c r="B35" s="7" t="str">
        <f>"Tier "&amp;MAX(N62:INDEX(N:N,61+$B$49))</f>
        <v>Tier 0</v>
      </c>
      <c r="C35" s="7" t="str">
        <f>"Tier "&amp;MAX(V62:INDEX(V:V,61+$B$49))</f>
        <v>Tier 0</v>
      </c>
      <c r="D35" s="7" t="str">
        <f>"Tier "&amp;MAX(AD62:INDEX(AD:AD,61+$B$49))</f>
        <v>Tier 0</v>
      </c>
      <c r="AG35">
        <f t="shared" si="0"/>
        <v>34</v>
      </c>
      <c r="AH35">
        <f t="shared" si="1"/>
        <v>0</v>
      </c>
      <c r="AI35">
        <f t="shared" si="2"/>
        <v>0.5</v>
      </c>
      <c r="AJ35">
        <f t="shared" si="3"/>
        <v>0.6</v>
      </c>
      <c r="AK35">
        <f t="shared" si="4"/>
        <v>49893.721633416484</v>
      </c>
      <c r="AL35">
        <f t="shared" si="5"/>
        <v>0</v>
      </c>
      <c r="AM35">
        <f>MIN(MAX(0,$B$10-AL35)*AI35,'Retirement Gap'!$B$29)</f>
        <v>10850.278366583516</v>
      </c>
      <c r="AN35">
        <f>IF($E$40="B - Withdrawals + Roth conversions",AJ35*MAX(0,MIN($B$47-AL35,MIN($B$59,IRMAA!$C$16)-(AL35+$B$8*0.85+AK35*$B$46))),0)</f>
        <v>0</v>
      </c>
      <c r="AO35" cm="1">
        <f t="array" ref="AO35">_xlfn.LET(_xlpm.N,$B$49,_xlpm.R,$B$48,_xlpm.Start,$B$47,_xlpm.PlanWD,AL35,_xlpm.PlanRoth,AM35,_xlpm.PlanConv,AN35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0</v>
      </c>
      <c r="AP35" cm="1">
        <f t="array" ref="AP35">_xlfn.LET(_xlpm.N,$B$49,_xlpm.R,$B$48,_xlpm.Start,$B$47,_xlpm.PlanWD,AL35,_xlpm.PlanRoth,AM35,_xlpm.PlanConv,AN35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35" cm="1">
        <f t="array" ref="AQ35">_xlfn.LET(_xlpm.N,$B$49,_xlpm.R,$B$48,_xlpm.Start,$B$47,_xlpm.PlanWD,AL35,_xlpm.PlanRoth,AM35,_xlpm.PlanConv,AN35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1011052.2471213129</v>
      </c>
      <c r="AR35" cm="1">
        <f t="array" ref="AR35">_xlfn.LET(_xlpm.N,$B$49,_xlpm.R,$B$48,_xlpm.Start,$B$47,_xlpm.PlanWD,AL35,_xlpm.PlanRoth,AM35,_xlpm.PlanConv,AN35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1251763.0274820982</v>
      </c>
      <c r="AS35">
        <f>--AND(AK35&lt;=SUM('Retirement Gap'!$B$24:$B$25,'Retirement Gap'!$B$27),AL35+AN35&lt;=$B$47,AM35&lt;='Retirement Gap'!$B$29,ABS(AK35+AL35+AM35-$B$10)&lt;1)</f>
        <v>1</v>
      </c>
      <c r="AT35" cm="1">
        <f t="array" ref="AT35">IF(AS35=0,1E+99,_xlfn.SWITCH(LEFT($E$39,1),"1",AO35,"2",AP35*1000000000+AO35,"3",-AQ35,"4",AO35+AP35*25000+AR35*0.005-AQ35*0.0001,AO35))</f>
        <v>-1011052.2471213129</v>
      </c>
    </row>
    <row r="36" spans="1:46" x14ac:dyDescent="0.55000000000000004">
      <c r="A36" s="50" t="s">
        <v>186</v>
      </c>
      <c r="B36" s="9" cm="1">
        <f t="array" ref="B36">INDEX(O:O,61+$B$49)</f>
        <v>1251763.0274820982</v>
      </c>
      <c r="C36" s="9" cm="1">
        <f t="array" ref="C36">INDEX(W:W,61+$B$49)</f>
        <v>1212346.2186685945</v>
      </c>
      <c r="D36" s="9" cm="1">
        <f t="array" ref="D36">INDEX(AE:AE,61+$B$49)</f>
        <v>1251763.0274820982</v>
      </c>
      <c r="AG36">
        <f t="shared" si="0"/>
        <v>35</v>
      </c>
      <c r="AH36">
        <f t="shared" si="1"/>
        <v>0</v>
      </c>
      <c r="AI36">
        <f t="shared" si="2"/>
        <v>0.5</v>
      </c>
      <c r="AJ36">
        <f t="shared" si="3"/>
        <v>0.8</v>
      </c>
      <c r="AK36">
        <f t="shared" si="4"/>
        <v>49893.721633416484</v>
      </c>
      <c r="AL36">
        <f t="shared" si="5"/>
        <v>0</v>
      </c>
      <c r="AM36">
        <f>MIN(MAX(0,$B$10-AL36)*AI36,'Retirement Gap'!$B$29)</f>
        <v>10850.278366583516</v>
      </c>
      <c r="AN36">
        <f>IF($E$40="B - Withdrawals + Roth conversions",AJ36*MAX(0,MIN($B$47-AL36,MIN($B$59,IRMAA!$C$16)-(AL36+$B$8*0.85+AK36*$B$46))),0)</f>
        <v>0</v>
      </c>
      <c r="AO36" cm="1">
        <f t="array" ref="AO36">_xlfn.LET(_xlpm.N,$B$49,_xlpm.R,$B$48,_xlpm.Start,$B$47,_xlpm.PlanWD,AL36,_xlpm.PlanRoth,AM36,_xlpm.PlanConv,AN36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0</v>
      </c>
      <c r="AP36" cm="1">
        <f t="array" ref="AP36">_xlfn.LET(_xlpm.N,$B$49,_xlpm.R,$B$48,_xlpm.Start,$B$47,_xlpm.PlanWD,AL36,_xlpm.PlanRoth,AM36,_xlpm.PlanConv,AN36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36" cm="1">
        <f t="array" ref="AQ36">_xlfn.LET(_xlpm.N,$B$49,_xlpm.R,$B$48,_xlpm.Start,$B$47,_xlpm.PlanWD,AL36,_xlpm.PlanRoth,AM36,_xlpm.PlanConv,AN36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1011052.2471213129</v>
      </c>
      <c r="AR36" cm="1">
        <f t="array" ref="AR36">_xlfn.LET(_xlpm.N,$B$49,_xlpm.R,$B$48,_xlpm.Start,$B$47,_xlpm.PlanWD,AL36,_xlpm.PlanRoth,AM36,_xlpm.PlanConv,AN36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1251763.0274820982</v>
      </c>
      <c r="AS36">
        <f>--AND(AK36&lt;=SUM('Retirement Gap'!$B$24:$B$25,'Retirement Gap'!$B$27),AL36+AN36&lt;=$B$47,AM36&lt;='Retirement Gap'!$B$29,ABS(AK36+AL36+AM36-$B$10)&lt;1)</f>
        <v>1</v>
      </c>
      <c r="AT36" cm="1">
        <f t="array" ref="AT36">IF(AS36=0,1E+99,_xlfn.SWITCH(LEFT($E$39,1),"1",AO36,"2",AP36*1000000000+AO36,"3",-AQ36,"4",AO36+AP36*25000+AR36*0.005-AQ36*0.0001,AO36))</f>
        <v>-1011052.2471213129</v>
      </c>
    </row>
    <row r="37" spans="1:46" x14ac:dyDescent="0.55000000000000004">
      <c r="AG37">
        <f t="shared" si="0"/>
        <v>36</v>
      </c>
      <c r="AH37">
        <f t="shared" si="1"/>
        <v>0</v>
      </c>
      <c r="AI37">
        <f t="shared" si="2"/>
        <v>0.5</v>
      </c>
      <c r="AJ37">
        <f t="shared" si="3"/>
        <v>1</v>
      </c>
      <c r="AK37">
        <f t="shared" si="4"/>
        <v>49893.721633416484</v>
      </c>
      <c r="AL37">
        <f t="shared" si="5"/>
        <v>0</v>
      </c>
      <c r="AM37">
        <f>MIN(MAX(0,$B$10-AL37)*AI37,'Retirement Gap'!$B$29)</f>
        <v>10850.278366583516</v>
      </c>
      <c r="AN37">
        <f>IF($E$40="B - Withdrawals + Roth conversions",AJ37*MAX(0,MIN($B$47-AL37,MIN($B$59,IRMAA!$C$16)-(AL37+$B$8*0.85+AK37*$B$46))),0)</f>
        <v>0</v>
      </c>
      <c r="AO37" cm="1">
        <f t="array" ref="AO37">_xlfn.LET(_xlpm.N,$B$49,_xlpm.R,$B$48,_xlpm.Start,$B$47,_xlpm.PlanWD,AL37,_xlpm.PlanRoth,AM37,_xlpm.PlanConv,AN37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0</v>
      </c>
      <c r="AP37" cm="1">
        <f t="array" ref="AP37">_xlfn.LET(_xlpm.N,$B$49,_xlpm.R,$B$48,_xlpm.Start,$B$47,_xlpm.PlanWD,AL37,_xlpm.PlanRoth,AM37,_xlpm.PlanConv,AN37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37" cm="1">
        <f t="array" ref="AQ37">_xlfn.LET(_xlpm.N,$B$49,_xlpm.R,$B$48,_xlpm.Start,$B$47,_xlpm.PlanWD,AL37,_xlpm.PlanRoth,AM37,_xlpm.PlanConv,AN37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1011052.2471213129</v>
      </c>
      <c r="AR37" cm="1">
        <f t="array" ref="AR37">_xlfn.LET(_xlpm.N,$B$49,_xlpm.R,$B$48,_xlpm.Start,$B$47,_xlpm.PlanWD,AL37,_xlpm.PlanRoth,AM37,_xlpm.PlanConv,AN37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1251763.0274820982</v>
      </c>
      <c r="AS37">
        <f>--AND(AK37&lt;=SUM('Retirement Gap'!$B$24:$B$25,'Retirement Gap'!$B$27),AL37+AN37&lt;=$B$47,AM37&lt;='Retirement Gap'!$B$29,ABS(AK37+AL37+AM37-$B$10)&lt;1)</f>
        <v>1</v>
      </c>
      <c r="AT37" cm="1">
        <f t="array" ref="AT37">IF(AS37=0,1E+99,_xlfn.SWITCH(LEFT($E$39,1),"1",AO37,"2",AP37*1000000000+AO37,"3",-AQ37,"4",AO37+AP37*25000+AR37*0.005-AQ37*0.0001,AO37))</f>
        <v>-1011052.2471213129</v>
      </c>
    </row>
    <row r="38" spans="1:46" ht="28.8" x14ac:dyDescent="0.55000000000000004">
      <c r="A38" s="71" t="s">
        <v>580</v>
      </c>
      <c r="D38" s="71" t="s">
        <v>584</v>
      </c>
      <c r="AG38">
        <f t="shared" si="0"/>
        <v>37</v>
      </c>
      <c r="AH38">
        <f t="shared" si="1"/>
        <v>0</v>
      </c>
      <c r="AI38">
        <f t="shared" si="2"/>
        <v>0.6</v>
      </c>
      <c r="AJ38">
        <f t="shared" si="3"/>
        <v>0</v>
      </c>
      <c r="AK38">
        <f t="shared" si="4"/>
        <v>49893.721633416484</v>
      </c>
      <c r="AL38">
        <f t="shared" si="5"/>
        <v>0</v>
      </c>
      <c r="AM38">
        <f>MIN(MAX(0,$B$10-AL38)*AI38,'Retirement Gap'!$B$29)</f>
        <v>10850.278366583516</v>
      </c>
      <c r="AN38">
        <f>IF($E$40="B - Withdrawals + Roth conversions",AJ38*MAX(0,MIN($B$47-AL38,MIN($B$59,IRMAA!$C$16)-(AL38+$B$8*0.85+AK38*$B$46))),0)</f>
        <v>0</v>
      </c>
      <c r="AO38" cm="1">
        <f t="array" ref="AO38">_xlfn.LET(_xlpm.N,$B$49,_xlpm.R,$B$48,_xlpm.Start,$B$47,_xlpm.PlanWD,AL38,_xlpm.PlanRoth,AM38,_xlpm.PlanConv,AN38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0</v>
      </c>
      <c r="AP38" cm="1">
        <f t="array" ref="AP38">_xlfn.LET(_xlpm.N,$B$49,_xlpm.R,$B$48,_xlpm.Start,$B$47,_xlpm.PlanWD,AL38,_xlpm.PlanRoth,AM38,_xlpm.PlanConv,AN38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38" cm="1">
        <f t="array" ref="AQ38">_xlfn.LET(_xlpm.N,$B$49,_xlpm.R,$B$48,_xlpm.Start,$B$47,_xlpm.PlanWD,AL38,_xlpm.PlanRoth,AM38,_xlpm.PlanConv,AN38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1011052.2471213129</v>
      </c>
      <c r="AR38" cm="1">
        <f t="array" ref="AR38">_xlfn.LET(_xlpm.N,$B$49,_xlpm.R,$B$48,_xlpm.Start,$B$47,_xlpm.PlanWD,AL38,_xlpm.PlanRoth,AM38,_xlpm.PlanConv,AN38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1251763.0274820982</v>
      </c>
      <c r="AS38">
        <f>--AND(AK38&lt;=SUM('Retirement Gap'!$B$24:$B$25,'Retirement Gap'!$B$27),AL38+AN38&lt;=$B$47,AM38&lt;='Retirement Gap'!$B$29,ABS(AK38+AL38+AM38-$B$10)&lt;1)</f>
        <v>1</v>
      </c>
      <c r="AT38" cm="1">
        <f t="array" ref="AT38">IF(AS38=0,1E+99,_xlfn.SWITCH(LEFT($E$39,1),"1",AO38,"2",AP38*1000000000+AO38,"3",-AQ38,"4",AO38+AP38*25000+AR38*0.005-AQ38*0.0001,AO38))</f>
        <v>-1011052.2471213129</v>
      </c>
    </row>
    <row r="39" spans="1:46" x14ac:dyDescent="0.55000000000000004">
      <c r="A39" s="74" t="s">
        <v>581</v>
      </c>
      <c r="B39" t="str" cm="1">
        <f t="array" ref="B39">_xlfn.LET(_xlpm.Tax,$B$34:$D$34,_xlpm.Tier,--SUBSTITUTE($B$35:$D$35,"Tier ",""),_xlpm.Bal,$B$36:$D$36,_xlpm.Score,_xlpm.Tax+_xlpm.Tier*0.01-_xlpm.Bal/10^12,INDEX($B$33:$D$33,1,_xlfn.XMATCH(MIN(_xlpm.Score),_xlpm.Score)))</f>
        <v>Scenario C</v>
      </c>
      <c r="D39" s="74" t="s">
        <v>585</v>
      </c>
      <c r="E39" s="50" t="s">
        <v>587</v>
      </c>
      <c r="AG39">
        <f t="shared" si="0"/>
        <v>38</v>
      </c>
      <c r="AH39">
        <f t="shared" si="1"/>
        <v>0</v>
      </c>
      <c r="AI39">
        <f t="shared" si="2"/>
        <v>0.6</v>
      </c>
      <c r="AJ39">
        <f t="shared" si="3"/>
        <v>0.2</v>
      </c>
      <c r="AK39">
        <f t="shared" si="4"/>
        <v>49893.721633416484</v>
      </c>
      <c r="AL39">
        <f t="shared" si="5"/>
        <v>0</v>
      </c>
      <c r="AM39">
        <f>MIN(MAX(0,$B$10-AL39)*AI39,'Retirement Gap'!$B$29)</f>
        <v>10850.278366583516</v>
      </c>
      <c r="AN39">
        <f>IF($E$40="B - Withdrawals + Roth conversions",AJ39*MAX(0,MIN($B$47-AL39,MIN($B$59,IRMAA!$C$16)-(AL39+$B$8*0.85+AK39*$B$46))),0)</f>
        <v>0</v>
      </c>
      <c r="AO39" cm="1">
        <f t="array" ref="AO39">_xlfn.LET(_xlpm.N,$B$49,_xlpm.R,$B$48,_xlpm.Start,$B$47,_xlpm.PlanWD,AL39,_xlpm.PlanRoth,AM39,_xlpm.PlanConv,AN39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0</v>
      </c>
      <c r="AP39" cm="1">
        <f t="array" ref="AP39">_xlfn.LET(_xlpm.N,$B$49,_xlpm.R,$B$48,_xlpm.Start,$B$47,_xlpm.PlanWD,AL39,_xlpm.PlanRoth,AM39,_xlpm.PlanConv,AN39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39" cm="1">
        <f t="array" ref="AQ39">_xlfn.LET(_xlpm.N,$B$49,_xlpm.R,$B$48,_xlpm.Start,$B$47,_xlpm.PlanWD,AL39,_xlpm.PlanRoth,AM39,_xlpm.PlanConv,AN39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1011052.2471213129</v>
      </c>
      <c r="AR39" cm="1">
        <f t="array" ref="AR39">_xlfn.LET(_xlpm.N,$B$49,_xlpm.R,$B$48,_xlpm.Start,$B$47,_xlpm.PlanWD,AL39,_xlpm.PlanRoth,AM39,_xlpm.PlanConv,AN39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1251763.0274820982</v>
      </c>
      <c r="AS39">
        <f>--AND(AK39&lt;=SUM('Retirement Gap'!$B$24:$B$25,'Retirement Gap'!$B$27),AL39+AN39&lt;=$B$47,AM39&lt;='Retirement Gap'!$B$29,ABS(AK39+AL39+AM39-$B$10)&lt;1)</f>
        <v>1</v>
      </c>
      <c r="AT39" cm="1">
        <f t="array" ref="AT39">IF(AS39=0,1E+99,_xlfn.SWITCH(LEFT($E$39,1),"1",AO39,"2",AP39*1000000000+AO39,"3",-AQ39,"4",AO39+AP39*25000+AR39*0.005-AQ39*0.0001,AO39))</f>
        <v>-1011052.2471213129</v>
      </c>
    </row>
    <row r="40" spans="1:46" x14ac:dyDescent="0.55000000000000004">
      <c r="A40" s="74" t="s">
        <v>582</v>
      </c>
      <c r="B40" s="3">
        <f>_xlfn.XLOOKUP(B39,$B$33:$D$33,$B$34:$D$34)</f>
        <v>0</v>
      </c>
      <c r="D40" s="74" t="s">
        <v>586</v>
      </c>
      <c r="E40" s="50" t="s">
        <v>588</v>
      </c>
      <c r="AG40">
        <f t="shared" si="0"/>
        <v>39</v>
      </c>
      <c r="AH40">
        <f t="shared" si="1"/>
        <v>0</v>
      </c>
      <c r="AI40">
        <f t="shared" si="2"/>
        <v>0.6</v>
      </c>
      <c r="AJ40">
        <f t="shared" si="3"/>
        <v>0.4</v>
      </c>
      <c r="AK40">
        <f t="shared" si="4"/>
        <v>49893.721633416484</v>
      </c>
      <c r="AL40">
        <f t="shared" si="5"/>
        <v>0</v>
      </c>
      <c r="AM40">
        <f>MIN(MAX(0,$B$10-AL40)*AI40,'Retirement Gap'!$B$29)</f>
        <v>10850.278366583516</v>
      </c>
      <c r="AN40">
        <f>IF($E$40="B - Withdrawals + Roth conversions",AJ40*MAX(0,MIN($B$47-AL40,MIN($B$59,IRMAA!$C$16)-(AL40+$B$8*0.85+AK40*$B$46))),0)</f>
        <v>0</v>
      </c>
      <c r="AO40" cm="1">
        <f t="array" ref="AO40">_xlfn.LET(_xlpm.N,$B$49,_xlpm.R,$B$48,_xlpm.Start,$B$47,_xlpm.PlanWD,AL40,_xlpm.PlanRoth,AM40,_xlpm.PlanConv,AN40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0</v>
      </c>
      <c r="AP40" cm="1">
        <f t="array" ref="AP40">_xlfn.LET(_xlpm.N,$B$49,_xlpm.R,$B$48,_xlpm.Start,$B$47,_xlpm.PlanWD,AL40,_xlpm.PlanRoth,AM40,_xlpm.PlanConv,AN40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40" cm="1">
        <f t="array" ref="AQ40">_xlfn.LET(_xlpm.N,$B$49,_xlpm.R,$B$48,_xlpm.Start,$B$47,_xlpm.PlanWD,AL40,_xlpm.PlanRoth,AM40,_xlpm.PlanConv,AN40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1011052.2471213129</v>
      </c>
      <c r="AR40" cm="1">
        <f t="array" ref="AR40">_xlfn.LET(_xlpm.N,$B$49,_xlpm.R,$B$48,_xlpm.Start,$B$47,_xlpm.PlanWD,AL40,_xlpm.PlanRoth,AM40,_xlpm.PlanConv,AN40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1251763.0274820982</v>
      </c>
      <c r="AS40">
        <f>--AND(AK40&lt;=SUM('Retirement Gap'!$B$24:$B$25,'Retirement Gap'!$B$27),AL40+AN40&lt;=$B$47,AM40&lt;='Retirement Gap'!$B$29,ABS(AK40+AL40+AM40-$B$10)&lt;1)</f>
        <v>1</v>
      </c>
      <c r="AT40" cm="1">
        <f t="array" ref="AT40">IF(AS40=0,1E+99,_xlfn.SWITCH(LEFT($E$39,1),"1",AO40,"2",AP40*1000000000+AO40,"3",-AQ40,"4",AO40+AP40*25000+AR40*0.005-AQ40*0.0001,AO40))</f>
        <v>-1011052.2471213129</v>
      </c>
    </row>
    <row r="41" spans="1:46" ht="28.8" x14ac:dyDescent="0.55000000000000004">
      <c r="A41" s="74" t="s">
        <v>546</v>
      </c>
      <c r="B41" t="str">
        <f>_xlfn.XLOOKUP(B39,$B$33:$D$33,$B$35:$D$35)</f>
        <v>Tier 0</v>
      </c>
      <c r="D41" s="50" t="s">
        <v>603</v>
      </c>
      <c r="E41" s="50" t="s">
        <v>604</v>
      </c>
      <c r="AG41">
        <f t="shared" si="0"/>
        <v>40</v>
      </c>
      <c r="AH41">
        <f t="shared" si="1"/>
        <v>0</v>
      </c>
      <c r="AI41">
        <f t="shared" si="2"/>
        <v>0.6</v>
      </c>
      <c r="AJ41">
        <f t="shared" si="3"/>
        <v>0.6</v>
      </c>
      <c r="AK41">
        <f t="shared" si="4"/>
        <v>49893.721633416484</v>
      </c>
      <c r="AL41">
        <f t="shared" si="5"/>
        <v>0</v>
      </c>
      <c r="AM41">
        <f>MIN(MAX(0,$B$10-AL41)*AI41,'Retirement Gap'!$B$29)</f>
        <v>10850.278366583516</v>
      </c>
      <c r="AN41">
        <f>IF($E$40="B - Withdrawals + Roth conversions",AJ41*MAX(0,MIN($B$47-AL41,MIN($B$59,IRMAA!$C$16)-(AL41+$B$8*0.85+AK41*$B$46))),0)</f>
        <v>0</v>
      </c>
      <c r="AO41" cm="1">
        <f t="array" ref="AO41">_xlfn.LET(_xlpm.N,$B$49,_xlpm.R,$B$48,_xlpm.Start,$B$47,_xlpm.PlanWD,AL41,_xlpm.PlanRoth,AM41,_xlpm.PlanConv,AN41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0</v>
      </c>
      <c r="AP41" cm="1">
        <f t="array" ref="AP41">_xlfn.LET(_xlpm.N,$B$49,_xlpm.R,$B$48,_xlpm.Start,$B$47,_xlpm.PlanWD,AL41,_xlpm.PlanRoth,AM41,_xlpm.PlanConv,AN41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41" cm="1">
        <f t="array" ref="AQ41">_xlfn.LET(_xlpm.N,$B$49,_xlpm.R,$B$48,_xlpm.Start,$B$47,_xlpm.PlanWD,AL41,_xlpm.PlanRoth,AM41,_xlpm.PlanConv,AN41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1011052.2471213129</v>
      </c>
      <c r="AR41" cm="1">
        <f t="array" ref="AR41">_xlfn.LET(_xlpm.N,$B$49,_xlpm.R,$B$48,_xlpm.Start,$B$47,_xlpm.PlanWD,AL41,_xlpm.PlanRoth,AM41,_xlpm.PlanConv,AN41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1251763.0274820982</v>
      </c>
      <c r="AS41">
        <f>--AND(AK41&lt;=SUM('Retirement Gap'!$B$24:$B$25,'Retirement Gap'!$B$27),AL41+AN41&lt;=$B$47,AM41&lt;='Retirement Gap'!$B$29,ABS(AK41+AL41+AM41-$B$10)&lt;1)</f>
        <v>1</v>
      </c>
      <c r="AT41" cm="1">
        <f t="array" ref="AT41">IF(AS41=0,1E+99,_xlfn.SWITCH(LEFT($E$39,1),"1",AO41,"2",AP41*1000000000+AO41,"3",-AQ41,"4",AO41+AP41*25000+AR41*0.005-AQ41*0.0001,AO41))</f>
        <v>-1011052.2471213129</v>
      </c>
    </row>
    <row r="42" spans="1:46" x14ac:dyDescent="0.55000000000000004">
      <c r="A42" s="74" t="s">
        <v>186</v>
      </c>
      <c r="B42" s="3">
        <f>_xlfn.XLOOKUP(B39,$B$33:$D$33,$B$36:$D$36)</f>
        <v>1251763.0274820982</v>
      </c>
      <c r="D42" s="74" t="s">
        <v>589</v>
      </c>
      <c r="E42" t="str">
        <f>"Optimized for "&amp;LOWER(MID($E$39,5,99))</f>
        <v>Optimized for highest ending portfolio</v>
      </c>
      <c r="AG42">
        <f t="shared" si="0"/>
        <v>41</v>
      </c>
      <c r="AH42">
        <f t="shared" si="1"/>
        <v>0</v>
      </c>
      <c r="AI42">
        <f t="shared" si="2"/>
        <v>0.6</v>
      </c>
      <c r="AJ42">
        <f t="shared" si="3"/>
        <v>0.8</v>
      </c>
      <c r="AK42">
        <f t="shared" si="4"/>
        <v>49893.721633416484</v>
      </c>
      <c r="AL42">
        <f t="shared" si="5"/>
        <v>0</v>
      </c>
      <c r="AM42">
        <f>MIN(MAX(0,$B$10-AL42)*AI42,'Retirement Gap'!$B$29)</f>
        <v>10850.278366583516</v>
      </c>
      <c r="AN42">
        <f>IF($E$40="B - Withdrawals + Roth conversions",AJ42*MAX(0,MIN($B$47-AL42,MIN($B$59,IRMAA!$C$16)-(AL42+$B$8*0.85+AK42*$B$46))),0)</f>
        <v>0</v>
      </c>
      <c r="AO42" cm="1">
        <f t="array" ref="AO42">_xlfn.LET(_xlpm.N,$B$49,_xlpm.R,$B$48,_xlpm.Start,$B$47,_xlpm.PlanWD,AL42,_xlpm.PlanRoth,AM42,_xlpm.PlanConv,AN42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0</v>
      </c>
      <c r="AP42" cm="1">
        <f t="array" ref="AP42">_xlfn.LET(_xlpm.N,$B$49,_xlpm.R,$B$48,_xlpm.Start,$B$47,_xlpm.PlanWD,AL42,_xlpm.PlanRoth,AM42,_xlpm.PlanConv,AN42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42" cm="1">
        <f t="array" ref="AQ42">_xlfn.LET(_xlpm.N,$B$49,_xlpm.R,$B$48,_xlpm.Start,$B$47,_xlpm.PlanWD,AL42,_xlpm.PlanRoth,AM42,_xlpm.PlanConv,AN42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1011052.2471213129</v>
      </c>
      <c r="AR42" cm="1">
        <f t="array" ref="AR42">_xlfn.LET(_xlpm.N,$B$49,_xlpm.R,$B$48,_xlpm.Start,$B$47,_xlpm.PlanWD,AL42,_xlpm.PlanRoth,AM42,_xlpm.PlanConv,AN42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1251763.0274820982</v>
      </c>
      <c r="AS42">
        <f>--AND(AK42&lt;=SUM('Retirement Gap'!$B$24:$B$25,'Retirement Gap'!$B$27),AL42+AN42&lt;=$B$47,AM42&lt;='Retirement Gap'!$B$29,ABS(AK42+AL42+AM42-$B$10)&lt;1)</f>
        <v>1</v>
      </c>
      <c r="AT42" cm="1">
        <f t="array" ref="AT42">IF(AS42=0,1E+99,_xlfn.SWITCH(LEFT($E$39,1),"1",AO42,"2",AP42*1000000000+AO42,"3",-AQ42,"4",AO42+AP42*25000+AR42*0.005-AQ42*0.0001,AO42))</f>
        <v>-1011052.2471213129</v>
      </c>
    </row>
    <row r="43" spans="1:46" ht="72" x14ac:dyDescent="0.55000000000000004">
      <c r="A43" s="74" t="s">
        <v>583</v>
      </c>
      <c r="B43" s="50" t="str">
        <f>B39&amp;" has the lowest estimated federal tax for "&amp;LOWER($B$31)&amp;"; IRMAA tier and ending pre-tax balance break ties."</f>
        <v>Scenario C has the lowest estimated federal tax for through age 70; IRMAA tier and ending pre-tax balance break ties.</v>
      </c>
      <c r="D43" s="74" t="s">
        <v>605</v>
      </c>
      <c r="E43" s="3" cm="1">
        <f t="array" ref="E43">INDEX($AK$2:$AK$727,_xlfn.XMATCH(MIN($AT$2:$AT$727),$AT$2:$AT$727))</f>
        <v>49893.721633416484</v>
      </c>
      <c r="AG43">
        <f t="shared" si="0"/>
        <v>42</v>
      </c>
      <c r="AH43">
        <f t="shared" si="1"/>
        <v>0</v>
      </c>
      <c r="AI43">
        <f t="shared" si="2"/>
        <v>0.6</v>
      </c>
      <c r="AJ43">
        <f t="shared" si="3"/>
        <v>1</v>
      </c>
      <c r="AK43">
        <f t="shared" si="4"/>
        <v>49893.721633416484</v>
      </c>
      <c r="AL43">
        <f t="shared" si="5"/>
        <v>0</v>
      </c>
      <c r="AM43">
        <f>MIN(MAX(0,$B$10-AL43)*AI43,'Retirement Gap'!$B$29)</f>
        <v>10850.278366583516</v>
      </c>
      <c r="AN43">
        <f>IF($E$40="B - Withdrawals + Roth conversions",AJ43*MAX(0,MIN($B$47-AL43,MIN($B$59,IRMAA!$C$16)-(AL43+$B$8*0.85+AK43*$B$46))),0)</f>
        <v>0</v>
      </c>
      <c r="AO43" cm="1">
        <f t="array" ref="AO43">_xlfn.LET(_xlpm.N,$B$49,_xlpm.R,$B$48,_xlpm.Start,$B$47,_xlpm.PlanWD,AL43,_xlpm.PlanRoth,AM43,_xlpm.PlanConv,AN43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0</v>
      </c>
      <c r="AP43" cm="1">
        <f t="array" ref="AP43">_xlfn.LET(_xlpm.N,$B$49,_xlpm.R,$B$48,_xlpm.Start,$B$47,_xlpm.PlanWD,AL43,_xlpm.PlanRoth,AM43,_xlpm.PlanConv,AN43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43" cm="1">
        <f t="array" ref="AQ43">_xlfn.LET(_xlpm.N,$B$49,_xlpm.R,$B$48,_xlpm.Start,$B$47,_xlpm.PlanWD,AL43,_xlpm.PlanRoth,AM43,_xlpm.PlanConv,AN43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1011052.2471213129</v>
      </c>
      <c r="AR43" cm="1">
        <f t="array" ref="AR43">_xlfn.LET(_xlpm.N,$B$49,_xlpm.R,$B$48,_xlpm.Start,$B$47,_xlpm.PlanWD,AL43,_xlpm.PlanRoth,AM43,_xlpm.PlanConv,AN43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1251763.0274820982</v>
      </c>
      <c r="AS43">
        <f>--AND(AK43&lt;=SUM('Retirement Gap'!$B$24:$B$25,'Retirement Gap'!$B$27),AL43+AN43&lt;=$B$47,AM43&lt;='Retirement Gap'!$B$29,ABS(AK43+AL43+AM43-$B$10)&lt;1)</f>
        <v>1</v>
      </c>
      <c r="AT43" cm="1">
        <f t="array" ref="AT43">IF(AS43=0,1E+99,_xlfn.SWITCH(LEFT($E$39,1),"1",AO43,"2",AP43*1000000000+AO43,"3",-AQ43,"4",AO43+AP43*25000+AR43*0.005-AQ43*0.0001,AO43))</f>
        <v>-1011052.2471213129</v>
      </c>
    </row>
    <row r="44" spans="1:46" ht="28.8" x14ac:dyDescent="0.55000000000000004">
      <c r="D44" s="74" t="s">
        <v>606</v>
      </c>
      <c r="E44" s="3" cm="1">
        <f t="array" ref="E44">INDEX($AL$2:$AL$727,_xlfn.XMATCH(MIN($AT$2:$AT$727),$AT$2:$AT$727))</f>
        <v>0</v>
      </c>
      <c r="AG44">
        <f t="shared" si="0"/>
        <v>43</v>
      </c>
      <c r="AH44">
        <f t="shared" si="1"/>
        <v>0</v>
      </c>
      <c r="AI44">
        <f t="shared" si="2"/>
        <v>0.7</v>
      </c>
      <c r="AJ44">
        <f t="shared" si="3"/>
        <v>0</v>
      </c>
      <c r="AK44">
        <f t="shared" si="4"/>
        <v>49893.721633416484</v>
      </c>
      <c r="AL44">
        <f t="shared" si="5"/>
        <v>0</v>
      </c>
      <c r="AM44">
        <f>MIN(MAX(0,$B$10-AL44)*AI44,'Retirement Gap'!$B$29)</f>
        <v>10850.278366583516</v>
      </c>
      <c r="AN44">
        <f>IF($E$40="B - Withdrawals + Roth conversions",AJ44*MAX(0,MIN($B$47-AL44,MIN($B$59,IRMAA!$C$16)-(AL44+$B$8*0.85+AK44*$B$46))),0)</f>
        <v>0</v>
      </c>
      <c r="AO44" cm="1">
        <f t="array" ref="AO44">_xlfn.LET(_xlpm.N,$B$49,_xlpm.R,$B$48,_xlpm.Start,$B$47,_xlpm.PlanWD,AL44,_xlpm.PlanRoth,AM44,_xlpm.PlanConv,AN44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0</v>
      </c>
      <c r="AP44" cm="1">
        <f t="array" ref="AP44">_xlfn.LET(_xlpm.N,$B$49,_xlpm.R,$B$48,_xlpm.Start,$B$47,_xlpm.PlanWD,AL44,_xlpm.PlanRoth,AM44,_xlpm.PlanConv,AN44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44" cm="1">
        <f t="array" ref="AQ44">_xlfn.LET(_xlpm.N,$B$49,_xlpm.R,$B$48,_xlpm.Start,$B$47,_xlpm.PlanWD,AL44,_xlpm.PlanRoth,AM44,_xlpm.PlanConv,AN44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1011052.2471213129</v>
      </c>
      <c r="AR44" cm="1">
        <f t="array" ref="AR44">_xlfn.LET(_xlpm.N,$B$49,_xlpm.R,$B$48,_xlpm.Start,$B$47,_xlpm.PlanWD,AL44,_xlpm.PlanRoth,AM44,_xlpm.PlanConv,AN44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1251763.0274820982</v>
      </c>
      <c r="AS44">
        <f>--AND(AK44&lt;=SUM('Retirement Gap'!$B$24:$B$25,'Retirement Gap'!$B$27),AL44+AN44&lt;=$B$47,AM44&lt;='Retirement Gap'!$B$29,ABS(AK44+AL44+AM44-$B$10)&lt;1)</f>
        <v>1</v>
      </c>
      <c r="AT44" cm="1">
        <f t="array" ref="AT44">IF(AS44=0,1E+99,_xlfn.SWITCH(LEFT($E$39,1),"1",AO44,"2",AP44*1000000000+AO44,"3",-AQ44,"4",AO44+AP44*25000+AR44*0.005-AQ44*0.0001,AO44))</f>
        <v>-1011052.2471213129</v>
      </c>
    </row>
    <row r="45" spans="1:46" x14ac:dyDescent="0.55000000000000004">
      <c r="A45" s="71" t="s">
        <v>547</v>
      </c>
      <c r="D45" s="74" t="s">
        <v>607</v>
      </c>
      <c r="E45" s="3" cm="1">
        <f t="array" ref="E45">INDEX($AM$2:$AM$727,_xlfn.XMATCH(MIN($AT$2:$AT$727),$AT$2:$AT$727))</f>
        <v>10850.278366583516</v>
      </c>
      <c r="AG45">
        <f t="shared" si="0"/>
        <v>44</v>
      </c>
      <c r="AH45">
        <f t="shared" si="1"/>
        <v>0</v>
      </c>
      <c r="AI45">
        <f t="shared" si="2"/>
        <v>0.7</v>
      </c>
      <c r="AJ45">
        <f t="shared" si="3"/>
        <v>0.2</v>
      </c>
      <c r="AK45">
        <f t="shared" si="4"/>
        <v>49893.721633416484</v>
      </c>
      <c r="AL45">
        <f t="shared" si="5"/>
        <v>0</v>
      </c>
      <c r="AM45">
        <f>MIN(MAX(0,$B$10-AL45)*AI45,'Retirement Gap'!$B$29)</f>
        <v>10850.278366583516</v>
      </c>
      <c r="AN45">
        <f>IF($E$40="B - Withdrawals + Roth conversions",AJ45*MAX(0,MIN($B$47-AL45,MIN($B$59,IRMAA!$C$16)-(AL45+$B$8*0.85+AK45*$B$46))),0)</f>
        <v>0</v>
      </c>
      <c r="AO45" cm="1">
        <f t="array" ref="AO45">_xlfn.LET(_xlpm.N,$B$49,_xlpm.R,$B$48,_xlpm.Start,$B$47,_xlpm.PlanWD,AL45,_xlpm.PlanRoth,AM45,_xlpm.PlanConv,AN45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0</v>
      </c>
      <c r="AP45" cm="1">
        <f t="array" ref="AP45">_xlfn.LET(_xlpm.N,$B$49,_xlpm.R,$B$48,_xlpm.Start,$B$47,_xlpm.PlanWD,AL45,_xlpm.PlanRoth,AM45,_xlpm.PlanConv,AN45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45" cm="1">
        <f t="array" ref="AQ45">_xlfn.LET(_xlpm.N,$B$49,_xlpm.R,$B$48,_xlpm.Start,$B$47,_xlpm.PlanWD,AL45,_xlpm.PlanRoth,AM45,_xlpm.PlanConv,AN45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1011052.2471213129</v>
      </c>
      <c r="AR45" cm="1">
        <f t="array" ref="AR45">_xlfn.LET(_xlpm.N,$B$49,_xlpm.R,$B$48,_xlpm.Start,$B$47,_xlpm.PlanWD,AL45,_xlpm.PlanRoth,AM45,_xlpm.PlanConv,AN45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1251763.0274820982</v>
      </c>
      <c r="AS45">
        <f>--AND(AK45&lt;=SUM('Retirement Gap'!$B$24:$B$25,'Retirement Gap'!$B$27),AL45+AN45&lt;=$B$47,AM45&lt;='Retirement Gap'!$B$29,ABS(AK45+AL45+AM45-$B$10)&lt;1)</f>
        <v>1</v>
      </c>
      <c r="AT45" cm="1">
        <f t="array" ref="AT45">IF(AS45=0,1E+99,_xlfn.SWITCH(LEFT($E$39,1),"1",AO45,"2",AP45*1000000000+AO45,"3",-AQ45,"4",AO45+AP45*25000+AR45*0.005-AQ45*0.0001,AO45))</f>
        <v>-1011052.2471213129</v>
      </c>
    </row>
    <row r="46" spans="1:46" ht="28.8" x14ac:dyDescent="0.55000000000000004">
      <c r="A46" s="50" t="s">
        <v>548</v>
      </c>
      <c r="B46" s="11">
        <v>0.25</v>
      </c>
      <c r="D46" s="74" t="s">
        <v>608</v>
      </c>
      <c r="E46" s="3" cm="1">
        <f t="array" ref="E46">INDEX($AN$2:$AN$727,_xlfn.XMATCH(MIN($AT$2:$AT$727),$AT$2:$AT$727))</f>
        <v>0</v>
      </c>
      <c r="AG46">
        <f t="shared" si="0"/>
        <v>45</v>
      </c>
      <c r="AH46">
        <f t="shared" si="1"/>
        <v>0</v>
      </c>
      <c r="AI46">
        <f t="shared" si="2"/>
        <v>0.7</v>
      </c>
      <c r="AJ46">
        <f t="shared" si="3"/>
        <v>0.4</v>
      </c>
      <c r="AK46">
        <f t="shared" si="4"/>
        <v>49893.721633416484</v>
      </c>
      <c r="AL46">
        <f t="shared" si="5"/>
        <v>0</v>
      </c>
      <c r="AM46">
        <f>MIN(MAX(0,$B$10-AL46)*AI46,'Retirement Gap'!$B$29)</f>
        <v>10850.278366583516</v>
      </c>
      <c r="AN46">
        <f>IF($E$40="B - Withdrawals + Roth conversions",AJ46*MAX(0,MIN($B$47-AL46,MIN($B$59,IRMAA!$C$16)-(AL46+$B$8*0.85+AK46*$B$46))),0)</f>
        <v>0</v>
      </c>
      <c r="AO46" cm="1">
        <f t="array" ref="AO46">_xlfn.LET(_xlpm.N,$B$49,_xlpm.R,$B$48,_xlpm.Start,$B$47,_xlpm.PlanWD,AL46,_xlpm.PlanRoth,AM46,_xlpm.PlanConv,AN46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0</v>
      </c>
      <c r="AP46" cm="1">
        <f t="array" ref="AP46">_xlfn.LET(_xlpm.N,$B$49,_xlpm.R,$B$48,_xlpm.Start,$B$47,_xlpm.PlanWD,AL46,_xlpm.PlanRoth,AM46,_xlpm.PlanConv,AN46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46" cm="1">
        <f t="array" ref="AQ46">_xlfn.LET(_xlpm.N,$B$49,_xlpm.R,$B$48,_xlpm.Start,$B$47,_xlpm.PlanWD,AL46,_xlpm.PlanRoth,AM46,_xlpm.PlanConv,AN46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1011052.2471213129</v>
      </c>
      <c r="AR46" cm="1">
        <f t="array" ref="AR46">_xlfn.LET(_xlpm.N,$B$49,_xlpm.R,$B$48,_xlpm.Start,$B$47,_xlpm.PlanWD,AL46,_xlpm.PlanRoth,AM46,_xlpm.PlanConv,AN46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1251763.0274820982</v>
      </c>
      <c r="AS46">
        <f>--AND(AK46&lt;=SUM('Retirement Gap'!$B$24:$B$25,'Retirement Gap'!$B$27),AL46+AN46&lt;=$B$47,AM46&lt;='Retirement Gap'!$B$29,ABS(AK46+AL46+AM46-$B$10)&lt;1)</f>
        <v>1</v>
      </c>
      <c r="AT46" cm="1">
        <f t="array" ref="AT46">IF(AS46=0,1E+99,_xlfn.SWITCH(LEFT($E$39,1),"1",AO46,"2",AP46*1000000000+AO46,"3",-AQ46,"4",AO46+AP46*25000+AR46*0.005-AQ46*0.0001,AO46))</f>
        <v>-1011052.2471213129</v>
      </c>
    </row>
    <row r="47" spans="1:46" ht="28.8" x14ac:dyDescent="0.55000000000000004">
      <c r="A47" s="50" t="s">
        <v>549</v>
      </c>
      <c r="B47" s="3">
        <f>'Retirement Gap'!B26</f>
        <v>935390.15277755668</v>
      </c>
      <c r="D47" s="74" t="s">
        <v>609</v>
      </c>
      <c r="E47" s="3" cm="1">
        <f t="array" ref="E47">INDEX($AO$2:$AO$727,_xlfn.XMATCH(MIN($AT$2:$AT$727),$AT$2:$AT$727))</f>
        <v>0</v>
      </c>
      <c r="AG47">
        <f t="shared" si="0"/>
        <v>46</v>
      </c>
      <c r="AH47">
        <f t="shared" si="1"/>
        <v>0</v>
      </c>
      <c r="AI47">
        <f t="shared" si="2"/>
        <v>0.7</v>
      </c>
      <c r="AJ47">
        <f t="shared" si="3"/>
        <v>0.6</v>
      </c>
      <c r="AK47">
        <f t="shared" si="4"/>
        <v>49893.721633416484</v>
      </c>
      <c r="AL47">
        <f t="shared" si="5"/>
        <v>0</v>
      </c>
      <c r="AM47">
        <f>MIN(MAX(0,$B$10-AL47)*AI47,'Retirement Gap'!$B$29)</f>
        <v>10850.278366583516</v>
      </c>
      <c r="AN47">
        <f>IF($E$40="B - Withdrawals + Roth conversions",AJ47*MAX(0,MIN($B$47-AL47,MIN($B$59,IRMAA!$C$16)-(AL47+$B$8*0.85+AK47*$B$46))),0)</f>
        <v>0</v>
      </c>
      <c r="AO47" cm="1">
        <f t="array" ref="AO47">_xlfn.LET(_xlpm.N,$B$49,_xlpm.R,$B$48,_xlpm.Start,$B$47,_xlpm.PlanWD,AL47,_xlpm.PlanRoth,AM47,_xlpm.PlanConv,AN47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0</v>
      </c>
      <c r="AP47" cm="1">
        <f t="array" ref="AP47">_xlfn.LET(_xlpm.N,$B$49,_xlpm.R,$B$48,_xlpm.Start,$B$47,_xlpm.PlanWD,AL47,_xlpm.PlanRoth,AM47,_xlpm.PlanConv,AN47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47" cm="1">
        <f t="array" ref="AQ47">_xlfn.LET(_xlpm.N,$B$49,_xlpm.R,$B$48,_xlpm.Start,$B$47,_xlpm.PlanWD,AL47,_xlpm.PlanRoth,AM47,_xlpm.PlanConv,AN47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1011052.2471213129</v>
      </c>
      <c r="AR47" cm="1">
        <f t="array" ref="AR47">_xlfn.LET(_xlpm.N,$B$49,_xlpm.R,$B$48,_xlpm.Start,$B$47,_xlpm.PlanWD,AL47,_xlpm.PlanRoth,AM47,_xlpm.PlanConv,AN47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1251763.0274820982</v>
      </c>
      <c r="AS47">
        <f>--AND(AK47&lt;=SUM('Retirement Gap'!$B$24:$B$25,'Retirement Gap'!$B$27),AL47+AN47&lt;=$B$47,AM47&lt;='Retirement Gap'!$B$29,ABS(AK47+AL47+AM47-$B$10)&lt;1)</f>
        <v>1</v>
      </c>
      <c r="AT47" cm="1">
        <f t="array" ref="AT47">IF(AS47=0,1E+99,_xlfn.SWITCH(LEFT($E$39,1),"1",AO47,"2",AP47*1000000000+AO47,"3",-AQ47,"4",AO47+AP47*25000+AR47*0.005-AQ47*0.0001,AO47))</f>
        <v>-1011052.2471213129</v>
      </c>
    </row>
    <row r="48" spans="1:46" x14ac:dyDescent="0.55000000000000004">
      <c r="A48" s="50" t="s">
        <v>550</v>
      </c>
      <c r="B48" s="72">
        <f>Inputs!B13</f>
        <v>0.06</v>
      </c>
      <c r="D48" s="74" t="s">
        <v>546</v>
      </c>
      <c r="E48" t="str" cm="1">
        <f t="array" ref="E48">"Tier "&amp;INDEX($AP$2:$AP$727,_xlfn.XMATCH(MIN($AT$2:$AT$727),$AT$2:$AT$727))</f>
        <v>Tier 0</v>
      </c>
      <c r="AG48">
        <f t="shared" si="0"/>
        <v>47</v>
      </c>
      <c r="AH48">
        <f t="shared" si="1"/>
        <v>0</v>
      </c>
      <c r="AI48">
        <f t="shared" si="2"/>
        <v>0.7</v>
      </c>
      <c r="AJ48">
        <f t="shared" si="3"/>
        <v>0.8</v>
      </c>
      <c r="AK48">
        <f t="shared" si="4"/>
        <v>49893.721633416484</v>
      </c>
      <c r="AL48">
        <f t="shared" si="5"/>
        <v>0</v>
      </c>
      <c r="AM48">
        <f>MIN(MAX(0,$B$10-AL48)*AI48,'Retirement Gap'!$B$29)</f>
        <v>10850.278366583516</v>
      </c>
      <c r="AN48">
        <f>IF($E$40="B - Withdrawals + Roth conversions",AJ48*MAX(0,MIN($B$47-AL48,MIN($B$59,IRMAA!$C$16)-(AL48+$B$8*0.85+AK48*$B$46))),0)</f>
        <v>0</v>
      </c>
      <c r="AO48" cm="1">
        <f t="array" ref="AO48">_xlfn.LET(_xlpm.N,$B$49,_xlpm.R,$B$48,_xlpm.Start,$B$47,_xlpm.PlanWD,AL48,_xlpm.PlanRoth,AM48,_xlpm.PlanConv,AN48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0</v>
      </c>
      <c r="AP48" cm="1">
        <f t="array" ref="AP48">_xlfn.LET(_xlpm.N,$B$49,_xlpm.R,$B$48,_xlpm.Start,$B$47,_xlpm.PlanWD,AL48,_xlpm.PlanRoth,AM48,_xlpm.PlanConv,AN48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48" cm="1">
        <f t="array" ref="AQ48">_xlfn.LET(_xlpm.N,$B$49,_xlpm.R,$B$48,_xlpm.Start,$B$47,_xlpm.PlanWD,AL48,_xlpm.PlanRoth,AM48,_xlpm.PlanConv,AN48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1011052.2471213129</v>
      </c>
      <c r="AR48" cm="1">
        <f t="array" ref="AR48">_xlfn.LET(_xlpm.N,$B$49,_xlpm.R,$B$48,_xlpm.Start,$B$47,_xlpm.PlanWD,AL48,_xlpm.PlanRoth,AM48,_xlpm.PlanConv,AN48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1251763.0274820982</v>
      </c>
      <c r="AS48">
        <f>--AND(AK48&lt;=SUM('Retirement Gap'!$B$24:$B$25,'Retirement Gap'!$B$27),AL48+AN48&lt;=$B$47,AM48&lt;='Retirement Gap'!$B$29,ABS(AK48+AL48+AM48-$B$10)&lt;1)</f>
        <v>1</v>
      </c>
      <c r="AT48" cm="1">
        <f t="array" ref="AT48">IF(AS48=0,1E+99,_xlfn.SWITCH(LEFT($E$39,1),"1",AO48,"2",AP48*1000000000+AO48,"3",-AQ48,"4",AO48+AP48*25000+AR48*0.005-AQ48*0.0001,AO48))</f>
        <v>-1011052.2471213129</v>
      </c>
    </row>
    <row r="49" spans="1:46" ht="28.8" x14ac:dyDescent="0.55000000000000004">
      <c r="A49" s="50" t="s">
        <v>551</v>
      </c>
      <c r="B49" s="6" cm="1">
        <f t="array" ref="B49">_xlfn.SWITCH($B$31,"One-year",1,"Through age 70",MAX(1,$B$27-Inputs!$B$8),"Full lifetime",MAX(1,Inputs!$B$9-Inputs!$B$8),1)</f>
        <v>5</v>
      </c>
      <c r="D49" s="74" t="s">
        <v>610</v>
      </c>
      <c r="E49" s="3" cm="1">
        <f t="array" ref="E49">INDEX($AQ$2:$AQ$727,_xlfn.XMATCH(MIN($AT$2:$AT$727),$AT$2:$AT$727))</f>
        <v>1011052.2471213129</v>
      </c>
      <c r="AG49">
        <f t="shared" si="0"/>
        <v>48</v>
      </c>
      <c r="AH49">
        <f t="shared" si="1"/>
        <v>0</v>
      </c>
      <c r="AI49">
        <f t="shared" si="2"/>
        <v>0.7</v>
      </c>
      <c r="AJ49">
        <f t="shared" si="3"/>
        <v>1</v>
      </c>
      <c r="AK49">
        <f t="shared" si="4"/>
        <v>49893.721633416484</v>
      </c>
      <c r="AL49">
        <f t="shared" si="5"/>
        <v>0</v>
      </c>
      <c r="AM49">
        <f>MIN(MAX(0,$B$10-AL49)*AI49,'Retirement Gap'!$B$29)</f>
        <v>10850.278366583516</v>
      </c>
      <c r="AN49">
        <f>IF($E$40="B - Withdrawals + Roth conversions",AJ49*MAX(0,MIN($B$47-AL49,MIN($B$59,IRMAA!$C$16)-(AL49+$B$8*0.85+AK49*$B$46))),0)</f>
        <v>0</v>
      </c>
      <c r="AO49" cm="1">
        <f t="array" ref="AO49">_xlfn.LET(_xlpm.N,$B$49,_xlpm.R,$B$48,_xlpm.Start,$B$47,_xlpm.PlanWD,AL49,_xlpm.PlanRoth,AM49,_xlpm.PlanConv,AN49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0</v>
      </c>
      <c r="AP49" cm="1">
        <f t="array" ref="AP49">_xlfn.LET(_xlpm.N,$B$49,_xlpm.R,$B$48,_xlpm.Start,$B$47,_xlpm.PlanWD,AL49,_xlpm.PlanRoth,AM49,_xlpm.PlanConv,AN49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49" cm="1">
        <f t="array" ref="AQ49">_xlfn.LET(_xlpm.N,$B$49,_xlpm.R,$B$48,_xlpm.Start,$B$47,_xlpm.PlanWD,AL49,_xlpm.PlanRoth,AM49,_xlpm.PlanConv,AN49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1011052.2471213129</v>
      </c>
      <c r="AR49" cm="1">
        <f t="array" ref="AR49">_xlfn.LET(_xlpm.N,$B$49,_xlpm.R,$B$48,_xlpm.Start,$B$47,_xlpm.PlanWD,AL49,_xlpm.PlanRoth,AM49,_xlpm.PlanConv,AN49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1251763.0274820982</v>
      </c>
      <c r="AS49">
        <f>--AND(AK49&lt;=SUM('Retirement Gap'!$B$24:$B$25,'Retirement Gap'!$B$27),AL49+AN49&lt;=$B$47,AM49&lt;='Retirement Gap'!$B$29,ABS(AK49+AL49+AM49-$B$10)&lt;1)</f>
        <v>1</v>
      </c>
      <c r="AT49" cm="1">
        <f t="array" ref="AT49">IF(AS49=0,1E+99,_xlfn.SWITCH(LEFT($E$39,1),"1",AO49,"2",AP49*1000000000+AO49,"3",-AQ49,"4",AO49+AP49*25000+AR49*0.005-AQ49*0.0001,AO49))</f>
        <v>-1011052.2471213129</v>
      </c>
    </row>
    <row r="50" spans="1:46" ht="28.8" x14ac:dyDescent="0.55000000000000004">
      <c r="A50" s="50" t="s">
        <v>552</v>
      </c>
      <c r="B50" s="50" t="s">
        <v>554</v>
      </c>
      <c r="D50" s="74" t="s">
        <v>611</v>
      </c>
      <c r="E50" s="3" cm="1">
        <f t="array" ref="E50">INDEX($AR$2:$AR$727,_xlfn.XMATCH(MIN($AT$2:$AT$727),$AT$2:$AT$727))</f>
        <v>1251763.0274820982</v>
      </c>
      <c r="AG50">
        <f t="shared" si="0"/>
        <v>49</v>
      </c>
      <c r="AH50">
        <f t="shared" si="1"/>
        <v>0</v>
      </c>
      <c r="AI50">
        <f t="shared" si="2"/>
        <v>0.8</v>
      </c>
      <c r="AJ50">
        <f t="shared" si="3"/>
        <v>0</v>
      </c>
      <c r="AK50">
        <f t="shared" si="4"/>
        <v>49893.721633416484</v>
      </c>
      <c r="AL50">
        <f t="shared" si="5"/>
        <v>0</v>
      </c>
      <c r="AM50">
        <f>MIN(MAX(0,$B$10-AL50)*AI50,'Retirement Gap'!$B$29)</f>
        <v>10850.278366583516</v>
      </c>
      <c r="AN50">
        <f>IF($E$40="B - Withdrawals + Roth conversions",AJ50*MAX(0,MIN($B$47-AL50,MIN($B$59,IRMAA!$C$16)-(AL50+$B$8*0.85+AK50*$B$46))),0)</f>
        <v>0</v>
      </c>
      <c r="AO50" cm="1">
        <f t="array" ref="AO50">_xlfn.LET(_xlpm.N,$B$49,_xlpm.R,$B$48,_xlpm.Start,$B$47,_xlpm.PlanWD,AL50,_xlpm.PlanRoth,AM50,_xlpm.PlanConv,AN50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0</v>
      </c>
      <c r="AP50" cm="1">
        <f t="array" ref="AP50">_xlfn.LET(_xlpm.N,$B$49,_xlpm.R,$B$48,_xlpm.Start,$B$47,_xlpm.PlanWD,AL50,_xlpm.PlanRoth,AM50,_xlpm.PlanConv,AN50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50" cm="1">
        <f t="array" ref="AQ50">_xlfn.LET(_xlpm.N,$B$49,_xlpm.R,$B$48,_xlpm.Start,$B$47,_xlpm.PlanWD,AL50,_xlpm.PlanRoth,AM50,_xlpm.PlanConv,AN50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1011052.2471213129</v>
      </c>
      <c r="AR50" cm="1">
        <f t="array" ref="AR50">_xlfn.LET(_xlpm.N,$B$49,_xlpm.R,$B$48,_xlpm.Start,$B$47,_xlpm.PlanWD,AL50,_xlpm.PlanRoth,AM50,_xlpm.PlanConv,AN50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1251763.0274820982</v>
      </c>
      <c r="AS50">
        <f>--AND(AK50&lt;=SUM('Retirement Gap'!$B$24:$B$25,'Retirement Gap'!$B$27),AL50+AN50&lt;=$B$47,AM50&lt;='Retirement Gap'!$B$29,ABS(AK50+AL50+AM50-$B$10)&lt;1)</f>
        <v>1</v>
      </c>
      <c r="AT50" cm="1">
        <f t="array" ref="AT50">IF(AS50=0,1E+99,_xlfn.SWITCH(LEFT($E$39,1),"1",AO50,"2",AP50*1000000000+AO50,"3",-AQ50,"4",AO50+AP50*25000+AR50*0.005-AQ50*0.0001,AO50))</f>
        <v>-1011052.2471213129</v>
      </c>
    </row>
    <row r="51" spans="1:46" ht="72" x14ac:dyDescent="0.55000000000000004">
      <c r="A51" s="50" t="s">
        <v>553</v>
      </c>
      <c r="B51" s="73" t="s">
        <v>579</v>
      </c>
      <c r="D51" s="74" t="s">
        <v>583</v>
      </c>
      <c r="E51" s="50" t="str">
        <f>"Follows the "&amp;LOWER($B$31)&amp;" comparison basis. Planned withdrawals are optimized before RMD age; mandatory RMDs override the pre-tax amount from age "&amp;RMD!$B$9&amp;" onward. "&amp;IF($E$40="A - Withdrawals only","Roth conversions are excluded.","Roth conversions are included within bracket and IRMAA headroom.")</f>
        <v>Follows the through age 70 comparison basis. Planned withdrawals are optimized before RMD age; mandatory RMDs override the pre-tax amount from age 75 onward. Roth conversions are excluded.</v>
      </c>
      <c r="AG51">
        <f t="shared" si="0"/>
        <v>50</v>
      </c>
      <c r="AH51">
        <f t="shared" si="1"/>
        <v>0</v>
      </c>
      <c r="AI51">
        <f t="shared" si="2"/>
        <v>0.8</v>
      </c>
      <c r="AJ51">
        <f t="shared" si="3"/>
        <v>0.2</v>
      </c>
      <c r="AK51">
        <f t="shared" si="4"/>
        <v>49893.721633416484</v>
      </c>
      <c r="AL51">
        <f t="shared" si="5"/>
        <v>0</v>
      </c>
      <c r="AM51">
        <f>MIN(MAX(0,$B$10-AL51)*AI51,'Retirement Gap'!$B$29)</f>
        <v>10850.278366583516</v>
      </c>
      <c r="AN51">
        <f>IF($E$40="B - Withdrawals + Roth conversions",AJ51*MAX(0,MIN($B$47-AL51,MIN($B$59,IRMAA!$C$16)-(AL51+$B$8*0.85+AK51*$B$46))),0)</f>
        <v>0</v>
      </c>
      <c r="AO51" cm="1">
        <f t="array" ref="AO51">_xlfn.LET(_xlpm.N,$B$49,_xlpm.R,$B$48,_xlpm.Start,$B$47,_xlpm.PlanWD,AL51,_xlpm.PlanRoth,AM51,_xlpm.PlanConv,AN51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0</v>
      </c>
      <c r="AP51" cm="1">
        <f t="array" ref="AP51">_xlfn.LET(_xlpm.N,$B$49,_xlpm.R,$B$48,_xlpm.Start,$B$47,_xlpm.PlanWD,AL51,_xlpm.PlanRoth,AM51,_xlpm.PlanConv,AN51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51" cm="1">
        <f t="array" ref="AQ51">_xlfn.LET(_xlpm.N,$B$49,_xlpm.R,$B$48,_xlpm.Start,$B$47,_xlpm.PlanWD,AL51,_xlpm.PlanRoth,AM51,_xlpm.PlanConv,AN51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1011052.2471213129</v>
      </c>
      <c r="AR51" cm="1">
        <f t="array" ref="AR51">_xlfn.LET(_xlpm.N,$B$49,_xlpm.R,$B$48,_xlpm.Start,$B$47,_xlpm.PlanWD,AL51,_xlpm.PlanRoth,AM51,_xlpm.PlanConv,AN51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1251763.0274820982</v>
      </c>
      <c r="AS51">
        <f>--AND(AK51&lt;=SUM('Retirement Gap'!$B$24:$B$25,'Retirement Gap'!$B$27),AL51+AN51&lt;=$B$47,AM51&lt;='Retirement Gap'!$B$29,ABS(AK51+AL51+AM51-$B$10)&lt;1)</f>
        <v>1</v>
      </c>
      <c r="AT51" cm="1">
        <f t="array" ref="AT51">IF(AS51=0,1E+99,_xlfn.SWITCH(LEFT($E$39,1),"1",AO51,"2",AP51*1000000000+AO51,"3",-AQ51,"4",AO51+AP51*25000+AR51*0.005-AQ51*0.0001,AO51))</f>
        <v>-1011052.2471213129</v>
      </c>
    </row>
    <row r="52" spans="1:46" x14ac:dyDescent="0.55000000000000004">
      <c r="B52" s="73"/>
      <c r="AG52">
        <f t="shared" si="0"/>
        <v>51</v>
      </c>
      <c r="AH52">
        <f t="shared" si="1"/>
        <v>0</v>
      </c>
      <c r="AI52">
        <f t="shared" si="2"/>
        <v>0.8</v>
      </c>
      <c r="AJ52">
        <f t="shared" si="3"/>
        <v>0.4</v>
      </c>
      <c r="AK52">
        <f t="shared" si="4"/>
        <v>49893.721633416484</v>
      </c>
      <c r="AL52">
        <f t="shared" si="5"/>
        <v>0</v>
      </c>
      <c r="AM52">
        <f>MIN(MAX(0,$B$10-AL52)*AI52,'Retirement Gap'!$B$29)</f>
        <v>10850.278366583516</v>
      </c>
      <c r="AN52">
        <f>IF($E$40="B - Withdrawals + Roth conversions",AJ52*MAX(0,MIN($B$47-AL52,MIN($B$59,IRMAA!$C$16)-(AL52+$B$8*0.85+AK52*$B$46))),0)</f>
        <v>0</v>
      </c>
      <c r="AO52" cm="1">
        <f t="array" ref="AO52">_xlfn.LET(_xlpm.N,$B$49,_xlpm.R,$B$48,_xlpm.Start,$B$47,_xlpm.PlanWD,AL52,_xlpm.PlanRoth,AM52,_xlpm.PlanConv,AN52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0</v>
      </c>
      <c r="AP52" cm="1">
        <f t="array" ref="AP52">_xlfn.LET(_xlpm.N,$B$49,_xlpm.R,$B$48,_xlpm.Start,$B$47,_xlpm.PlanWD,AL52,_xlpm.PlanRoth,AM52,_xlpm.PlanConv,AN52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52" cm="1">
        <f t="array" ref="AQ52">_xlfn.LET(_xlpm.N,$B$49,_xlpm.R,$B$48,_xlpm.Start,$B$47,_xlpm.PlanWD,AL52,_xlpm.PlanRoth,AM52,_xlpm.PlanConv,AN52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1011052.2471213129</v>
      </c>
      <c r="AR52" cm="1">
        <f t="array" ref="AR52">_xlfn.LET(_xlpm.N,$B$49,_xlpm.R,$B$48,_xlpm.Start,$B$47,_xlpm.PlanWD,AL52,_xlpm.PlanRoth,AM52,_xlpm.PlanConv,AN52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1251763.0274820982</v>
      </c>
      <c r="AS52">
        <f>--AND(AK52&lt;=SUM('Retirement Gap'!$B$24:$B$25,'Retirement Gap'!$B$27),AL52+AN52&lt;=$B$47,AM52&lt;='Retirement Gap'!$B$29,ABS(AK52+AL52+AM52-$B$10)&lt;1)</f>
        <v>1</v>
      </c>
      <c r="AT52" cm="1">
        <f t="array" ref="AT52">IF(AS52=0,1E+99,_xlfn.SWITCH(LEFT($E$39,1),"1",AO52,"2",AP52*1000000000+AO52,"3",-AQ52,"4",AO52+AP52*25000+AR52*0.005-AQ52*0.0001,AO52))</f>
        <v>-1011052.2471213129</v>
      </c>
    </row>
    <row r="53" spans="1:46" x14ac:dyDescent="0.55000000000000004">
      <c r="A53" s="71" t="s">
        <v>151</v>
      </c>
      <c r="AG53">
        <f t="shared" si="0"/>
        <v>52</v>
      </c>
      <c r="AH53">
        <f t="shared" si="1"/>
        <v>0</v>
      </c>
      <c r="AI53">
        <f t="shared" si="2"/>
        <v>0.8</v>
      </c>
      <c r="AJ53">
        <f t="shared" si="3"/>
        <v>0.6</v>
      </c>
      <c r="AK53">
        <f t="shared" si="4"/>
        <v>49893.721633416484</v>
      </c>
      <c r="AL53">
        <f t="shared" si="5"/>
        <v>0</v>
      </c>
      <c r="AM53">
        <f>MIN(MAX(0,$B$10-AL53)*AI53,'Retirement Gap'!$B$29)</f>
        <v>10850.278366583516</v>
      </c>
      <c r="AN53">
        <f>IF($E$40="B - Withdrawals + Roth conversions",AJ53*MAX(0,MIN($B$47-AL53,MIN($B$59,IRMAA!$C$16)-(AL53+$B$8*0.85+AK53*$B$46))),0)</f>
        <v>0</v>
      </c>
      <c r="AO53" cm="1">
        <f t="array" ref="AO53">_xlfn.LET(_xlpm.N,$B$49,_xlpm.R,$B$48,_xlpm.Start,$B$47,_xlpm.PlanWD,AL53,_xlpm.PlanRoth,AM53,_xlpm.PlanConv,AN53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0</v>
      </c>
      <c r="AP53" cm="1">
        <f t="array" ref="AP53">_xlfn.LET(_xlpm.N,$B$49,_xlpm.R,$B$48,_xlpm.Start,$B$47,_xlpm.PlanWD,AL53,_xlpm.PlanRoth,AM53,_xlpm.PlanConv,AN53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53" cm="1">
        <f t="array" ref="AQ53">_xlfn.LET(_xlpm.N,$B$49,_xlpm.R,$B$48,_xlpm.Start,$B$47,_xlpm.PlanWD,AL53,_xlpm.PlanRoth,AM53,_xlpm.PlanConv,AN53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1011052.2471213129</v>
      </c>
      <c r="AR53" cm="1">
        <f t="array" ref="AR53">_xlfn.LET(_xlpm.N,$B$49,_xlpm.R,$B$48,_xlpm.Start,$B$47,_xlpm.PlanWD,AL53,_xlpm.PlanRoth,AM53,_xlpm.PlanConv,AN53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1251763.0274820982</v>
      </c>
      <c r="AS53">
        <f>--AND(AK53&lt;=SUM('Retirement Gap'!$B$24:$B$25,'Retirement Gap'!$B$27),AL53+AN53&lt;=$B$47,AM53&lt;='Retirement Gap'!$B$29,ABS(AK53+AL53+AM53-$B$10)&lt;1)</f>
        <v>1</v>
      </c>
      <c r="AT53" cm="1">
        <f t="array" ref="AT53">IF(AS53=0,1E+99,_xlfn.SWITCH(LEFT($E$39,1),"1",AO53,"2",AP53*1000000000+AO53,"3",-AQ53,"4",AO53+AP53*25000+AR53*0.005-AQ53*0.0001,AO53))</f>
        <v>-1011052.2471213129</v>
      </c>
    </row>
    <row r="54" spans="1:46" ht="28.8" x14ac:dyDescent="0.55000000000000004">
      <c r="A54" s="50" t="s">
        <v>290</v>
      </c>
      <c r="B54" s="73"/>
      <c r="C54" s="50"/>
      <c r="D54" s="50"/>
      <c r="E54" s="50"/>
      <c r="F54" s="50"/>
      <c r="AG54">
        <f t="shared" si="0"/>
        <v>53</v>
      </c>
      <c r="AH54">
        <f t="shared" si="1"/>
        <v>0</v>
      </c>
      <c r="AI54">
        <f t="shared" si="2"/>
        <v>0.8</v>
      </c>
      <c r="AJ54">
        <f t="shared" si="3"/>
        <v>0.8</v>
      </c>
      <c r="AK54">
        <f t="shared" si="4"/>
        <v>49893.721633416484</v>
      </c>
      <c r="AL54">
        <f t="shared" si="5"/>
        <v>0</v>
      </c>
      <c r="AM54">
        <f>MIN(MAX(0,$B$10-AL54)*AI54,'Retirement Gap'!$B$29)</f>
        <v>10850.278366583516</v>
      </c>
      <c r="AN54">
        <f>IF($E$40="B - Withdrawals + Roth conversions",AJ54*MAX(0,MIN($B$47-AL54,MIN($B$59,IRMAA!$C$16)-(AL54+$B$8*0.85+AK54*$B$46))),0)</f>
        <v>0</v>
      </c>
      <c r="AO54" cm="1">
        <f t="array" ref="AO54">_xlfn.LET(_xlpm.N,$B$49,_xlpm.R,$B$48,_xlpm.Start,$B$47,_xlpm.PlanWD,AL54,_xlpm.PlanRoth,AM54,_xlpm.PlanConv,AN54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0</v>
      </c>
      <c r="AP54" cm="1">
        <f t="array" ref="AP54">_xlfn.LET(_xlpm.N,$B$49,_xlpm.R,$B$48,_xlpm.Start,$B$47,_xlpm.PlanWD,AL54,_xlpm.PlanRoth,AM54,_xlpm.PlanConv,AN54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54" cm="1">
        <f t="array" ref="AQ54">_xlfn.LET(_xlpm.N,$B$49,_xlpm.R,$B$48,_xlpm.Start,$B$47,_xlpm.PlanWD,AL54,_xlpm.PlanRoth,AM54,_xlpm.PlanConv,AN54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1011052.2471213129</v>
      </c>
      <c r="AR54" cm="1">
        <f t="array" ref="AR54">_xlfn.LET(_xlpm.N,$B$49,_xlpm.R,$B$48,_xlpm.Start,$B$47,_xlpm.PlanWD,AL54,_xlpm.PlanRoth,AM54,_xlpm.PlanConv,AN54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1251763.0274820982</v>
      </c>
      <c r="AS54">
        <f>--AND(AK54&lt;=SUM('Retirement Gap'!$B$24:$B$25,'Retirement Gap'!$B$27),AL54+AN54&lt;=$B$47,AM54&lt;='Retirement Gap'!$B$29,ABS(AK54+AL54+AM54-$B$10)&lt;1)</f>
        <v>1</v>
      </c>
      <c r="AT54" cm="1">
        <f t="array" ref="AT54">IF(AS54=0,1E+99,_xlfn.SWITCH(LEFT($E$39,1),"1",AO54,"2",AP54*1000000000+AO54,"3",-AQ54,"4",AO54+AP54*25000+AR54*0.005-AQ54*0.0001,AO54))</f>
        <v>-1011052.2471213129</v>
      </c>
    </row>
    <row r="55" spans="1:46" x14ac:dyDescent="0.55000000000000004">
      <c r="A55" s="50" t="s">
        <v>291</v>
      </c>
      <c r="B55" s="73"/>
      <c r="C55" s="50"/>
      <c r="D55" s="50"/>
      <c r="E55" s="50"/>
      <c r="F55" s="50"/>
      <c r="AG55">
        <f t="shared" si="0"/>
        <v>54</v>
      </c>
      <c r="AH55">
        <f t="shared" si="1"/>
        <v>0</v>
      </c>
      <c r="AI55">
        <f t="shared" si="2"/>
        <v>0.8</v>
      </c>
      <c r="AJ55">
        <f t="shared" si="3"/>
        <v>1</v>
      </c>
      <c r="AK55">
        <f t="shared" si="4"/>
        <v>49893.721633416484</v>
      </c>
      <c r="AL55">
        <f t="shared" si="5"/>
        <v>0</v>
      </c>
      <c r="AM55">
        <f>MIN(MAX(0,$B$10-AL55)*AI55,'Retirement Gap'!$B$29)</f>
        <v>10850.278366583516</v>
      </c>
      <c r="AN55">
        <f>IF($E$40="B - Withdrawals + Roth conversions",AJ55*MAX(0,MIN($B$47-AL55,MIN($B$59,IRMAA!$C$16)-(AL55+$B$8*0.85+AK55*$B$46))),0)</f>
        <v>0</v>
      </c>
      <c r="AO55" cm="1">
        <f t="array" ref="AO55">_xlfn.LET(_xlpm.N,$B$49,_xlpm.R,$B$48,_xlpm.Start,$B$47,_xlpm.PlanWD,AL55,_xlpm.PlanRoth,AM55,_xlpm.PlanConv,AN55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0</v>
      </c>
      <c r="AP55" cm="1">
        <f t="array" ref="AP55">_xlfn.LET(_xlpm.N,$B$49,_xlpm.R,$B$48,_xlpm.Start,$B$47,_xlpm.PlanWD,AL55,_xlpm.PlanRoth,AM55,_xlpm.PlanConv,AN55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55" cm="1">
        <f t="array" ref="AQ55">_xlfn.LET(_xlpm.N,$B$49,_xlpm.R,$B$48,_xlpm.Start,$B$47,_xlpm.PlanWD,AL55,_xlpm.PlanRoth,AM55,_xlpm.PlanConv,AN55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1011052.2471213129</v>
      </c>
      <c r="AR55" cm="1">
        <f t="array" ref="AR55">_xlfn.LET(_xlpm.N,$B$49,_xlpm.R,$B$48,_xlpm.Start,$B$47,_xlpm.PlanWD,AL55,_xlpm.PlanRoth,AM55,_xlpm.PlanConv,AN55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1251763.0274820982</v>
      </c>
      <c r="AS55">
        <f>--AND(AK55&lt;=SUM('Retirement Gap'!$B$24:$B$25,'Retirement Gap'!$B$27),AL55+AN55&lt;=$B$47,AM55&lt;='Retirement Gap'!$B$29,ABS(AK55+AL55+AM55-$B$10)&lt;1)</f>
        <v>1</v>
      </c>
      <c r="AT55" cm="1">
        <f t="array" ref="AT55">IF(AS55=0,1E+99,_xlfn.SWITCH(LEFT($E$39,1),"1",AO55,"2",AP55*1000000000+AO55,"3",-AQ55,"4",AO55+AP55*25000+AR55*0.005-AQ55*0.0001,AO55))</f>
        <v>-1011052.2471213129</v>
      </c>
    </row>
    <row r="56" spans="1:46" ht="43.2" x14ac:dyDescent="0.55000000000000004">
      <c r="A56" s="50" t="s">
        <v>152</v>
      </c>
      <c r="B56" s="73" t="s">
        <v>542</v>
      </c>
      <c r="AG56">
        <f t="shared" si="0"/>
        <v>55</v>
      </c>
      <c r="AH56">
        <f t="shared" si="1"/>
        <v>0</v>
      </c>
      <c r="AI56">
        <f t="shared" si="2"/>
        <v>0.9</v>
      </c>
      <c r="AJ56">
        <f t="shared" si="3"/>
        <v>0</v>
      </c>
      <c r="AK56">
        <f t="shared" si="4"/>
        <v>49893.721633416484</v>
      </c>
      <c r="AL56">
        <f t="shared" si="5"/>
        <v>0</v>
      </c>
      <c r="AM56">
        <f>MIN(MAX(0,$B$10-AL56)*AI56,'Retirement Gap'!$B$29)</f>
        <v>10850.278366583516</v>
      </c>
      <c r="AN56">
        <f>IF($E$40="B - Withdrawals + Roth conversions",AJ56*MAX(0,MIN($B$47-AL56,MIN($B$59,IRMAA!$C$16)-(AL56+$B$8*0.85+AK56*$B$46))),0)</f>
        <v>0</v>
      </c>
      <c r="AO56" cm="1">
        <f t="array" ref="AO56">_xlfn.LET(_xlpm.N,$B$49,_xlpm.R,$B$48,_xlpm.Start,$B$47,_xlpm.PlanWD,AL56,_xlpm.PlanRoth,AM56,_xlpm.PlanConv,AN56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0</v>
      </c>
      <c r="AP56" cm="1">
        <f t="array" ref="AP56">_xlfn.LET(_xlpm.N,$B$49,_xlpm.R,$B$48,_xlpm.Start,$B$47,_xlpm.PlanWD,AL56,_xlpm.PlanRoth,AM56,_xlpm.PlanConv,AN56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56" cm="1">
        <f t="array" ref="AQ56">_xlfn.LET(_xlpm.N,$B$49,_xlpm.R,$B$48,_xlpm.Start,$B$47,_xlpm.PlanWD,AL56,_xlpm.PlanRoth,AM56,_xlpm.PlanConv,AN56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1011052.2471213129</v>
      </c>
      <c r="AR56" cm="1">
        <f t="array" ref="AR56">_xlfn.LET(_xlpm.N,$B$49,_xlpm.R,$B$48,_xlpm.Start,$B$47,_xlpm.PlanWD,AL56,_xlpm.PlanRoth,AM56,_xlpm.PlanConv,AN56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1251763.0274820982</v>
      </c>
      <c r="AS56">
        <f>--AND(AK56&lt;=SUM('Retirement Gap'!$B$24:$B$25,'Retirement Gap'!$B$27),AL56+AN56&lt;=$B$47,AM56&lt;='Retirement Gap'!$B$29,ABS(AK56+AL56+AM56-$B$10)&lt;1)</f>
        <v>1</v>
      </c>
      <c r="AT56" cm="1">
        <f t="array" ref="AT56">IF(AS56=0,1E+99,_xlfn.SWITCH(LEFT($E$39,1),"1",AO56,"2",AP56*1000000000+AO56,"3",-AQ56,"4",AO56+AP56*25000+AR56*0.005-AQ56*0.0001,AO56))</f>
        <v>-1011052.2471213129</v>
      </c>
    </row>
    <row r="57" spans="1:46" x14ac:dyDescent="0.55000000000000004">
      <c r="B57" s="73"/>
      <c r="AG57">
        <f t="shared" si="0"/>
        <v>56</v>
      </c>
      <c r="AH57">
        <f t="shared" si="1"/>
        <v>0</v>
      </c>
      <c r="AI57">
        <f t="shared" si="2"/>
        <v>0.9</v>
      </c>
      <c r="AJ57">
        <f t="shared" si="3"/>
        <v>0.2</v>
      </c>
      <c r="AK57">
        <f t="shared" si="4"/>
        <v>49893.721633416484</v>
      </c>
      <c r="AL57">
        <f t="shared" si="5"/>
        <v>0</v>
      </c>
      <c r="AM57">
        <f>MIN(MAX(0,$B$10-AL57)*AI57,'Retirement Gap'!$B$29)</f>
        <v>10850.278366583516</v>
      </c>
      <c r="AN57">
        <f>IF($E$40="B - Withdrawals + Roth conversions",AJ57*MAX(0,MIN($B$47-AL57,MIN($B$59,IRMAA!$C$16)-(AL57+$B$8*0.85+AK57*$B$46))),0)</f>
        <v>0</v>
      </c>
      <c r="AO57" cm="1">
        <f t="array" ref="AO57">_xlfn.LET(_xlpm.N,$B$49,_xlpm.R,$B$48,_xlpm.Start,$B$47,_xlpm.PlanWD,AL57,_xlpm.PlanRoth,AM57,_xlpm.PlanConv,AN57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0</v>
      </c>
      <c r="AP57" cm="1">
        <f t="array" ref="AP57">_xlfn.LET(_xlpm.N,$B$49,_xlpm.R,$B$48,_xlpm.Start,$B$47,_xlpm.PlanWD,AL57,_xlpm.PlanRoth,AM57,_xlpm.PlanConv,AN57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57" cm="1">
        <f t="array" ref="AQ57">_xlfn.LET(_xlpm.N,$B$49,_xlpm.R,$B$48,_xlpm.Start,$B$47,_xlpm.PlanWD,AL57,_xlpm.PlanRoth,AM57,_xlpm.PlanConv,AN57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1011052.2471213129</v>
      </c>
      <c r="AR57" cm="1">
        <f t="array" ref="AR57">_xlfn.LET(_xlpm.N,$B$49,_xlpm.R,$B$48,_xlpm.Start,$B$47,_xlpm.PlanWD,AL57,_xlpm.PlanRoth,AM57,_xlpm.PlanConv,AN57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1251763.0274820982</v>
      </c>
      <c r="AS57">
        <f>--AND(AK57&lt;=SUM('Retirement Gap'!$B$24:$B$25,'Retirement Gap'!$B$27),AL57+AN57&lt;=$B$47,AM57&lt;='Retirement Gap'!$B$29,ABS(AK57+AL57+AM57-$B$10)&lt;1)</f>
        <v>1</v>
      </c>
      <c r="AT57" cm="1">
        <f t="array" ref="AT57">IF(AS57=0,1E+99,_xlfn.SWITCH(LEFT($E$39,1),"1",AO57,"2",AP57*1000000000+AO57,"3",-AQ57,"4",AO57+AP57*25000+AR57*0.005-AQ57*0.0001,AO57))</f>
        <v>-1011052.2471213129</v>
      </c>
    </row>
    <row r="58" spans="1:46" ht="28.8" x14ac:dyDescent="0.55000000000000004">
      <c r="A58" s="50" t="s">
        <v>292</v>
      </c>
      <c r="B58" s="73"/>
      <c r="AG58">
        <f t="shared" si="0"/>
        <v>57</v>
      </c>
      <c r="AH58">
        <f t="shared" si="1"/>
        <v>0</v>
      </c>
      <c r="AI58">
        <f t="shared" si="2"/>
        <v>0.9</v>
      </c>
      <c r="AJ58">
        <f t="shared" si="3"/>
        <v>0.4</v>
      </c>
      <c r="AK58">
        <f t="shared" si="4"/>
        <v>49893.721633416484</v>
      </c>
      <c r="AL58">
        <f t="shared" si="5"/>
        <v>0</v>
      </c>
      <c r="AM58">
        <f>MIN(MAX(0,$B$10-AL58)*AI58,'Retirement Gap'!$B$29)</f>
        <v>10850.278366583516</v>
      </c>
      <c r="AN58">
        <f>IF($E$40="B - Withdrawals + Roth conversions",AJ58*MAX(0,MIN($B$47-AL58,MIN($B$59,IRMAA!$C$16)-(AL58+$B$8*0.85+AK58*$B$46))),0)</f>
        <v>0</v>
      </c>
      <c r="AO58" cm="1">
        <f t="array" ref="AO58">_xlfn.LET(_xlpm.N,$B$49,_xlpm.R,$B$48,_xlpm.Start,$B$47,_xlpm.PlanWD,AL58,_xlpm.PlanRoth,AM58,_xlpm.PlanConv,AN58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0</v>
      </c>
      <c r="AP58" cm="1">
        <f t="array" ref="AP58">_xlfn.LET(_xlpm.N,$B$49,_xlpm.R,$B$48,_xlpm.Start,$B$47,_xlpm.PlanWD,AL58,_xlpm.PlanRoth,AM58,_xlpm.PlanConv,AN58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58" cm="1">
        <f t="array" ref="AQ58">_xlfn.LET(_xlpm.N,$B$49,_xlpm.R,$B$48,_xlpm.Start,$B$47,_xlpm.PlanWD,AL58,_xlpm.PlanRoth,AM58,_xlpm.PlanConv,AN58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1011052.2471213129</v>
      </c>
      <c r="AR58" cm="1">
        <f t="array" ref="AR58">_xlfn.LET(_xlpm.N,$B$49,_xlpm.R,$B$48,_xlpm.Start,$B$47,_xlpm.PlanWD,AL58,_xlpm.PlanRoth,AM58,_xlpm.PlanConv,AN58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1251763.0274820982</v>
      </c>
      <c r="AS58">
        <f>--AND(AK58&lt;=SUM('Retirement Gap'!$B$24:$B$25,'Retirement Gap'!$B$27),AL58+AN58&lt;=$B$47,AM58&lt;='Retirement Gap'!$B$29,ABS(AK58+AL58+AM58-$B$10)&lt;1)</f>
        <v>1</v>
      </c>
      <c r="AT58" cm="1">
        <f t="array" ref="AT58">IF(AS58=0,1E+99,_xlfn.SWITCH(LEFT($E$39,1),"1",AO58,"2",AP58*1000000000+AO58,"3",-AQ58,"4",AO58+AP58*25000+AR58*0.005-AQ58*0.0001,AO58))</f>
        <v>-1011052.2471213129</v>
      </c>
    </row>
    <row r="59" spans="1:46" x14ac:dyDescent="0.55000000000000004">
      <c r="A59" s="50" t="s">
        <v>293</v>
      </c>
      <c r="B59" s="73">
        <f>Timeline!BB13</f>
        <v>211400</v>
      </c>
      <c r="AG59">
        <f t="shared" si="0"/>
        <v>58</v>
      </c>
      <c r="AH59">
        <f t="shared" si="1"/>
        <v>0</v>
      </c>
      <c r="AI59">
        <f t="shared" si="2"/>
        <v>0.9</v>
      </c>
      <c r="AJ59">
        <f t="shared" si="3"/>
        <v>0.6</v>
      </c>
      <c r="AK59">
        <f t="shared" si="4"/>
        <v>49893.721633416484</v>
      </c>
      <c r="AL59">
        <f t="shared" si="5"/>
        <v>0</v>
      </c>
      <c r="AM59">
        <f>MIN(MAX(0,$B$10-AL59)*AI59,'Retirement Gap'!$B$29)</f>
        <v>10850.278366583516</v>
      </c>
      <c r="AN59">
        <f>IF($E$40="B - Withdrawals + Roth conversions",AJ59*MAX(0,MIN($B$47-AL59,MIN($B$59,IRMAA!$C$16)-(AL59+$B$8*0.85+AK59*$B$46))),0)</f>
        <v>0</v>
      </c>
      <c r="AO59" cm="1">
        <f t="array" ref="AO59">_xlfn.LET(_xlpm.N,$B$49,_xlpm.R,$B$48,_xlpm.Start,$B$47,_xlpm.PlanWD,AL59,_xlpm.PlanRoth,AM59,_xlpm.PlanConv,AN59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0</v>
      </c>
      <c r="AP59" cm="1">
        <f t="array" ref="AP59">_xlfn.LET(_xlpm.N,$B$49,_xlpm.R,$B$48,_xlpm.Start,$B$47,_xlpm.PlanWD,AL59,_xlpm.PlanRoth,AM59,_xlpm.PlanConv,AN59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59" cm="1">
        <f t="array" ref="AQ59">_xlfn.LET(_xlpm.N,$B$49,_xlpm.R,$B$48,_xlpm.Start,$B$47,_xlpm.PlanWD,AL59,_xlpm.PlanRoth,AM59,_xlpm.PlanConv,AN59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1011052.2471213129</v>
      </c>
      <c r="AR59" cm="1">
        <f t="array" ref="AR59">_xlfn.LET(_xlpm.N,$B$49,_xlpm.R,$B$48,_xlpm.Start,$B$47,_xlpm.PlanWD,AL59,_xlpm.PlanRoth,AM59,_xlpm.PlanConv,AN59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1251763.0274820982</v>
      </c>
      <c r="AS59">
        <f>--AND(AK59&lt;=SUM('Retirement Gap'!$B$24:$B$25,'Retirement Gap'!$B$27),AL59+AN59&lt;=$B$47,AM59&lt;='Retirement Gap'!$B$29,ABS(AK59+AL59+AM59-$B$10)&lt;1)</f>
        <v>1</v>
      </c>
      <c r="AT59" cm="1">
        <f t="array" ref="AT59">IF(AS59=0,1E+99,_xlfn.SWITCH(LEFT($E$39,1),"1",AO59,"2",AP59*1000000000+AO59,"3",-AQ59,"4",AO59+AP59*25000+AR59*0.005-AQ59*0.0001,AO59))</f>
        <v>-1011052.2471213129</v>
      </c>
    </row>
    <row r="60" spans="1:46" x14ac:dyDescent="0.55000000000000004">
      <c r="AG60">
        <f t="shared" si="0"/>
        <v>59</v>
      </c>
      <c r="AH60">
        <f t="shared" si="1"/>
        <v>0</v>
      </c>
      <c r="AI60">
        <f t="shared" si="2"/>
        <v>0.9</v>
      </c>
      <c r="AJ60">
        <f t="shared" si="3"/>
        <v>0.8</v>
      </c>
      <c r="AK60">
        <f t="shared" si="4"/>
        <v>49893.721633416484</v>
      </c>
      <c r="AL60">
        <f t="shared" si="5"/>
        <v>0</v>
      </c>
      <c r="AM60">
        <f>MIN(MAX(0,$B$10-AL60)*AI60,'Retirement Gap'!$B$29)</f>
        <v>10850.278366583516</v>
      </c>
      <c r="AN60">
        <f>IF($E$40="B - Withdrawals + Roth conversions",AJ60*MAX(0,MIN($B$47-AL60,MIN($B$59,IRMAA!$C$16)-(AL60+$B$8*0.85+AK60*$B$46))),0)</f>
        <v>0</v>
      </c>
      <c r="AO60" cm="1">
        <f t="array" ref="AO60">_xlfn.LET(_xlpm.N,$B$49,_xlpm.R,$B$48,_xlpm.Start,$B$47,_xlpm.PlanWD,AL60,_xlpm.PlanRoth,AM60,_xlpm.PlanConv,AN60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0</v>
      </c>
      <c r="AP60" cm="1">
        <f t="array" ref="AP60">_xlfn.LET(_xlpm.N,$B$49,_xlpm.R,$B$48,_xlpm.Start,$B$47,_xlpm.PlanWD,AL60,_xlpm.PlanRoth,AM60,_xlpm.PlanConv,AN60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60" cm="1">
        <f t="array" ref="AQ60">_xlfn.LET(_xlpm.N,$B$49,_xlpm.R,$B$48,_xlpm.Start,$B$47,_xlpm.PlanWD,AL60,_xlpm.PlanRoth,AM60,_xlpm.PlanConv,AN60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1011052.2471213129</v>
      </c>
      <c r="AR60" cm="1">
        <f t="array" ref="AR60">_xlfn.LET(_xlpm.N,$B$49,_xlpm.R,$B$48,_xlpm.Start,$B$47,_xlpm.PlanWD,AL60,_xlpm.PlanRoth,AM60,_xlpm.PlanConv,AN60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1251763.0274820982</v>
      </c>
      <c r="AS60">
        <f>--AND(AK60&lt;=SUM('Retirement Gap'!$B$24:$B$25,'Retirement Gap'!$B$27),AL60+AN60&lt;=$B$47,AM60&lt;='Retirement Gap'!$B$29,ABS(AK60+AL60+AM60-$B$10)&lt;1)</f>
        <v>1</v>
      </c>
      <c r="AT60" cm="1">
        <f t="array" ref="AT60">IF(AS60=0,1E+99,_xlfn.SWITCH(LEFT($E$39,1),"1",AO60,"2",AP60*1000000000+AO60,"3",-AQ60,"4",AO60+AP60*25000+AR60*0.005-AQ60*0.0001,AO60))</f>
        <v>-1011052.2471213129</v>
      </c>
    </row>
    <row r="61" spans="1:46" x14ac:dyDescent="0.55000000000000004">
      <c r="H61" t="s">
        <v>555</v>
      </c>
      <c r="I61" t="s">
        <v>556</v>
      </c>
      <c r="J61" t="s">
        <v>557</v>
      </c>
      <c r="K61" t="s">
        <v>558</v>
      </c>
      <c r="L61" t="s">
        <v>559</v>
      </c>
      <c r="M61" t="s">
        <v>560</v>
      </c>
      <c r="N61" t="s">
        <v>561</v>
      </c>
      <c r="O61" t="s">
        <v>562</v>
      </c>
      <c r="P61" t="s">
        <v>563</v>
      </c>
      <c r="Q61" t="s">
        <v>564</v>
      </c>
      <c r="R61" t="s">
        <v>565</v>
      </c>
      <c r="S61" t="s">
        <v>566</v>
      </c>
      <c r="T61" t="s">
        <v>567</v>
      </c>
      <c r="U61" t="s">
        <v>568</v>
      </c>
      <c r="V61" t="s">
        <v>569</v>
      </c>
      <c r="W61" t="s">
        <v>570</v>
      </c>
      <c r="X61" t="s">
        <v>571</v>
      </c>
      <c r="Y61" t="s">
        <v>572</v>
      </c>
      <c r="Z61" t="s">
        <v>573</v>
      </c>
      <c r="AA61" t="s">
        <v>574</v>
      </c>
      <c r="AB61" t="s">
        <v>575</v>
      </c>
      <c r="AC61" t="s">
        <v>576</v>
      </c>
      <c r="AD61" t="s">
        <v>577</v>
      </c>
      <c r="AE61" t="s">
        <v>578</v>
      </c>
      <c r="AG61">
        <f t="shared" si="0"/>
        <v>60</v>
      </c>
      <c r="AH61">
        <f t="shared" si="1"/>
        <v>0</v>
      </c>
      <c r="AI61">
        <f t="shared" si="2"/>
        <v>0.9</v>
      </c>
      <c r="AJ61">
        <f t="shared" si="3"/>
        <v>1</v>
      </c>
      <c r="AK61">
        <f t="shared" si="4"/>
        <v>49893.721633416484</v>
      </c>
      <c r="AL61">
        <f t="shared" si="5"/>
        <v>0</v>
      </c>
      <c r="AM61">
        <f>MIN(MAX(0,$B$10-AL61)*AI61,'Retirement Gap'!$B$29)</f>
        <v>10850.278366583516</v>
      </c>
      <c r="AN61">
        <f>IF($E$40="B - Withdrawals + Roth conversions",AJ61*MAX(0,MIN($B$47-AL61,MIN($B$59,IRMAA!$C$16)-(AL61+$B$8*0.85+AK61*$B$46))),0)</f>
        <v>0</v>
      </c>
      <c r="AO61" cm="1">
        <f t="array" ref="AO61">_xlfn.LET(_xlpm.N,$B$49,_xlpm.R,$B$48,_xlpm.Start,$B$47,_xlpm.PlanWD,AL61,_xlpm.PlanRoth,AM61,_xlpm.PlanConv,AN61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0</v>
      </c>
      <c r="AP61" cm="1">
        <f t="array" ref="AP61">_xlfn.LET(_xlpm.N,$B$49,_xlpm.R,$B$48,_xlpm.Start,$B$47,_xlpm.PlanWD,AL61,_xlpm.PlanRoth,AM61,_xlpm.PlanConv,AN61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61" cm="1">
        <f t="array" ref="AQ61">_xlfn.LET(_xlpm.N,$B$49,_xlpm.R,$B$48,_xlpm.Start,$B$47,_xlpm.PlanWD,AL61,_xlpm.PlanRoth,AM61,_xlpm.PlanConv,AN61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1011052.2471213129</v>
      </c>
      <c r="AR61" cm="1">
        <f t="array" ref="AR61">_xlfn.LET(_xlpm.N,$B$49,_xlpm.R,$B$48,_xlpm.Start,$B$47,_xlpm.PlanWD,AL61,_xlpm.PlanRoth,AM61,_xlpm.PlanConv,AN61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1251763.0274820982</v>
      </c>
      <c r="AS61">
        <f>--AND(AK61&lt;=SUM('Retirement Gap'!$B$24:$B$25,'Retirement Gap'!$B$27),AL61+AN61&lt;=$B$47,AM61&lt;='Retirement Gap'!$B$29,ABS(AK61+AL61+AM61-$B$10)&lt;1)</f>
        <v>1</v>
      </c>
      <c r="AT61" cm="1">
        <f t="array" ref="AT61">IF(AS61=0,1E+99,_xlfn.SWITCH(LEFT($E$39,1),"1",AO61,"2",AP61*1000000000+AO61,"3",-AQ61,"4",AO61+AP61*25000+AR61*0.005-AQ61*0.0001,AO61))</f>
        <v>-1011052.2471213129</v>
      </c>
    </row>
    <row r="62" spans="1:46" x14ac:dyDescent="0.55000000000000004">
      <c r="H62">
        <f>ROW()-61</f>
        <v>1</v>
      </c>
      <c r="I62">
        <f>IF(H62&lt;=MAX(1,Inputs!$B$9-Inputs!$B$8),Inputs!$B$8+H62-1,"")</f>
        <v>65</v>
      </c>
      <c r="J62">
        <f>IF(I62="","",$B$8)</f>
        <v>59256</v>
      </c>
      <c r="K62">
        <f>IF(I62="","",_xlfn.LET(_xlpm.OpenBal,IF(H62=1,$B$47,O61),_xlpm.Factor,_xlfn.XLOOKUP(I62,RMD!$A$21:$A$69,RMD!$B$21:$B$69,0),_xlpm.Req,IF(AND(I62&gt;=RMD!$B$9,_xlpm.Factor&gt;0),_xlpm.OpenBal/_xlpm.Factor,0),MAX($B$14,_xlpm.Req)))</f>
        <v>0</v>
      </c>
      <c r="L62">
        <f>IF(I62="","",MAX(0,$B$10-K62-$B$15))</f>
        <v>60744</v>
      </c>
      <c r="M62">
        <f>IF(I62="","",_xlfn.LET(_xlpm.PT,K62,_xlpm.BR,L62,_xlpm.SS,J62,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f>
        <v>1816.76</v>
      </c>
      <c r="N62">
        <f>IF(I62="","",LOOKUP(_xlfn.LET(_xlpm.PT,K62,_xlpm.BR,L62,_xlpm.SS,J62,_xlpm.CG,_xlpm.BR*$B$46,_xlpm.Prov,_xlpm.PT+_xlpm.CG+_xlpm.SS*0.5,_xlpm.TSS,_xlpm.SS*IF(AND(Tax!$B$21&lt;=0,Tax!$B$22&lt;=0),IF(_xlpm.SS&gt;0,0.85,0),IF(_xlpm.Prov&lt;Tax!$B$21,0,IF(_xlpm.Prov&lt;Tax!$B$22,0.5,0.85))),_xlpm.PT+_xlpm.TSS+_xlpm.CG),IRMAA!$B$16:$B$21,IRMAA!$A$16:$A$21))</f>
        <v>0</v>
      </c>
      <c r="O62">
        <f>IF(I62="","",MAX(0,IF(H62=1,$B$47,O61)*(1+$B$48)-K62))</f>
        <v>991513.56194421009</v>
      </c>
      <c r="P62">
        <f>ROW()-61</f>
        <v>1</v>
      </c>
      <c r="Q62">
        <f>IF(P62&lt;=MAX(1,Inputs!$B$9-Inputs!$B$8),Inputs!$B$8+P62-1,"")</f>
        <v>65</v>
      </c>
      <c r="R62">
        <f>IF(Q62="","",$B$8)</f>
        <v>59256</v>
      </c>
      <c r="S62">
        <f>IF(Q62="","",_xlfn.LET(_xlpm.OpenBal,IF(P62=1,$B$47,W61),_xlpm.Factor,_xlfn.XLOOKUP(Q62,RMD!$A$21:$A$69,RMD!$B$21:$B$69,0),_xlpm.Req,IF(AND(Q62&gt;=RMD!$B$9,_xlpm.Factor&gt;0),_xlpm.OpenBal/_xlpm.Factor,0),MAX($B$21,_xlpm.Req)))</f>
        <v>6992.3999999999942</v>
      </c>
      <c r="T62">
        <f>IF(Q62="","",MAX(0,$B$10-S62-$B$22))</f>
        <v>53751.600000000006</v>
      </c>
      <c r="U62">
        <f>IF(Q62="","",_xlfn.LET(_xlpm.PT,S62,_xlpm.BR,T62,_xlpm.SS,R62,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f>
        <v>2523.1999999999989</v>
      </c>
      <c r="V62">
        <f>IF(Q62="","",LOOKUP(_xlfn.LET(_xlpm.PT,S62,_xlpm.BR,T62,_xlpm.SS,R62,_xlpm.CG,_xlpm.BR*$B$46,_xlpm.Prov,_xlpm.PT+_xlpm.CG+_xlpm.SS*0.5,_xlpm.TSS,_xlpm.SS*IF(AND(Tax!$B$21&lt;=0,Tax!$B$22&lt;=0),IF(_xlpm.SS&gt;0,0.85,0),IF(_xlpm.Prov&lt;Tax!$B$21,0,IF(_xlpm.Prov&lt;Tax!$B$22,0.5,0.85))),_xlpm.PT+_xlpm.TSS+_xlpm.CG),IRMAA!$B$16:$B$21,IRMAA!$A$16:$A$21))</f>
        <v>0</v>
      </c>
      <c r="W62">
        <f>IF(Q62="","",MAX(0,IF(P62=1,$B$47,W61)*(1+$B$48)-S62))</f>
        <v>984521.16194421006</v>
      </c>
      <c r="X62">
        <f>ROW()-61</f>
        <v>1</v>
      </c>
      <c r="Y62">
        <f>IF(X62&lt;=MAX(1,Inputs!$B$9-Inputs!$B$8),Inputs!$B$8+X62-1,"")</f>
        <v>65</v>
      </c>
      <c r="Z62">
        <f>IF(Y62="","",IF(Y62&lt;$B$27,0,$B$28))</f>
        <v>0</v>
      </c>
      <c r="AA62">
        <f>IF(Y62="","",_xlfn.LET(_xlpm.OpenBal,IF(X62=1,$B$47,AE61),_xlpm.Factor,_xlfn.XLOOKUP(Y62,RMD!$A$21:$A$69,RMD!$B$21:$B$69,0),IF(AND(Y62&gt;=RMD!$B$9,_xlpm.Factor&gt;0),_xlpm.OpenBal/_xlpm.Factor,0)))</f>
        <v>0</v>
      </c>
      <c r="AB62">
        <f>IF(Y62="","",MAX(0,$B$7-$B$9-Z62-AA62))</f>
        <v>120000</v>
      </c>
      <c r="AC62">
        <f>IF(Y62="","",_xlfn.LET(_xlpm.PT,AA62,_xlpm.BR,AB62,_xlpm.SS,Z62,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f>
        <v>0</v>
      </c>
      <c r="AD62">
        <f>IF(Y62="","",LOOKUP(_xlfn.LET(_xlpm.PT,AA62,_xlpm.BR,AB62,_xlpm.SS,Z62,_xlpm.CG,_xlpm.BR*$B$46,_xlpm.Prov,_xlpm.PT+_xlpm.CG+_xlpm.SS*0.5,_xlpm.TSS,_xlpm.SS*IF(AND(Tax!$B$21&lt;=0,Tax!$B$22&lt;=0),IF(_xlpm.SS&gt;0,0.85,0),IF(_xlpm.Prov&lt;Tax!$B$21,0,IF(_xlpm.Prov&lt;Tax!$B$22,0.5,0.85))),_xlpm.PT+_xlpm.TSS+_xlpm.CG),IRMAA!$B$16:$B$21,IRMAA!$A$16:$A$21))</f>
        <v>0</v>
      </c>
      <c r="AE62">
        <f>IF(Y62="","",MAX(0,IF(X62=1,$B$47,AE61)*(1+$B$48)-AA62))</f>
        <v>991513.56194421009</v>
      </c>
      <c r="AG62">
        <f t="shared" si="0"/>
        <v>61</v>
      </c>
      <c r="AH62">
        <f t="shared" si="1"/>
        <v>0</v>
      </c>
      <c r="AI62">
        <f t="shared" si="2"/>
        <v>1</v>
      </c>
      <c r="AJ62">
        <f t="shared" si="3"/>
        <v>0</v>
      </c>
      <c r="AK62">
        <f t="shared" si="4"/>
        <v>49893.721633416484</v>
      </c>
      <c r="AL62">
        <f t="shared" si="5"/>
        <v>0</v>
      </c>
      <c r="AM62">
        <f>MIN(MAX(0,$B$10-AL62)*AI62,'Retirement Gap'!$B$29)</f>
        <v>10850.278366583516</v>
      </c>
      <c r="AN62">
        <f>IF($E$40="B - Withdrawals + Roth conversions",AJ62*MAX(0,MIN($B$47-AL62,MIN($B$59,IRMAA!$C$16)-(AL62+$B$8*0.85+AK62*$B$46))),0)</f>
        <v>0</v>
      </c>
      <c r="AO62" cm="1">
        <f t="array" ref="AO62">_xlfn.LET(_xlpm.N,$B$49,_xlpm.R,$B$48,_xlpm.Start,$B$47,_xlpm.PlanWD,AL62,_xlpm.PlanRoth,AM62,_xlpm.PlanConv,AN62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0</v>
      </c>
      <c r="AP62" cm="1">
        <f t="array" ref="AP62">_xlfn.LET(_xlpm.N,$B$49,_xlpm.R,$B$48,_xlpm.Start,$B$47,_xlpm.PlanWD,AL62,_xlpm.PlanRoth,AM62,_xlpm.PlanConv,AN62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62" cm="1">
        <f t="array" ref="AQ62">_xlfn.LET(_xlpm.N,$B$49,_xlpm.R,$B$48,_xlpm.Start,$B$47,_xlpm.PlanWD,AL62,_xlpm.PlanRoth,AM62,_xlpm.PlanConv,AN62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1011052.2471213129</v>
      </c>
      <c r="AR62" cm="1">
        <f t="array" ref="AR62">_xlfn.LET(_xlpm.N,$B$49,_xlpm.R,$B$48,_xlpm.Start,$B$47,_xlpm.PlanWD,AL62,_xlpm.PlanRoth,AM62,_xlpm.PlanConv,AN62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1251763.0274820982</v>
      </c>
      <c r="AS62">
        <f>--AND(AK62&lt;=SUM('Retirement Gap'!$B$24:$B$25,'Retirement Gap'!$B$27),AL62+AN62&lt;=$B$47,AM62&lt;='Retirement Gap'!$B$29,ABS(AK62+AL62+AM62-$B$10)&lt;1)</f>
        <v>1</v>
      </c>
      <c r="AT62" cm="1">
        <f t="array" ref="AT62">IF(AS62=0,1E+99,_xlfn.SWITCH(LEFT($E$39,1),"1",AO62,"2",AP62*1000000000+AO62,"3",-AQ62,"4",AO62+AP62*25000+AR62*0.005-AQ62*0.0001,AO62))</f>
        <v>-1011052.2471213129</v>
      </c>
    </row>
    <row r="63" spans="1:46" x14ac:dyDescent="0.55000000000000004">
      <c r="H63">
        <f t="shared" ref="H63:H101" si="6">ROW()-61</f>
        <v>2</v>
      </c>
      <c r="I63">
        <f>IF(H63&lt;=MAX(1,Inputs!$B$9-Inputs!$B$8),Inputs!$B$8+H63-1,"")</f>
        <v>66</v>
      </c>
      <c r="J63">
        <f t="shared" ref="J63:J101" si="7">IF(I63="","",$B$8)</f>
        <v>59256</v>
      </c>
      <c r="K63">
        <f>IF(I63="","",_xlfn.LET(_xlpm.OpenBal,IF(H63=1,$B$47,O62),_xlpm.Factor,_xlfn.XLOOKUP(I63,RMD!$A$21:$A$69,RMD!$B$21:$B$69,0),_xlpm.Req,IF(AND(I63&gt;=RMD!$B$9,_xlpm.Factor&gt;0),_xlpm.OpenBal/_xlpm.Factor,0),MAX($B$14,_xlpm.Req)))</f>
        <v>0</v>
      </c>
      <c r="L63">
        <f t="shared" ref="L63:L101" si="8">IF(I63="","",MAX(0,$B$10-K63-$B$15))</f>
        <v>60744</v>
      </c>
      <c r="M63">
        <f>IF(I63="","",_xlfn.LET(_xlpm.PT,K63,_xlpm.BR,L63,_xlpm.SS,J63,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f>
        <v>1816.76</v>
      </c>
      <c r="N63">
        <f>IF(I63="","",LOOKUP(_xlfn.LET(_xlpm.PT,K63,_xlpm.BR,L63,_xlpm.SS,J63,_xlpm.CG,_xlpm.BR*$B$46,_xlpm.Prov,_xlpm.PT+_xlpm.CG+_xlpm.SS*0.5,_xlpm.TSS,_xlpm.SS*IF(AND(Tax!$B$21&lt;=0,Tax!$B$22&lt;=0),IF(_xlpm.SS&gt;0,0.85,0),IF(_xlpm.Prov&lt;Tax!$B$21,0,IF(_xlpm.Prov&lt;Tax!$B$22,0.5,0.85))),_xlpm.PT+_xlpm.TSS+_xlpm.CG),IRMAA!$B$16:$B$21,IRMAA!$A$16:$A$21))</f>
        <v>0</v>
      </c>
      <c r="O63">
        <f t="shared" ref="O63:O101" si="9">IF(I63="","",MAX(0,IF(H63=1,$B$47,O62)*(1+$B$48)-K63))</f>
        <v>1051004.3756608628</v>
      </c>
      <c r="P63">
        <f t="shared" ref="P63:P101" si="10">ROW()-61</f>
        <v>2</v>
      </c>
      <c r="Q63">
        <f>IF(P63&lt;=MAX(1,Inputs!$B$9-Inputs!$B$8),Inputs!$B$8+P63-1,"")</f>
        <v>66</v>
      </c>
      <c r="R63">
        <f t="shared" ref="R63:R101" si="11">IF(Q63="","",$B$8)</f>
        <v>59256</v>
      </c>
      <c r="S63">
        <f>IF(Q63="","",_xlfn.LET(_xlpm.OpenBal,IF(P63=1,$B$47,W62),_xlpm.Factor,_xlfn.XLOOKUP(Q63,RMD!$A$21:$A$69,RMD!$B$21:$B$69,0),_xlpm.Req,IF(AND(Q63&gt;=RMD!$B$9,_xlpm.Factor&gt;0),_xlpm.OpenBal/_xlpm.Factor,0),MAX($B$21,_xlpm.Req)))</f>
        <v>6992.3999999999942</v>
      </c>
      <c r="T63">
        <f t="shared" ref="T63:T101" si="12">IF(Q63="","",MAX(0,$B$10-S63-$B$22))</f>
        <v>53751.600000000006</v>
      </c>
      <c r="U63">
        <f>IF(Q63="","",_xlfn.LET(_xlpm.PT,S63,_xlpm.BR,T63,_xlpm.SS,R63,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f>
        <v>2523.1999999999989</v>
      </c>
      <c r="V63">
        <f>IF(Q63="","",LOOKUP(_xlfn.LET(_xlpm.PT,S63,_xlpm.BR,T63,_xlpm.SS,R63,_xlpm.CG,_xlpm.BR*$B$46,_xlpm.Prov,_xlpm.PT+_xlpm.CG+_xlpm.SS*0.5,_xlpm.TSS,_xlpm.SS*IF(AND(Tax!$B$21&lt;=0,Tax!$B$22&lt;=0),IF(_xlpm.SS&gt;0,0.85,0),IF(_xlpm.Prov&lt;Tax!$B$21,0,IF(_xlpm.Prov&lt;Tax!$B$22,0.5,0.85))),_xlpm.PT+_xlpm.TSS+_xlpm.CG),IRMAA!$B$16:$B$21,IRMAA!$A$16:$A$21))</f>
        <v>0</v>
      </c>
      <c r="W63">
        <f t="shared" ref="W63:W101" si="13">IF(Q63="","",MAX(0,IF(P63=1,$B$47,W62)*(1+$B$48)-S63))</f>
        <v>1036600.0316608627</v>
      </c>
      <c r="X63">
        <f t="shared" ref="X63:X101" si="14">ROW()-61</f>
        <v>2</v>
      </c>
      <c r="Y63">
        <f>IF(X63&lt;=MAX(1,Inputs!$B$9-Inputs!$B$8),Inputs!$B$8+X63-1,"")</f>
        <v>66</v>
      </c>
      <c r="Z63">
        <f t="shared" ref="Z63:Z101" si="15">IF(Y63="","",IF(Y63&lt;$B$27,0,$B$28))</f>
        <v>0</v>
      </c>
      <c r="AA63">
        <f>IF(Y63="","",_xlfn.LET(_xlpm.OpenBal,IF(X63=1,$B$47,AE62),_xlpm.Factor,_xlfn.XLOOKUP(Y63,RMD!$A$21:$A$69,RMD!$B$21:$B$69,0),IF(AND(Y63&gt;=RMD!$B$9,_xlpm.Factor&gt;0),_xlpm.OpenBal/_xlpm.Factor,0)))</f>
        <v>0</v>
      </c>
      <c r="AB63">
        <f t="shared" ref="AB63:AB101" si="16">IF(Y63="","",MAX(0,$B$7-$B$9-Z63-AA63))</f>
        <v>120000</v>
      </c>
      <c r="AC63">
        <f>IF(Y63="","",_xlfn.LET(_xlpm.PT,AA63,_xlpm.BR,AB63,_xlpm.SS,Z63,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f>
        <v>0</v>
      </c>
      <c r="AD63">
        <f>IF(Y63="","",LOOKUP(_xlfn.LET(_xlpm.PT,AA63,_xlpm.BR,AB63,_xlpm.SS,Z63,_xlpm.CG,_xlpm.BR*$B$46,_xlpm.Prov,_xlpm.PT+_xlpm.CG+_xlpm.SS*0.5,_xlpm.TSS,_xlpm.SS*IF(AND(Tax!$B$21&lt;=0,Tax!$B$22&lt;=0),IF(_xlpm.SS&gt;0,0.85,0),IF(_xlpm.Prov&lt;Tax!$B$21,0,IF(_xlpm.Prov&lt;Tax!$B$22,0.5,0.85))),_xlpm.PT+_xlpm.TSS+_xlpm.CG),IRMAA!$B$16:$B$21,IRMAA!$A$16:$A$21))</f>
        <v>0</v>
      </c>
      <c r="AE63">
        <f t="shared" ref="AE63:AE101" si="17">IF(Y63="","",MAX(0,IF(X63=1,$B$47,AE62)*(1+$B$48)-AA63))</f>
        <v>1051004.3756608628</v>
      </c>
      <c r="AG63">
        <f t="shared" si="0"/>
        <v>62</v>
      </c>
      <c r="AH63">
        <f t="shared" si="1"/>
        <v>0</v>
      </c>
      <c r="AI63">
        <f t="shared" si="2"/>
        <v>1</v>
      </c>
      <c r="AJ63">
        <f t="shared" si="3"/>
        <v>0.2</v>
      </c>
      <c r="AK63">
        <f t="shared" si="4"/>
        <v>49893.721633416484</v>
      </c>
      <c r="AL63">
        <f t="shared" si="5"/>
        <v>0</v>
      </c>
      <c r="AM63">
        <f>MIN(MAX(0,$B$10-AL63)*AI63,'Retirement Gap'!$B$29)</f>
        <v>10850.278366583516</v>
      </c>
      <c r="AN63">
        <f>IF($E$40="B - Withdrawals + Roth conversions",AJ63*MAX(0,MIN($B$47-AL63,MIN($B$59,IRMAA!$C$16)-(AL63+$B$8*0.85+AK63*$B$46))),0)</f>
        <v>0</v>
      </c>
      <c r="AO63" cm="1">
        <f t="array" ref="AO63">_xlfn.LET(_xlpm.N,$B$49,_xlpm.R,$B$48,_xlpm.Start,$B$47,_xlpm.PlanWD,AL63,_xlpm.PlanRoth,AM63,_xlpm.PlanConv,AN63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0</v>
      </c>
      <c r="AP63" cm="1">
        <f t="array" ref="AP63">_xlfn.LET(_xlpm.N,$B$49,_xlpm.R,$B$48,_xlpm.Start,$B$47,_xlpm.PlanWD,AL63,_xlpm.PlanRoth,AM63,_xlpm.PlanConv,AN63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63" cm="1">
        <f t="array" ref="AQ63">_xlfn.LET(_xlpm.N,$B$49,_xlpm.R,$B$48,_xlpm.Start,$B$47,_xlpm.PlanWD,AL63,_xlpm.PlanRoth,AM63,_xlpm.PlanConv,AN63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1011052.2471213129</v>
      </c>
      <c r="AR63" cm="1">
        <f t="array" ref="AR63">_xlfn.LET(_xlpm.N,$B$49,_xlpm.R,$B$48,_xlpm.Start,$B$47,_xlpm.PlanWD,AL63,_xlpm.PlanRoth,AM63,_xlpm.PlanConv,AN63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1251763.0274820982</v>
      </c>
      <c r="AS63">
        <f>--AND(AK63&lt;=SUM('Retirement Gap'!$B$24:$B$25,'Retirement Gap'!$B$27),AL63+AN63&lt;=$B$47,AM63&lt;='Retirement Gap'!$B$29,ABS(AK63+AL63+AM63-$B$10)&lt;1)</f>
        <v>1</v>
      </c>
      <c r="AT63" cm="1">
        <f t="array" ref="AT63">IF(AS63=0,1E+99,_xlfn.SWITCH(LEFT($E$39,1),"1",AO63,"2",AP63*1000000000+AO63,"3",-AQ63,"4",AO63+AP63*25000+AR63*0.005-AQ63*0.0001,AO63))</f>
        <v>-1011052.2471213129</v>
      </c>
    </row>
    <row r="64" spans="1:46" x14ac:dyDescent="0.55000000000000004">
      <c r="H64">
        <f t="shared" si="6"/>
        <v>3</v>
      </c>
      <c r="I64">
        <f>IF(H64&lt;=MAX(1,Inputs!$B$9-Inputs!$B$8),Inputs!$B$8+H64-1,"")</f>
        <v>67</v>
      </c>
      <c r="J64">
        <f t="shared" si="7"/>
        <v>59256</v>
      </c>
      <c r="K64">
        <f>IF(I64="","",_xlfn.LET(_xlpm.OpenBal,IF(H64=1,$B$47,O63),_xlpm.Factor,_xlfn.XLOOKUP(I64,RMD!$A$21:$A$69,RMD!$B$21:$B$69,0),_xlpm.Req,IF(AND(I64&gt;=RMD!$B$9,_xlpm.Factor&gt;0),_xlpm.OpenBal/_xlpm.Factor,0),MAX($B$14,_xlpm.Req)))</f>
        <v>0</v>
      </c>
      <c r="L64">
        <f t="shared" si="8"/>
        <v>60744</v>
      </c>
      <c r="M64">
        <f>IF(I64="","",_xlfn.LET(_xlpm.PT,K64,_xlpm.BR,L64,_xlpm.SS,J64,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f>
        <v>1816.76</v>
      </c>
      <c r="N64">
        <f>IF(I64="","",LOOKUP(_xlfn.LET(_xlpm.PT,K64,_xlpm.BR,L64,_xlpm.SS,J64,_xlpm.CG,_xlpm.BR*$B$46,_xlpm.Prov,_xlpm.PT+_xlpm.CG+_xlpm.SS*0.5,_xlpm.TSS,_xlpm.SS*IF(AND(Tax!$B$21&lt;=0,Tax!$B$22&lt;=0),IF(_xlpm.SS&gt;0,0.85,0),IF(_xlpm.Prov&lt;Tax!$B$21,0,IF(_xlpm.Prov&lt;Tax!$B$22,0.5,0.85))),_xlpm.PT+_xlpm.TSS+_xlpm.CG),IRMAA!$B$16:$B$21,IRMAA!$A$16:$A$21))</f>
        <v>0</v>
      </c>
      <c r="O64">
        <f t="shared" si="9"/>
        <v>1114064.6382005145</v>
      </c>
      <c r="P64">
        <f t="shared" si="10"/>
        <v>3</v>
      </c>
      <c r="Q64">
        <f>IF(P64&lt;=MAX(1,Inputs!$B$9-Inputs!$B$8),Inputs!$B$8+P64-1,"")</f>
        <v>67</v>
      </c>
      <c r="R64">
        <f t="shared" si="11"/>
        <v>59256</v>
      </c>
      <c r="S64">
        <f>IF(Q64="","",_xlfn.LET(_xlpm.OpenBal,IF(P64=1,$B$47,W63),_xlpm.Factor,_xlfn.XLOOKUP(Q64,RMD!$A$21:$A$69,RMD!$B$21:$B$69,0),_xlpm.Req,IF(AND(Q64&gt;=RMD!$B$9,_xlpm.Factor&gt;0),_xlpm.OpenBal/_xlpm.Factor,0),MAX($B$21,_xlpm.Req)))</f>
        <v>6992.3999999999942</v>
      </c>
      <c r="T64">
        <f t="shared" si="12"/>
        <v>53751.600000000006</v>
      </c>
      <c r="U64">
        <f>IF(Q64="","",_xlfn.LET(_xlpm.PT,S64,_xlpm.BR,T64,_xlpm.SS,R64,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f>
        <v>2523.1999999999989</v>
      </c>
      <c r="V64">
        <f>IF(Q64="","",LOOKUP(_xlfn.LET(_xlpm.PT,S64,_xlpm.BR,T64,_xlpm.SS,R64,_xlpm.CG,_xlpm.BR*$B$46,_xlpm.Prov,_xlpm.PT+_xlpm.CG+_xlpm.SS*0.5,_xlpm.TSS,_xlpm.SS*IF(AND(Tax!$B$21&lt;=0,Tax!$B$22&lt;=0),IF(_xlpm.SS&gt;0,0.85,0),IF(_xlpm.Prov&lt;Tax!$B$21,0,IF(_xlpm.Prov&lt;Tax!$B$22,0.5,0.85))),_xlpm.PT+_xlpm.TSS+_xlpm.CG),IRMAA!$B$16:$B$21,IRMAA!$A$16:$A$21))</f>
        <v>0</v>
      </c>
      <c r="W64">
        <f t="shared" si="13"/>
        <v>1091803.6335605145</v>
      </c>
      <c r="X64">
        <f t="shared" si="14"/>
        <v>3</v>
      </c>
      <c r="Y64">
        <f>IF(X64&lt;=MAX(1,Inputs!$B$9-Inputs!$B$8),Inputs!$B$8+X64-1,"")</f>
        <v>67</v>
      </c>
      <c r="Z64">
        <f t="shared" si="15"/>
        <v>0</v>
      </c>
      <c r="AA64">
        <f>IF(Y64="","",_xlfn.LET(_xlpm.OpenBal,IF(X64=1,$B$47,AE63),_xlpm.Factor,_xlfn.XLOOKUP(Y64,RMD!$A$21:$A$69,RMD!$B$21:$B$69,0),IF(AND(Y64&gt;=RMD!$B$9,_xlpm.Factor&gt;0),_xlpm.OpenBal/_xlpm.Factor,0)))</f>
        <v>0</v>
      </c>
      <c r="AB64">
        <f t="shared" si="16"/>
        <v>120000</v>
      </c>
      <c r="AC64">
        <f>IF(Y64="","",_xlfn.LET(_xlpm.PT,AA64,_xlpm.BR,AB64,_xlpm.SS,Z64,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f>
        <v>0</v>
      </c>
      <c r="AD64">
        <f>IF(Y64="","",LOOKUP(_xlfn.LET(_xlpm.PT,AA64,_xlpm.BR,AB64,_xlpm.SS,Z64,_xlpm.CG,_xlpm.BR*$B$46,_xlpm.Prov,_xlpm.PT+_xlpm.CG+_xlpm.SS*0.5,_xlpm.TSS,_xlpm.SS*IF(AND(Tax!$B$21&lt;=0,Tax!$B$22&lt;=0),IF(_xlpm.SS&gt;0,0.85,0),IF(_xlpm.Prov&lt;Tax!$B$21,0,IF(_xlpm.Prov&lt;Tax!$B$22,0.5,0.85))),_xlpm.PT+_xlpm.TSS+_xlpm.CG),IRMAA!$B$16:$B$21,IRMAA!$A$16:$A$21))</f>
        <v>0</v>
      </c>
      <c r="AE64">
        <f t="shared" si="17"/>
        <v>1114064.6382005145</v>
      </c>
      <c r="AG64">
        <f t="shared" si="0"/>
        <v>63</v>
      </c>
      <c r="AH64">
        <f t="shared" si="1"/>
        <v>0</v>
      </c>
      <c r="AI64">
        <f t="shared" si="2"/>
        <v>1</v>
      </c>
      <c r="AJ64">
        <f t="shared" si="3"/>
        <v>0.4</v>
      </c>
      <c r="AK64">
        <f t="shared" si="4"/>
        <v>49893.721633416484</v>
      </c>
      <c r="AL64">
        <f t="shared" si="5"/>
        <v>0</v>
      </c>
      <c r="AM64">
        <f>MIN(MAX(0,$B$10-AL64)*AI64,'Retirement Gap'!$B$29)</f>
        <v>10850.278366583516</v>
      </c>
      <c r="AN64">
        <f>IF($E$40="B - Withdrawals + Roth conversions",AJ64*MAX(0,MIN($B$47-AL64,MIN($B$59,IRMAA!$C$16)-(AL64+$B$8*0.85+AK64*$B$46))),0)</f>
        <v>0</v>
      </c>
      <c r="AO64" cm="1">
        <f t="array" ref="AO64">_xlfn.LET(_xlpm.N,$B$49,_xlpm.R,$B$48,_xlpm.Start,$B$47,_xlpm.PlanWD,AL64,_xlpm.PlanRoth,AM64,_xlpm.PlanConv,AN64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0</v>
      </c>
      <c r="AP64" cm="1">
        <f t="array" ref="AP64">_xlfn.LET(_xlpm.N,$B$49,_xlpm.R,$B$48,_xlpm.Start,$B$47,_xlpm.PlanWD,AL64,_xlpm.PlanRoth,AM64,_xlpm.PlanConv,AN64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64" cm="1">
        <f t="array" ref="AQ64">_xlfn.LET(_xlpm.N,$B$49,_xlpm.R,$B$48,_xlpm.Start,$B$47,_xlpm.PlanWD,AL64,_xlpm.PlanRoth,AM64,_xlpm.PlanConv,AN64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1011052.2471213129</v>
      </c>
      <c r="AR64" cm="1">
        <f t="array" ref="AR64">_xlfn.LET(_xlpm.N,$B$49,_xlpm.R,$B$48,_xlpm.Start,$B$47,_xlpm.PlanWD,AL64,_xlpm.PlanRoth,AM64,_xlpm.PlanConv,AN64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1251763.0274820982</v>
      </c>
      <c r="AS64">
        <f>--AND(AK64&lt;=SUM('Retirement Gap'!$B$24:$B$25,'Retirement Gap'!$B$27),AL64+AN64&lt;=$B$47,AM64&lt;='Retirement Gap'!$B$29,ABS(AK64+AL64+AM64-$B$10)&lt;1)</f>
        <v>1</v>
      </c>
      <c r="AT64" cm="1">
        <f t="array" ref="AT64">IF(AS64=0,1E+99,_xlfn.SWITCH(LEFT($E$39,1),"1",AO64,"2",AP64*1000000000+AO64,"3",-AQ64,"4",AO64+AP64*25000+AR64*0.005-AQ64*0.0001,AO64))</f>
        <v>-1011052.2471213129</v>
      </c>
    </row>
    <row r="65" spans="8:46" x14ac:dyDescent="0.55000000000000004">
      <c r="H65">
        <f t="shared" si="6"/>
        <v>4</v>
      </c>
      <c r="I65">
        <f>IF(H65&lt;=MAX(1,Inputs!$B$9-Inputs!$B$8),Inputs!$B$8+H65-1,"")</f>
        <v>68</v>
      </c>
      <c r="J65">
        <f t="shared" si="7"/>
        <v>59256</v>
      </c>
      <c r="K65">
        <f>IF(I65="","",_xlfn.LET(_xlpm.OpenBal,IF(H65=1,$B$47,O64),_xlpm.Factor,_xlfn.XLOOKUP(I65,RMD!$A$21:$A$69,RMD!$B$21:$B$69,0),_xlpm.Req,IF(AND(I65&gt;=RMD!$B$9,_xlpm.Factor&gt;0),_xlpm.OpenBal/_xlpm.Factor,0),MAX($B$14,_xlpm.Req)))</f>
        <v>0</v>
      </c>
      <c r="L65">
        <f t="shared" si="8"/>
        <v>60744</v>
      </c>
      <c r="M65">
        <f>IF(I65="","",_xlfn.LET(_xlpm.PT,K65,_xlpm.BR,L65,_xlpm.SS,J65,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f>
        <v>1816.76</v>
      </c>
      <c r="N65">
        <f>IF(I65="","",LOOKUP(_xlfn.LET(_xlpm.PT,K65,_xlpm.BR,L65,_xlpm.SS,J65,_xlpm.CG,_xlpm.BR*$B$46,_xlpm.Prov,_xlpm.PT+_xlpm.CG+_xlpm.SS*0.5,_xlpm.TSS,_xlpm.SS*IF(AND(Tax!$B$21&lt;=0,Tax!$B$22&lt;=0),IF(_xlpm.SS&gt;0,0.85,0),IF(_xlpm.Prov&lt;Tax!$B$21,0,IF(_xlpm.Prov&lt;Tax!$B$22,0.5,0.85))),_xlpm.PT+_xlpm.TSS+_xlpm.CG),IRMAA!$B$16:$B$21,IRMAA!$A$16:$A$21))</f>
        <v>0</v>
      </c>
      <c r="O65">
        <f t="shared" si="9"/>
        <v>1180908.5164925454</v>
      </c>
      <c r="P65">
        <f t="shared" si="10"/>
        <v>4</v>
      </c>
      <c r="Q65">
        <f>IF(P65&lt;=MAX(1,Inputs!$B$9-Inputs!$B$8),Inputs!$B$8+P65-1,"")</f>
        <v>68</v>
      </c>
      <c r="R65">
        <f t="shared" si="11"/>
        <v>59256</v>
      </c>
      <c r="S65">
        <f>IF(Q65="","",_xlfn.LET(_xlpm.OpenBal,IF(P65=1,$B$47,W64),_xlpm.Factor,_xlfn.XLOOKUP(Q65,RMD!$A$21:$A$69,RMD!$B$21:$B$69,0),_xlpm.Req,IF(AND(Q65&gt;=RMD!$B$9,_xlpm.Factor&gt;0),_xlpm.OpenBal/_xlpm.Factor,0),MAX($B$21,_xlpm.Req)))</f>
        <v>6992.3999999999942</v>
      </c>
      <c r="T65">
        <f t="shared" si="12"/>
        <v>53751.600000000006</v>
      </c>
      <c r="U65">
        <f>IF(Q65="","",_xlfn.LET(_xlpm.PT,S65,_xlpm.BR,T65,_xlpm.SS,R65,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f>
        <v>2523.1999999999989</v>
      </c>
      <c r="V65">
        <f>IF(Q65="","",LOOKUP(_xlfn.LET(_xlpm.PT,S65,_xlpm.BR,T65,_xlpm.SS,R65,_xlpm.CG,_xlpm.BR*$B$46,_xlpm.Prov,_xlpm.PT+_xlpm.CG+_xlpm.SS*0.5,_xlpm.TSS,_xlpm.SS*IF(AND(Tax!$B$21&lt;=0,Tax!$B$22&lt;=0),IF(_xlpm.SS&gt;0,0.85,0),IF(_xlpm.Prov&lt;Tax!$B$21,0,IF(_xlpm.Prov&lt;Tax!$B$22,0.5,0.85))),_xlpm.PT+_xlpm.TSS+_xlpm.CG),IRMAA!$B$16:$B$21,IRMAA!$A$16:$A$21))</f>
        <v>0</v>
      </c>
      <c r="W65">
        <f t="shared" si="13"/>
        <v>1150319.4515741456</v>
      </c>
      <c r="X65">
        <f t="shared" si="14"/>
        <v>4</v>
      </c>
      <c r="Y65">
        <f>IF(X65&lt;=MAX(1,Inputs!$B$9-Inputs!$B$8),Inputs!$B$8+X65-1,"")</f>
        <v>68</v>
      </c>
      <c r="Z65">
        <f t="shared" si="15"/>
        <v>0</v>
      </c>
      <c r="AA65">
        <f>IF(Y65="","",_xlfn.LET(_xlpm.OpenBal,IF(X65=1,$B$47,AE64),_xlpm.Factor,_xlfn.XLOOKUP(Y65,RMD!$A$21:$A$69,RMD!$B$21:$B$69,0),IF(AND(Y65&gt;=RMD!$B$9,_xlpm.Factor&gt;0),_xlpm.OpenBal/_xlpm.Factor,0)))</f>
        <v>0</v>
      </c>
      <c r="AB65">
        <f t="shared" si="16"/>
        <v>120000</v>
      </c>
      <c r="AC65">
        <f>IF(Y65="","",_xlfn.LET(_xlpm.PT,AA65,_xlpm.BR,AB65,_xlpm.SS,Z65,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f>
        <v>0</v>
      </c>
      <c r="AD65">
        <f>IF(Y65="","",LOOKUP(_xlfn.LET(_xlpm.PT,AA65,_xlpm.BR,AB65,_xlpm.SS,Z65,_xlpm.CG,_xlpm.BR*$B$46,_xlpm.Prov,_xlpm.PT+_xlpm.CG+_xlpm.SS*0.5,_xlpm.TSS,_xlpm.SS*IF(AND(Tax!$B$21&lt;=0,Tax!$B$22&lt;=0),IF(_xlpm.SS&gt;0,0.85,0),IF(_xlpm.Prov&lt;Tax!$B$21,0,IF(_xlpm.Prov&lt;Tax!$B$22,0.5,0.85))),_xlpm.PT+_xlpm.TSS+_xlpm.CG),IRMAA!$B$16:$B$21,IRMAA!$A$16:$A$21))</f>
        <v>0</v>
      </c>
      <c r="AE65">
        <f t="shared" si="17"/>
        <v>1180908.5164925454</v>
      </c>
      <c r="AG65">
        <f t="shared" si="0"/>
        <v>64</v>
      </c>
      <c r="AH65">
        <f t="shared" si="1"/>
        <v>0</v>
      </c>
      <c r="AI65">
        <f t="shared" si="2"/>
        <v>1</v>
      </c>
      <c r="AJ65">
        <f t="shared" si="3"/>
        <v>0.6</v>
      </c>
      <c r="AK65">
        <f t="shared" si="4"/>
        <v>49893.721633416484</v>
      </c>
      <c r="AL65">
        <f t="shared" si="5"/>
        <v>0</v>
      </c>
      <c r="AM65">
        <f>MIN(MAX(0,$B$10-AL65)*AI65,'Retirement Gap'!$B$29)</f>
        <v>10850.278366583516</v>
      </c>
      <c r="AN65">
        <f>IF($E$40="B - Withdrawals + Roth conversions",AJ65*MAX(0,MIN($B$47-AL65,MIN($B$59,IRMAA!$C$16)-(AL65+$B$8*0.85+AK65*$B$46))),0)</f>
        <v>0</v>
      </c>
      <c r="AO65" cm="1">
        <f t="array" ref="AO65">_xlfn.LET(_xlpm.N,$B$49,_xlpm.R,$B$48,_xlpm.Start,$B$47,_xlpm.PlanWD,AL65,_xlpm.PlanRoth,AM65,_xlpm.PlanConv,AN65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0</v>
      </c>
      <c r="AP65" cm="1">
        <f t="array" ref="AP65">_xlfn.LET(_xlpm.N,$B$49,_xlpm.R,$B$48,_xlpm.Start,$B$47,_xlpm.PlanWD,AL65,_xlpm.PlanRoth,AM65,_xlpm.PlanConv,AN65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65" cm="1">
        <f t="array" ref="AQ65">_xlfn.LET(_xlpm.N,$B$49,_xlpm.R,$B$48,_xlpm.Start,$B$47,_xlpm.PlanWD,AL65,_xlpm.PlanRoth,AM65,_xlpm.PlanConv,AN65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1011052.2471213129</v>
      </c>
      <c r="AR65" cm="1">
        <f t="array" ref="AR65">_xlfn.LET(_xlpm.N,$B$49,_xlpm.R,$B$48,_xlpm.Start,$B$47,_xlpm.PlanWD,AL65,_xlpm.PlanRoth,AM65,_xlpm.PlanConv,AN65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1251763.0274820982</v>
      </c>
      <c r="AS65">
        <f>--AND(AK65&lt;=SUM('Retirement Gap'!$B$24:$B$25,'Retirement Gap'!$B$27),AL65+AN65&lt;=$B$47,AM65&lt;='Retirement Gap'!$B$29,ABS(AK65+AL65+AM65-$B$10)&lt;1)</f>
        <v>1</v>
      </c>
      <c r="AT65" cm="1">
        <f t="array" ref="AT65">IF(AS65=0,1E+99,_xlfn.SWITCH(LEFT($E$39,1),"1",AO65,"2",AP65*1000000000+AO65,"3",-AQ65,"4",AO65+AP65*25000+AR65*0.005-AQ65*0.0001,AO65))</f>
        <v>-1011052.2471213129</v>
      </c>
    </row>
    <row r="66" spans="8:46" x14ac:dyDescent="0.55000000000000004">
      <c r="H66">
        <f t="shared" si="6"/>
        <v>5</v>
      </c>
      <c r="I66">
        <f>IF(H66&lt;=MAX(1,Inputs!$B$9-Inputs!$B$8),Inputs!$B$8+H66-1,"")</f>
        <v>69</v>
      </c>
      <c r="J66">
        <f t="shared" si="7"/>
        <v>59256</v>
      </c>
      <c r="K66">
        <f>IF(I66="","",_xlfn.LET(_xlpm.OpenBal,IF(H66=1,$B$47,O65),_xlpm.Factor,_xlfn.XLOOKUP(I66,RMD!$A$21:$A$69,RMD!$B$21:$B$69,0),_xlpm.Req,IF(AND(I66&gt;=RMD!$B$9,_xlpm.Factor&gt;0),_xlpm.OpenBal/_xlpm.Factor,0),MAX($B$14,_xlpm.Req)))</f>
        <v>0</v>
      </c>
      <c r="L66">
        <f t="shared" si="8"/>
        <v>60744</v>
      </c>
      <c r="M66">
        <f>IF(I66="","",_xlfn.LET(_xlpm.PT,K66,_xlpm.BR,L66,_xlpm.SS,J66,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f>
        <v>1816.76</v>
      </c>
      <c r="N66">
        <f>IF(I66="","",LOOKUP(_xlfn.LET(_xlpm.PT,K66,_xlpm.BR,L66,_xlpm.SS,J66,_xlpm.CG,_xlpm.BR*$B$46,_xlpm.Prov,_xlpm.PT+_xlpm.CG+_xlpm.SS*0.5,_xlpm.TSS,_xlpm.SS*IF(AND(Tax!$B$21&lt;=0,Tax!$B$22&lt;=0),IF(_xlpm.SS&gt;0,0.85,0),IF(_xlpm.Prov&lt;Tax!$B$21,0,IF(_xlpm.Prov&lt;Tax!$B$22,0.5,0.85))),_xlpm.PT+_xlpm.TSS+_xlpm.CG),IRMAA!$B$16:$B$21,IRMAA!$A$16:$A$21))</f>
        <v>0</v>
      </c>
      <c r="O66">
        <f t="shared" si="9"/>
        <v>1251763.0274820982</v>
      </c>
      <c r="P66">
        <f t="shared" si="10"/>
        <v>5</v>
      </c>
      <c r="Q66">
        <f>IF(P66&lt;=MAX(1,Inputs!$B$9-Inputs!$B$8),Inputs!$B$8+P66-1,"")</f>
        <v>69</v>
      </c>
      <c r="R66">
        <f t="shared" si="11"/>
        <v>59256</v>
      </c>
      <c r="S66">
        <f>IF(Q66="","",_xlfn.LET(_xlpm.OpenBal,IF(P66=1,$B$47,W65),_xlpm.Factor,_xlfn.XLOOKUP(Q66,RMD!$A$21:$A$69,RMD!$B$21:$B$69,0),_xlpm.Req,IF(AND(Q66&gt;=RMD!$B$9,_xlpm.Factor&gt;0),_xlpm.OpenBal/_xlpm.Factor,0),MAX($B$21,_xlpm.Req)))</f>
        <v>6992.3999999999942</v>
      </c>
      <c r="T66">
        <f t="shared" si="12"/>
        <v>53751.600000000006</v>
      </c>
      <c r="U66">
        <f>IF(Q66="","",_xlfn.LET(_xlpm.PT,S66,_xlpm.BR,T66,_xlpm.SS,R66,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f>
        <v>2523.1999999999989</v>
      </c>
      <c r="V66">
        <f>IF(Q66="","",LOOKUP(_xlfn.LET(_xlpm.PT,S66,_xlpm.BR,T66,_xlpm.SS,R66,_xlpm.CG,_xlpm.BR*$B$46,_xlpm.Prov,_xlpm.PT+_xlpm.CG+_xlpm.SS*0.5,_xlpm.TSS,_xlpm.SS*IF(AND(Tax!$B$21&lt;=0,Tax!$B$22&lt;=0),IF(_xlpm.SS&gt;0,0.85,0),IF(_xlpm.Prov&lt;Tax!$B$21,0,IF(_xlpm.Prov&lt;Tax!$B$22,0.5,0.85))),_xlpm.PT+_xlpm.TSS+_xlpm.CG),IRMAA!$B$16:$B$21,IRMAA!$A$16:$A$21))</f>
        <v>0</v>
      </c>
      <c r="W66">
        <f t="shared" si="13"/>
        <v>1212346.2186685945</v>
      </c>
      <c r="X66">
        <f t="shared" si="14"/>
        <v>5</v>
      </c>
      <c r="Y66">
        <f>IF(X66&lt;=MAX(1,Inputs!$B$9-Inputs!$B$8),Inputs!$B$8+X66-1,"")</f>
        <v>69</v>
      </c>
      <c r="Z66">
        <f t="shared" si="15"/>
        <v>0</v>
      </c>
      <c r="AA66">
        <f>IF(Y66="","",_xlfn.LET(_xlpm.OpenBal,IF(X66=1,$B$47,AE65),_xlpm.Factor,_xlfn.XLOOKUP(Y66,RMD!$A$21:$A$69,RMD!$B$21:$B$69,0),IF(AND(Y66&gt;=RMD!$B$9,_xlpm.Factor&gt;0),_xlpm.OpenBal/_xlpm.Factor,0)))</f>
        <v>0</v>
      </c>
      <c r="AB66">
        <f t="shared" si="16"/>
        <v>120000</v>
      </c>
      <c r="AC66">
        <f>IF(Y66="","",_xlfn.LET(_xlpm.PT,AA66,_xlpm.BR,AB66,_xlpm.SS,Z66,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f>
        <v>0</v>
      </c>
      <c r="AD66">
        <f>IF(Y66="","",LOOKUP(_xlfn.LET(_xlpm.PT,AA66,_xlpm.BR,AB66,_xlpm.SS,Z66,_xlpm.CG,_xlpm.BR*$B$46,_xlpm.Prov,_xlpm.PT+_xlpm.CG+_xlpm.SS*0.5,_xlpm.TSS,_xlpm.SS*IF(AND(Tax!$B$21&lt;=0,Tax!$B$22&lt;=0),IF(_xlpm.SS&gt;0,0.85,0),IF(_xlpm.Prov&lt;Tax!$B$21,0,IF(_xlpm.Prov&lt;Tax!$B$22,0.5,0.85))),_xlpm.PT+_xlpm.TSS+_xlpm.CG),IRMAA!$B$16:$B$21,IRMAA!$A$16:$A$21))</f>
        <v>0</v>
      </c>
      <c r="AE66">
        <f t="shared" si="17"/>
        <v>1251763.0274820982</v>
      </c>
      <c r="AG66">
        <f t="shared" si="0"/>
        <v>65</v>
      </c>
      <c r="AH66">
        <f t="shared" si="1"/>
        <v>0</v>
      </c>
      <c r="AI66">
        <f t="shared" si="2"/>
        <v>1</v>
      </c>
      <c r="AJ66">
        <f t="shared" si="3"/>
        <v>0.8</v>
      </c>
      <c r="AK66">
        <f t="shared" si="4"/>
        <v>49893.721633416484</v>
      </c>
      <c r="AL66">
        <f t="shared" si="5"/>
        <v>0</v>
      </c>
      <c r="AM66">
        <f>MIN(MAX(0,$B$10-AL66)*AI66,'Retirement Gap'!$B$29)</f>
        <v>10850.278366583516</v>
      </c>
      <c r="AN66">
        <f>IF($E$40="B - Withdrawals + Roth conversions",AJ66*MAX(0,MIN($B$47-AL66,MIN($B$59,IRMAA!$C$16)-(AL66+$B$8*0.85+AK66*$B$46))),0)</f>
        <v>0</v>
      </c>
      <c r="AO66" cm="1">
        <f t="array" ref="AO66">_xlfn.LET(_xlpm.N,$B$49,_xlpm.R,$B$48,_xlpm.Start,$B$47,_xlpm.PlanWD,AL66,_xlpm.PlanRoth,AM66,_xlpm.PlanConv,AN66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0</v>
      </c>
      <c r="AP66" cm="1">
        <f t="array" ref="AP66">_xlfn.LET(_xlpm.N,$B$49,_xlpm.R,$B$48,_xlpm.Start,$B$47,_xlpm.PlanWD,AL66,_xlpm.PlanRoth,AM66,_xlpm.PlanConv,AN66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66" cm="1">
        <f t="array" ref="AQ66">_xlfn.LET(_xlpm.N,$B$49,_xlpm.R,$B$48,_xlpm.Start,$B$47,_xlpm.PlanWD,AL66,_xlpm.PlanRoth,AM66,_xlpm.PlanConv,AN66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1011052.2471213129</v>
      </c>
      <c r="AR66" cm="1">
        <f t="array" ref="AR66">_xlfn.LET(_xlpm.N,$B$49,_xlpm.R,$B$48,_xlpm.Start,$B$47,_xlpm.PlanWD,AL66,_xlpm.PlanRoth,AM66,_xlpm.PlanConv,AN66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1251763.0274820982</v>
      </c>
      <c r="AS66">
        <f>--AND(AK66&lt;=SUM('Retirement Gap'!$B$24:$B$25,'Retirement Gap'!$B$27),AL66+AN66&lt;=$B$47,AM66&lt;='Retirement Gap'!$B$29,ABS(AK66+AL66+AM66-$B$10)&lt;1)</f>
        <v>1</v>
      </c>
      <c r="AT66" cm="1">
        <f t="array" ref="AT66">IF(AS66=0,1E+99,_xlfn.SWITCH(LEFT($E$39,1),"1",AO66,"2",AP66*1000000000+AO66,"3",-AQ66,"4",AO66+AP66*25000+AR66*0.005-AQ66*0.0001,AO66))</f>
        <v>-1011052.2471213129</v>
      </c>
    </row>
    <row r="67" spans="8:46" x14ac:dyDescent="0.55000000000000004">
      <c r="H67">
        <f t="shared" si="6"/>
        <v>6</v>
      </c>
      <c r="I67">
        <f>IF(H67&lt;=MAX(1,Inputs!$B$9-Inputs!$B$8),Inputs!$B$8+H67-1,"")</f>
        <v>70</v>
      </c>
      <c r="J67">
        <f t="shared" si="7"/>
        <v>59256</v>
      </c>
      <c r="K67">
        <f>IF(I67="","",_xlfn.LET(_xlpm.OpenBal,IF(H67=1,$B$47,O66),_xlpm.Factor,_xlfn.XLOOKUP(I67,RMD!$A$21:$A$69,RMD!$B$21:$B$69,0),_xlpm.Req,IF(AND(I67&gt;=RMD!$B$9,_xlpm.Factor&gt;0),_xlpm.OpenBal/_xlpm.Factor,0),MAX($B$14,_xlpm.Req)))</f>
        <v>0</v>
      </c>
      <c r="L67">
        <f t="shared" si="8"/>
        <v>60744</v>
      </c>
      <c r="M67">
        <f>IF(I67="","",_xlfn.LET(_xlpm.PT,K67,_xlpm.BR,L67,_xlpm.SS,J67,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f>
        <v>1816.76</v>
      </c>
      <c r="N67">
        <f>IF(I67="","",LOOKUP(_xlfn.LET(_xlpm.PT,K67,_xlpm.BR,L67,_xlpm.SS,J67,_xlpm.CG,_xlpm.BR*$B$46,_xlpm.Prov,_xlpm.PT+_xlpm.CG+_xlpm.SS*0.5,_xlpm.TSS,_xlpm.SS*IF(AND(Tax!$B$21&lt;=0,Tax!$B$22&lt;=0),IF(_xlpm.SS&gt;0,0.85,0),IF(_xlpm.Prov&lt;Tax!$B$21,0,IF(_xlpm.Prov&lt;Tax!$B$22,0.5,0.85))),_xlpm.PT+_xlpm.TSS+_xlpm.CG),IRMAA!$B$16:$B$21,IRMAA!$A$16:$A$21))</f>
        <v>0</v>
      </c>
      <c r="O67">
        <f t="shared" si="9"/>
        <v>1326868.8091310242</v>
      </c>
      <c r="P67">
        <f t="shared" si="10"/>
        <v>6</v>
      </c>
      <c r="Q67">
        <f>IF(P67&lt;=MAX(1,Inputs!$B$9-Inputs!$B$8),Inputs!$B$8+P67-1,"")</f>
        <v>70</v>
      </c>
      <c r="R67">
        <f t="shared" si="11"/>
        <v>59256</v>
      </c>
      <c r="S67">
        <f>IF(Q67="","",_xlfn.LET(_xlpm.OpenBal,IF(P67=1,$B$47,W66),_xlpm.Factor,_xlfn.XLOOKUP(Q67,RMD!$A$21:$A$69,RMD!$B$21:$B$69,0),_xlpm.Req,IF(AND(Q67&gt;=RMD!$B$9,_xlpm.Factor&gt;0),_xlpm.OpenBal/_xlpm.Factor,0),MAX($B$21,_xlpm.Req)))</f>
        <v>6992.3999999999942</v>
      </c>
      <c r="T67">
        <f t="shared" si="12"/>
        <v>53751.600000000006</v>
      </c>
      <c r="U67">
        <f>IF(Q67="","",_xlfn.LET(_xlpm.PT,S67,_xlpm.BR,T67,_xlpm.SS,R67,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f>
        <v>2523.1999999999989</v>
      </c>
      <c r="V67">
        <f>IF(Q67="","",LOOKUP(_xlfn.LET(_xlpm.PT,S67,_xlpm.BR,T67,_xlpm.SS,R67,_xlpm.CG,_xlpm.BR*$B$46,_xlpm.Prov,_xlpm.PT+_xlpm.CG+_xlpm.SS*0.5,_xlpm.TSS,_xlpm.SS*IF(AND(Tax!$B$21&lt;=0,Tax!$B$22&lt;=0),IF(_xlpm.SS&gt;0,0.85,0),IF(_xlpm.Prov&lt;Tax!$B$21,0,IF(_xlpm.Prov&lt;Tax!$B$22,0.5,0.85))),_xlpm.PT+_xlpm.TSS+_xlpm.CG),IRMAA!$B$16:$B$21,IRMAA!$A$16:$A$21))</f>
        <v>0</v>
      </c>
      <c r="W67">
        <f t="shared" si="13"/>
        <v>1278094.5917887103</v>
      </c>
      <c r="X67">
        <f t="shared" si="14"/>
        <v>6</v>
      </c>
      <c r="Y67">
        <f>IF(X67&lt;=MAX(1,Inputs!$B$9-Inputs!$B$8),Inputs!$B$8+X67-1,"")</f>
        <v>70</v>
      </c>
      <c r="Z67">
        <f t="shared" si="15"/>
        <v>89370</v>
      </c>
      <c r="AA67">
        <f>IF(Y67="","",_xlfn.LET(_xlpm.OpenBal,IF(X67=1,$B$47,AE66),_xlpm.Factor,_xlfn.XLOOKUP(Y67,RMD!$A$21:$A$69,RMD!$B$21:$B$69,0),IF(AND(Y67&gt;=RMD!$B$9,_xlpm.Factor&gt;0),_xlpm.OpenBal/_xlpm.Factor,0)))</f>
        <v>0</v>
      </c>
      <c r="AB67">
        <f t="shared" si="16"/>
        <v>30630</v>
      </c>
      <c r="AC67">
        <f>IF(Y67="","",_xlfn.LET(_xlpm.PT,AA67,_xlpm.BR,AB67,_xlpm.SS,Z67,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f>
        <v>4755.74</v>
      </c>
      <c r="AD67">
        <f>IF(Y67="","",LOOKUP(_xlfn.LET(_xlpm.PT,AA67,_xlpm.BR,AB67,_xlpm.SS,Z67,_xlpm.CG,_xlpm.BR*$B$46,_xlpm.Prov,_xlpm.PT+_xlpm.CG+_xlpm.SS*0.5,_xlpm.TSS,_xlpm.SS*IF(AND(Tax!$B$21&lt;=0,Tax!$B$22&lt;=0),IF(_xlpm.SS&gt;0,0.85,0),IF(_xlpm.Prov&lt;Tax!$B$21,0,IF(_xlpm.Prov&lt;Tax!$B$22,0.5,0.85))),_xlpm.PT+_xlpm.TSS+_xlpm.CG),IRMAA!$B$16:$B$21,IRMAA!$A$16:$A$21))</f>
        <v>0</v>
      </c>
      <c r="AE67">
        <f t="shared" si="17"/>
        <v>1326868.8091310242</v>
      </c>
      <c r="AG67">
        <f t="shared" ref="AG67:AG130" si="18">ROW()-1</f>
        <v>66</v>
      </c>
      <c r="AH67">
        <f t="shared" ref="AH67:AH130" si="19">INT((AG67-1)/66)/10</f>
        <v>0</v>
      </c>
      <c r="AI67">
        <f t="shared" ref="AI67:AI130" si="20">MOD(INT((AG67-1)/6),11)/10</f>
        <v>1</v>
      </c>
      <c r="AJ67">
        <f t="shared" ref="AJ67:AJ130" si="21">MOD(AG67-1,6)/5</f>
        <v>1</v>
      </c>
      <c r="AK67">
        <f t="shared" ref="AK67:AK130" si="22">MAX(0,$B$10-AL67-AM67)</f>
        <v>49893.721633416484</v>
      </c>
      <c r="AL67">
        <f t="shared" ref="AL67:AL130" si="23">MIN($B$10*AH67,$B$47)</f>
        <v>0</v>
      </c>
      <c r="AM67">
        <f>MIN(MAX(0,$B$10-AL67)*AI67,'Retirement Gap'!$B$29)</f>
        <v>10850.278366583516</v>
      </c>
      <c r="AN67">
        <f>IF($E$40="B - Withdrawals + Roth conversions",AJ67*MAX(0,MIN($B$47-AL67,MIN($B$59,IRMAA!$C$16)-(AL67+$B$8*0.85+AK67*$B$46))),0)</f>
        <v>0</v>
      </c>
      <c r="AO67" cm="1">
        <f t="array" ref="AO67">_xlfn.LET(_xlpm.N,$B$49,_xlpm.R,$B$48,_xlpm.Start,$B$47,_xlpm.PlanWD,AL67,_xlpm.PlanRoth,AM67,_xlpm.PlanConv,AN67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0</v>
      </c>
      <c r="AP67" cm="1">
        <f t="array" ref="AP67">_xlfn.LET(_xlpm.N,$B$49,_xlpm.R,$B$48,_xlpm.Start,$B$47,_xlpm.PlanWD,AL67,_xlpm.PlanRoth,AM67,_xlpm.PlanConv,AN67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67" cm="1">
        <f t="array" ref="AQ67">_xlfn.LET(_xlpm.N,$B$49,_xlpm.R,$B$48,_xlpm.Start,$B$47,_xlpm.PlanWD,AL67,_xlpm.PlanRoth,AM67,_xlpm.PlanConv,AN67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1011052.2471213129</v>
      </c>
      <c r="AR67" cm="1">
        <f t="array" ref="AR67">_xlfn.LET(_xlpm.N,$B$49,_xlpm.R,$B$48,_xlpm.Start,$B$47,_xlpm.PlanWD,AL67,_xlpm.PlanRoth,AM67,_xlpm.PlanConv,AN67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1251763.0274820982</v>
      </c>
      <c r="AS67">
        <f>--AND(AK67&lt;=SUM('Retirement Gap'!$B$24:$B$25,'Retirement Gap'!$B$27),AL67+AN67&lt;=$B$47,AM67&lt;='Retirement Gap'!$B$29,ABS(AK67+AL67+AM67-$B$10)&lt;1)</f>
        <v>1</v>
      </c>
      <c r="AT67" cm="1">
        <f t="array" ref="AT67">IF(AS67=0,1E+99,_xlfn.SWITCH(LEFT($E$39,1),"1",AO67,"2",AP67*1000000000+AO67,"3",-AQ67,"4",AO67+AP67*25000+AR67*0.005-AQ67*0.0001,AO67))</f>
        <v>-1011052.2471213129</v>
      </c>
    </row>
    <row r="68" spans="8:46" x14ac:dyDescent="0.55000000000000004">
      <c r="H68">
        <f t="shared" si="6"/>
        <v>7</v>
      </c>
      <c r="I68">
        <f>IF(H68&lt;=MAX(1,Inputs!$B$9-Inputs!$B$8),Inputs!$B$8+H68-1,"")</f>
        <v>71</v>
      </c>
      <c r="J68">
        <f t="shared" si="7"/>
        <v>59256</v>
      </c>
      <c r="K68">
        <f>IF(I68="","",_xlfn.LET(_xlpm.OpenBal,IF(H68=1,$B$47,O67),_xlpm.Factor,_xlfn.XLOOKUP(I68,RMD!$A$21:$A$69,RMD!$B$21:$B$69,0),_xlpm.Req,IF(AND(I68&gt;=RMD!$B$9,_xlpm.Factor&gt;0),_xlpm.OpenBal/_xlpm.Factor,0),MAX($B$14,_xlpm.Req)))</f>
        <v>0</v>
      </c>
      <c r="L68">
        <f t="shared" si="8"/>
        <v>60744</v>
      </c>
      <c r="M68">
        <f>IF(I68="","",_xlfn.LET(_xlpm.PT,K68,_xlpm.BR,L68,_xlpm.SS,J68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f>
        <v>1816.76</v>
      </c>
      <c r="N68">
        <f>IF(I68="","",LOOKUP(_xlfn.LET(_xlpm.PT,K68,_xlpm.BR,L68,_xlpm.SS,J68,_xlpm.CG,_xlpm.BR*$B$46,_xlpm.Prov,_xlpm.PT+_xlpm.CG+_xlpm.SS*0.5,_xlpm.TSS,_xlpm.SS*IF(AND(Tax!$B$21&lt;=0,Tax!$B$22&lt;=0),IF(_xlpm.SS&gt;0,0.85,0),IF(_xlpm.Prov&lt;Tax!$B$21,0,IF(_xlpm.Prov&lt;Tax!$B$22,0.5,0.85))),_xlpm.PT+_xlpm.TSS+_xlpm.CG),IRMAA!$B$16:$B$21,IRMAA!$A$16:$A$21))</f>
        <v>0</v>
      </c>
      <c r="O68">
        <f t="shared" si="9"/>
        <v>1406480.9376788856</v>
      </c>
      <c r="P68">
        <f t="shared" si="10"/>
        <v>7</v>
      </c>
      <c r="Q68">
        <f>IF(P68&lt;=MAX(1,Inputs!$B$9-Inputs!$B$8),Inputs!$B$8+P68-1,"")</f>
        <v>71</v>
      </c>
      <c r="R68">
        <f t="shared" si="11"/>
        <v>59256</v>
      </c>
      <c r="S68">
        <f>IF(Q68="","",_xlfn.LET(_xlpm.OpenBal,IF(P68=1,$B$47,W67),_xlpm.Factor,_xlfn.XLOOKUP(Q68,RMD!$A$21:$A$69,RMD!$B$21:$B$69,0),_xlpm.Req,IF(AND(Q68&gt;=RMD!$B$9,_xlpm.Factor&gt;0),_xlpm.OpenBal/_xlpm.Factor,0),MAX($B$21,_xlpm.Req)))</f>
        <v>6992.3999999999942</v>
      </c>
      <c r="T68">
        <f t="shared" si="12"/>
        <v>53751.600000000006</v>
      </c>
      <c r="U68">
        <f>IF(Q68="","",_xlfn.LET(_xlpm.PT,S68,_xlpm.BR,T68,_xlpm.SS,R68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f>
        <v>2523.1999999999989</v>
      </c>
      <c r="V68">
        <f>IF(Q68="","",LOOKUP(_xlfn.LET(_xlpm.PT,S68,_xlpm.BR,T68,_xlpm.SS,R68,_xlpm.CG,_xlpm.BR*$B$46,_xlpm.Prov,_xlpm.PT+_xlpm.CG+_xlpm.SS*0.5,_xlpm.TSS,_xlpm.SS*IF(AND(Tax!$B$21&lt;=0,Tax!$B$22&lt;=0),IF(_xlpm.SS&gt;0,0.85,0),IF(_xlpm.Prov&lt;Tax!$B$21,0,IF(_xlpm.Prov&lt;Tax!$B$22,0.5,0.85))),_xlpm.PT+_xlpm.TSS+_xlpm.CG),IRMAA!$B$16:$B$21,IRMAA!$A$16:$A$21))</f>
        <v>0</v>
      </c>
      <c r="W68">
        <f t="shared" si="13"/>
        <v>1347787.8672960331</v>
      </c>
      <c r="X68">
        <f t="shared" si="14"/>
        <v>7</v>
      </c>
      <c r="Y68">
        <f>IF(X68&lt;=MAX(1,Inputs!$B$9-Inputs!$B$8),Inputs!$B$8+X68-1,"")</f>
        <v>71</v>
      </c>
      <c r="Z68">
        <f t="shared" si="15"/>
        <v>89370</v>
      </c>
      <c r="AA68">
        <f>IF(Y68="","",_xlfn.LET(_xlpm.OpenBal,IF(X68=1,$B$47,AE67),_xlpm.Factor,_xlfn.XLOOKUP(Y68,RMD!$A$21:$A$69,RMD!$B$21:$B$69,0),IF(AND(Y68&gt;=RMD!$B$9,_xlpm.Factor&gt;0),_xlpm.OpenBal/_xlpm.Factor,0)))</f>
        <v>0</v>
      </c>
      <c r="AB68">
        <f t="shared" si="16"/>
        <v>30630</v>
      </c>
      <c r="AC68">
        <f>IF(Y68="","",_xlfn.LET(_xlpm.PT,AA68,_xlpm.BR,AB68,_xlpm.SS,Z68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f>
        <v>4755.74</v>
      </c>
      <c r="AD68">
        <f>IF(Y68="","",LOOKUP(_xlfn.LET(_xlpm.PT,AA68,_xlpm.BR,AB68,_xlpm.SS,Z68,_xlpm.CG,_xlpm.BR*$B$46,_xlpm.Prov,_xlpm.PT+_xlpm.CG+_xlpm.SS*0.5,_xlpm.TSS,_xlpm.SS*IF(AND(Tax!$B$21&lt;=0,Tax!$B$22&lt;=0),IF(_xlpm.SS&gt;0,0.85,0),IF(_xlpm.Prov&lt;Tax!$B$21,0,IF(_xlpm.Prov&lt;Tax!$B$22,0.5,0.85))),_xlpm.PT+_xlpm.TSS+_xlpm.CG),IRMAA!$B$16:$B$21,IRMAA!$A$16:$A$21))</f>
        <v>0</v>
      </c>
      <c r="AE68">
        <f t="shared" si="17"/>
        <v>1406480.9376788856</v>
      </c>
      <c r="AG68">
        <f t="shared" si="18"/>
        <v>67</v>
      </c>
      <c r="AH68">
        <f t="shared" si="19"/>
        <v>0.1</v>
      </c>
      <c r="AI68">
        <f t="shared" si="20"/>
        <v>0</v>
      </c>
      <c r="AJ68">
        <f t="shared" si="21"/>
        <v>0</v>
      </c>
      <c r="AK68">
        <f t="shared" si="22"/>
        <v>54669.599999999999</v>
      </c>
      <c r="AL68">
        <f t="shared" si="23"/>
        <v>6074.4000000000005</v>
      </c>
      <c r="AM68">
        <f>MIN(MAX(0,$B$10-AL68)*AI68,'Retirement Gap'!$B$29)</f>
        <v>0</v>
      </c>
      <c r="AN68">
        <f>IF($E$40="B - Withdrawals + Roth conversions",AJ68*MAX(0,MIN($B$47-AL68,MIN($B$59,IRMAA!$C$16)-(AL68+$B$8*0.85+AK68*$B$46))),0)</f>
        <v>0</v>
      </c>
      <c r="AO68" cm="1">
        <f t="array" ref="AO68">_xlfn.LET(_xlpm.N,$B$49,_xlpm.R,$B$48,_xlpm.Start,$B$47,_xlpm.PlanWD,AL68,_xlpm.PlanRoth,AM68,_xlpm.PlanConv,AN68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12121.000000000002</v>
      </c>
      <c r="AP68" cm="1">
        <f t="array" ref="AP68">_xlfn.LET(_xlpm.N,$B$49,_xlpm.R,$B$48,_xlpm.Start,$B$47,_xlpm.PlanWD,AL68,_xlpm.PlanRoth,AM68,_xlpm.PlanConv,AN68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68" cm="1">
        <f t="array" ref="AQ68">_xlfn.LET(_xlpm.N,$B$49,_xlpm.R,$B$48,_xlpm.Start,$B$47,_xlpm.PlanWD,AL68,_xlpm.PlanRoth,AM68,_xlpm.PlanConv,AN68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997386.80636768113</v>
      </c>
      <c r="AR68" cm="1">
        <f t="array" ref="AR68">_xlfn.LET(_xlpm.N,$B$49,_xlpm.R,$B$48,_xlpm.Start,$B$47,_xlpm.PlanWD,AL68,_xlpm.PlanRoth,AM68,_xlpm.PlanConv,AN68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1217521.0700058746</v>
      </c>
      <c r="AS68">
        <f>--AND(AK68&lt;=SUM('Retirement Gap'!$B$24:$B$25,'Retirement Gap'!$B$27),AL68+AN68&lt;=$B$47,AM68&lt;='Retirement Gap'!$B$29,ABS(AK68+AL68+AM68-$B$10)&lt;1)</f>
        <v>0</v>
      </c>
      <c r="AT68" cm="1">
        <f t="array" ref="AT68">IF(AS68=0,1E+99,_xlfn.SWITCH(LEFT($E$39,1),"1",AO68,"2",AP68*1000000000+AO68,"3",-AQ68,"4",AO68+AP68*25000+AR68*0.005-AQ68*0.0001,AO68))</f>
        <v>9.9999999999999997E+98</v>
      </c>
    </row>
    <row r="69" spans="8:46" x14ac:dyDescent="0.55000000000000004">
      <c r="H69">
        <f t="shared" si="6"/>
        <v>8</v>
      </c>
      <c r="I69">
        <f>IF(H69&lt;=MAX(1,Inputs!$B$9-Inputs!$B$8),Inputs!$B$8+H69-1,"")</f>
        <v>72</v>
      </c>
      <c r="J69">
        <f t="shared" si="7"/>
        <v>59256</v>
      </c>
      <c r="K69">
        <f>IF(I69="","",_xlfn.LET(_xlpm.OpenBal,IF(H69=1,$B$47,O68),_xlpm.Factor,_xlfn.XLOOKUP(I69,RMD!$A$21:$A$69,RMD!$B$21:$B$69,0),_xlpm.Req,IF(AND(I69&gt;=RMD!$B$9,_xlpm.Factor&gt;0),_xlpm.OpenBal/_xlpm.Factor,0),MAX($B$14,_xlpm.Req)))</f>
        <v>0</v>
      </c>
      <c r="L69">
        <f t="shared" si="8"/>
        <v>60744</v>
      </c>
      <c r="M69">
        <f>IF(I69="","",_xlfn.LET(_xlpm.PT,K69,_xlpm.BR,L69,_xlpm.SS,J69,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f>
        <v>1816.76</v>
      </c>
      <c r="N69">
        <f>IF(I69="","",LOOKUP(_xlfn.LET(_xlpm.PT,K69,_xlpm.BR,L69,_xlpm.SS,J69,_xlpm.CG,_xlpm.BR*$B$46,_xlpm.Prov,_xlpm.PT+_xlpm.CG+_xlpm.SS*0.5,_xlpm.TSS,_xlpm.SS*IF(AND(Tax!$B$21&lt;=0,Tax!$B$22&lt;=0),IF(_xlpm.SS&gt;0,0.85,0),IF(_xlpm.Prov&lt;Tax!$B$21,0,IF(_xlpm.Prov&lt;Tax!$B$22,0.5,0.85))),_xlpm.PT+_xlpm.TSS+_xlpm.CG),IRMAA!$B$16:$B$21,IRMAA!$A$16:$A$21))</f>
        <v>0</v>
      </c>
      <c r="O69">
        <f t="shared" si="9"/>
        <v>1490869.7939396189</v>
      </c>
      <c r="P69">
        <f t="shared" si="10"/>
        <v>8</v>
      </c>
      <c r="Q69">
        <f>IF(P69&lt;=MAX(1,Inputs!$B$9-Inputs!$B$8),Inputs!$B$8+P69-1,"")</f>
        <v>72</v>
      </c>
      <c r="R69">
        <f t="shared" si="11"/>
        <v>59256</v>
      </c>
      <c r="S69">
        <f>IF(Q69="","",_xlfn.LET(_xlpm.OpenBal,IF(P69=1,$B$47,W68),_xlpm.Factor,_xlfn.XLOOKUP(Q69,RMD!$A$21:$A$69,RMD!$B$21:$B$69,0),_xlpm.Req,IF(AND(Q69&gt;=RMD!$B$9,_xlpm.Factor&gt;0),_xlpm.OpenBal/_xlpm.Factor,0),MAX($B$21,_xlpm.Req)))</f>
        <v>6992.3999999999942</v>
      </c>
      <c r="T69">
        <f t="shared" si="12"/>
        <v>53751.600000000006</v>
      </c>
      <c r="U69">
        <f>IF(Q69="","",_xlfn.LET(_xlpm.PT,S69,_xlpm.BR,T69,_xlpm.SS,R69,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f>
        <v>2523.1999999999989</v>
      </c>
      <c r="V69">
        <f>IF(Q69="","",LOOKUP(_xlfn.LET(_xlpm.PT,S69,_xlpm.BR,T69,_xlpm.SS,R69,_xlpm.CG,_xlpm.BR*$B$46,_xlpm.Prov,_xlpm.PT+_xlpm.CG+_xlpm.SS*0.5,_xlpm.TSS,_xlpm.SS*IF(AND(Tax!$B$21&lt;=0,Tax!$B$22&lt;=0),IF(_xlpm.SS&gt;0,0.85,0),IF(_xlpm.Prov&lt;Tax!$B$21,0,IF(_xlpm.Prov&lt;Tax!$B$22,0.5,0.85))),_xlpm.PT+_xlpm.TSS+_xlpm.CG),IRMAA!$B$16:$B$21,IRMAA!$A$16:$A$21))</f>
        <v>0</v>
      </c>
      <c r="W69">
        <f t="shared" si="13"/>
        <v>1421662.7393337952</v>
      </c>
      <c r="X69">
        <f t="shared" si="14"/>
        <v>8</v>
      </c>
      <c r="Y69">
        <f>IF(X69&lt;=MAX(1,Inputs!$B$9-Inputs!$B$8),Inputs!$B$8+X69-1,"")</f>
        <v>72</v>
      </c>
      <c r="Z69">
        <f t="shared" si="15"/>
        <v>89370</v>
      </c>
      <c r="AA69">
        <f>IF(Y69="","",_xlfn.LET(_xlpm.OpenBal,IF(X69=1,$B$47,AE68),_xlpm.Factor,_xlfn.XLOOKUP(Y69,RMD!$A$21:$A$69,RMD!$B$21:$B$69,0),IF(AND(Y69&gt;=RMD!$B$9,_xlpm.Factor&gt;0),_xlpm.OpenBal/_xlpm.Factor,0)))</f>
        <v>0</v>
      </c>
      <c r="AB69">
        <f t="shared" si="16"/>
        <v>30630</v>
      </c>
      <c r="AC69">
        <f>IF(Y69="","",_xlfn.LET(_xlpm.PT,AA69,_xlpm.BR,AB69,_xlpm.SS,Z69,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f>
        <v>4755.74</v>
      </c>
      <c r="AD69">
        <f>IF(Y69="","",LOOKUP(_xlfn.LET(_xlpm.PT,AA69,_xlpm.BR,AB69,_xlpm.SS,Z69,_xlpm.CG,_xlpm.BR*$B$46,_xlpm.Prov,_xlpm.PT+_xlpm.CG+_xlpm.SS*0.5,_xlpm.TSS,_xlpm.SS*IF(AND(Tax!$B$21&lt;=0,Tax!$B$22&lt;=0),IF(_xlpm.SS&gt;0,0.85,0),IF(_xlpm.Prov&lt;Tax!$B$21,0,IF(_xlpm.Prov&lt;Tax!$B$22,0.5,0.85))),_xlpm.PT+_xlpm.TSS+_xlpm.CG),IRMAA!$B$16:$B$21,IRMAA!$A$16:$A$21))</f>
        <v>0</v>
      </c>
      <c r="AE69">
        <f t="shared" si="17"/>
        <v>1490869.7939396189</v>
      </c>
      <c r="AG69">
        <f t="shared" si="18"/>
        <v>68</v>
      </c>
      <c r="AH69">
        <f t="shared" si="19"/>
        <v>0.1</v>
      </c>
      <c r="AI69">
        <f t="shared" si="20"/>
        <v>0</v>
      </c>
      <c r="AJ69">
        <f t="shared" si="21"/>
        <v>0.2</v>
      </c>
      <c r="AK69">
        <f t="shared" si="22"/>
        <v>54669.599999999999</v>
      </c>
      <c r="AL69">
        <f t="shared" si="23"/>
        <v>6074.4000000000005</v>
      </c>
      <c r="AM69">
        <f>MIN(MAX(0,$B$10-AL69)*AI69,'Retirement Gap'!$B$29)</f>
        <v>0</v>
      </c>
      <c r="AN69">
        <f>IF($E$40="B - Withdrawals + Roth conversions",AJ69*MAX(0,MIN($B$47-AL69,MIN($B$59,IRMAA!$C$16)-(AL69+$B$8*0.85+AK69*$B$46))),0)</f>
        <v>0</v>
      </c>
      <c r="AO69" cm="1">
        <f t="array" ref="AO69">_xlfn.LET(_xlpm.N,$B$49,_xlpm.R,$B$48,_xlpm.Start,$B$47,_xlpm.PlanWD,AL69,_xlpm.PlanRoth,AM69,_xlpm.PlanConv,AN69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12121.000000000002</v>
      </c>
      <c r="AP69" cm="1">
        <f t="array" ref="AP69">_xlfn.LET(_xlpm.N,$B$49,_xlpm.R,$B$48,_xlpm.Start,$B$47,_xlpm.PlanWD,AL69,_xlpm.PlanRoth,AM69,_xlpm.PlanConv,AN69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69" cm="1">
        <f t="array" ref="AQ69">_xlfn.LET(_xlpm.N,$B$49,_xlpm.R,$B$48,_xlpm.Start,$B$47,_xlpm.PlanWD,AL69,_xlpm.PlanRoth,AM69,_xlpm.PlanConv,AN69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997386.80636768113</v>
      </c>
      <c r="AR69" cm="1">
        <f t="array" ref="AR69">_xlfn.LET(_xlpm.N,$B$49,_xlpm.R,$B$48,_xlpm.Start,$B$47,_xlpm.PlanWD,AL69,_xlpm.PlanRoth,AM69,_xlpm.PlanConv,AN69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1217521.0700058746</v>
      </c>
      <c r="AS69">
        <f>--AND(AK69&lt;=SUM('Retirement Gap'!$B$24:$B$25,'Retirement Gap'!$B$27),AL69+AN69&lt;=$B$47,AM69&lt;='Retirement Gap'!$B$29,ABS(AK69+AL69+AM69-$B$10)&lt;1)</f>
        <v>0</v>
      </c>
      <c r="AT69" cm="1">
        <f t="array" ref="AT69">IF(AS69=0,1E+99,_xlfn.SWITCH(LEFT($E$39,1),"1",AO69,"2",AP69*1000000000+AO69,"3",-AQ69,"4",AO69+AP69*25000+AR69*0.005-AQ69*0.0001,AO69))</f>
        <v>9.9999999999999997E+98</v>
      </c>
    </row>
    <row r="70" spans="8:46" x14ac:dyDescent="0.55000000000000004">
      <c r="H70">
        <f t="shared" si="6"/>
        <v>9</v>
      </c>
      <c r="I70">
        <f>IF(H70&lt;=MAX(1,Inputs!$B$9-Inputs!$B$8),Inputs!$B$8+H70-1,"")</f>
        <v>73</v>
      </c>
      <c r="J70">
        <f t="shared" si="7"/>
        <v>59256</v>
      </c>
      <c r="K70">
        <f>IF(I70="","",_xlfn.LET(_xlpm.OpenBal,IF(H70=1,$B$47,O69),_xlpm.Factor,_xlfn.XLOOKUP(I70,RMD!$A$21:$A$69,RMD!$B$21:$B$69,0),_xlpm.Req,IF(AND(I70&gt;=RMD!$B$9,_xlpm.Factor&gt;0),_xlpm.OpenBal/_xlpm.Factor,0),MAX($B$14,_xlpm.Req)))</f>
        <v>0</v>
      </c>
      <c r="L70">
        <f t="shared" si="8"/>
        <v>60744</v>
      </c>
      <c r="M70">
        <f>IF(I70="","",_xlfn.LET(_xlpm.PT,K70,_xlpm.BR,L70,_xlpm.SS,J70,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f>
        <v>1816.76</v>
      </c>
      <c r="N70">
        <f>IF(I70="","",LOOKUP(_xlfn.LET(_xlpm.PT,K70,_xlpm.BR,L70,_xlpm.SS,J70,_xlpm.CG,_xlpm.BR*$B$46,_xlpm.Prov,_xlpm.PT+_xlpm.CG+_xlpm.SS*0.5,_xlpm.TSS,_xlpm.SS*IF(AND(Tax!$B$21&lt;=0,Tax!$B$22&lt;=0),IF(_xlpm.SS&gt;0,0.85,0),IF(_xlpm.Prov&lt;Tax!$B$21,0,IF(_xlpm.Prov&lt;Tax!$B$22,0.5,0.85))),_xlpm.PT+_xlpm.TSS+_xlpm.CG),IRMAA!$B$16:$B$21,IRMAA!$A$16:$A$21))</f>
        <v>0</v>
      </c>
      <c r="O70">
        <f t="shared" si="9"/>
        <v>1580321.9815759961</v>
      </c>
      <c r="P70">
        <f t="shared" si="10"/>
        <v>9</v>
      </c>
      <c r="Q70">
        <f>IF(P70&lt;=MAX(1,Inputs!$B$9-Inputs!$B$8),Inputs!$B$8+P70-1,"")</f>
        <v>73</v>
      </c>
      <c r="R70">
        <f t="shared" si="11"/>
        <v>59256</v>
      </c>
      <c r="S70">
        <f>IF(Q70="","",_xlfn.LET(_xlpm.OpenBal,IF(P70=1,$B$47,W69),_xlpm.Factor,_xlfn.XLOOKUP(Q70,RMD!$A$21:$A$69,RMD!$B$21:$B$69,0),_xlpm.Req,IF(AND(Q70&gt;=RMD!$B$9,_xlpm.Factor&gt;0),_xlpm.OpenBal/_xlpm.Factor,0),MAX($B$21,_xlpm.Req)))</f>
        <v>6992.3999999999942</v>
      </c>
      <c r="T70">
        <f t="shared" si="12"/>
        <v>53751.600000000006</v>
      </c>
      <c r="U70">
        <f>IF(Q70="","",_xlfn.LET(_xlpm.PT,S70,_xlpm.BR,T70,_xlpm.SS,R70,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f>
        <v>2523.1999999999989</v>
      </c>
      <c r="V70">
        <f>IF(Q70="","",LOOKUP(_xlfn.LET(_xlpm.PT,S70,_xlpm.BR,T70,_xlpm.SS,R70,_xlpm.CG,_xlpm.BR*$B$46,_xlpm.Prov,_xlpm.PT+_xlpm.CG+_xlpm.SS*0.5,_xlpm.TSS,_xlpm.SS*IF(AND(Tax!$B$21&lt;=0,Tax!$B$22&lt;=0),IF(_xlpm.SS&gt;0,0.85,0),IF(_xlpm.Prov&lt;Tax!$B$21,0,IF(_xlpm.Prov&lt;Tax!$B$22,0.5,0.85))),_xlpm.PT+_xlpm.TSS+_xlpm.CG),IRMAA!$B$16:$B$21,IRMAA!$A$16:$A$21))</f>
        <v>0</v>
      </c>
      <c r="W70">
        <f t="shared" si="13"/>
        <v>1499970.1036938231</v>
      </c>
      <c r="X70">
        <f t="shared" si="14"/>
        <v>9</v>
      </c>
      <c r="Y70">
        <f>IF(X70&lt;=MAX(1,Inputs!$B$9-Inputs!$B$8),Inputs!$B$8+X70-1,"")</f>
        <v>73</v>
      </c>
      <c r="Z70">
        <f t="shared" si="15"/>
        <v>89370</v>
      </c>
      <c r="AA70">
        <f>IF(Y70="","",_xlfn.LET(_xlpm.OpenBal,IF(X70=1,$B$47,AE69),_xlpm.Factor,_xlfn.XLOOKUP(Y70,RMD!$A$21:$A$69,RMD!$B$21:$B$69,0),IF(AND(Y70&gt;=RMD!$B$9,_xlpm.Factor&gt;0),_xlpm.OpenBal/_xlpm.Factor,0)))</f>
        <v>0</v>
      </c>
      <c r="AB70">
        <f t="shared" si="16"/>
        <v>30630</v>
      </c>
      <c r="AC70">
        <f>IF(Y70="","",_xlfn.LET(_xlpm.PT,AA70,_xlpm.BR,AB70,_xlpm.SS,Z70,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f>
        <v>4755.74</v>
      </c>
      <c r="AD70">
        <f>IF(Y70="","",LOOKUP(_xlfn.LET(_xlpm.PT,AA70,_xlpm.BR,AB70,_xlpm.SS,Z70,_xlpm.CG,_xlpm.BR*$B$46,_xlpm.Prov,_xlpm.PT+_xlpm.CG+_xlpm.SS*0.5,_xlpm.TSS,_xlpm.SS*IF(AND(Tax!$B$21&lt;=0,Tax!$B$22&lt;=0),IF(_xlpm.SS&gt;0,0.85,0),IF(_xlpm.Prov&lt;Tax!$B$21,0,IF(_xlpm.Prov&lt;Tax!$B$22,0.5,0.85))),_xlpm.PT+_xlpm.TSS+_xlpm.CG),IRMAA!$B$16:$B$21,IRMAA!$A$16:$A$21))</f>
        <v>0</v>
      </c>
      <c r="AE70">
        <f t="shared" si="17"/>
        <v>1580321.9815759961</v>
      </c>
      <c r="AG70">
        <f t="shared" si="18"/>
        <v>69</v>
      </c>
      <c r="AH70">
        <f t="shared" si="19"/>
        <v>0.1</v>
      </c>
      <c r="AI70">
        <f t="shared" si="20"/>
        <v>0</v>
      </c>
      <c r="AJ70">
        <f t="shared" si="21"/>
        <v>0.4</v>
      </c>
      <c r="AK70">
        <f t="shared" si="22"/>
        <v>54669.599999999999</v>
      </c>
      <c r="AL70">
        <f t="shared" si="23"/>
        <v>6074.4000000000005</v>
      </c>
      <c r="AM70">
        <f>MIN(MAX(0,$B$10-AL70)*AI70,'Retirement Gap'!$B$29)</f>
        <v>0</v>
      </c>
      <c r="AN70">
        <f>IF($E$40="B - Withdrawals + Roth conversions",AJ70*MAX(0,MIN($B$47-AL70,MIN($B$59,IRMAA!$C$16)-(AL70+$B$8*0.85+AK70*$B$46))),0)</f>
        <v>0</v>
      </c>
      <c r="AO70" cm="1">
        <f t="array" ref="AO70">_xlfn.LET(_xlpm.N,$B$49,_xlpm.R,$B$48,_xlpm.Start,$B$47,_xlpm.PlanWD,AL70,_xlpm.PlanRoth,AM70,_xlpm.PlanConv,AN70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12121.000000000002</v>
      </c>
      <c r="AP70" cm="1">
        <f t="array" ref="AP70">_xlfn.LET(_xlpm.N,$B$49,_xlpm.R,$B$48,_xlpm.Start,$B$47,_xlpm.PlanWD,AL70,_xlpm.PlanRoth,AM70,_xlpm.PlanConv,AN70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70" cm="1">
        <f t="array" ref="AQ70">_xlfn.LET(_xlpm.N,$B$49,_xlpm.R,$B$48,_xlpm.Start,$B$47,_xlpm.PlanWD,AL70,_xlpm.PlanRoth,AM70,_xlpm.PlanConv,AN70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997386.80636768113</v>
      </c>
      <c r="AR70" cm="1">
        <f t="array" ref="AR70">_xlfn.LET(_xlpm.N,$B$49,_xlpm.R,$B$48,_xlpm.Start,$B$47,_xlpm.PlanWD,AL70,_xlpm.PlanRoth,AM70,_xlpm.PlanConv,AN70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1217521.0700058746</v>
      </c>
      <c r="AS70">
        <f>--AND(AK70&lt;=SUM('Retirement Gap'!$B$24:$B$25,'Retirement Gap'!$B$27),AL70+AN70&lt;=$B$47,AM70&lt;='Retirement Gap'!$B$29,ABS(AK70+AL70+AM70-$B$10)&lt;1)</f>
        <v>0</v>
      </c>
      <c r="AT70" cm="1">
        <f t="array" ref="AT70">IF(AS70=0,1E+99,_xlfn.SWITCH(LEFT($E$39,1),"1",AO70,"2",AP70*1000000000+AO70,"3",-AQ70,"4",AO70+AP70*25000+AR70*0.005-AQ70*0.0001,AO70))</f>
        <v>9.9999999999999997E+98</v>
      </c>
    </row>
    <row r="71" spans="8:46" x14ac:dyDescent="0.55000000000000004">
      <c r="H71">
        <f t="shared" si="6"/>
        <v>10</v>
      </c>
      <c r="I71">
        <f>IF(H71&lt;=MAX(1,Inputs!$B$9-Inputs!$B$8),Inputs!$B$8+H71-1,"")</f>
        <v>74</v>
      </c>
      <c r="J71">
        <f t="shared" si="7"/>
        <v>59256</v>
      </c>
      <c r="K71">
        <f>IF(I71="","",_xlfn.LET(_xlpm.OpenBal,IF(H71=1,$B$47,O70),_xlpm.Factor,_xlfn.XLOOKUP(I71,RMD!$A$21:$A$69,RMD!$B$21:$B$69,0),_xlpm.Req,IF(AND(I71&gt;=RMD!$B$9,_xlpm.Factor&gt;0),_xlpm.OpenBal/_xlpm.Factor,0),MAX($B$14,_xlpm.Req)))</f>
        <v>0</v>
      </c>
      <c r="L71">
        <f t="shared" si="8"/>
        <v>60744</v>
      </c>
      <c r="M71">
        <f>IF(I71="","",_xlfn.LET(_xlpm.PT,K71,_xlpm.BR,L71,_xlpm.SS,J71,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f>
        <v>1816.76</v>
      </c>
      <c r="N71">
        <f>IF(I71="","",LOOKUP(_xlfn.LET(_xlpm.PT,K71,_xlpm.BR,L71,_xlpm.SS,J71,_xlpm.CG,_xlpm.BR*$B$46,_xlpm.Prov,_xlpm.PT+_xlpm.CG+_xlpm.SS*0.5,_xlpm.TSS,_xlpm.SS*IF(AND(Tax!$B$21&lt;=0,Tax!$B$22&lt;=0),IF(_xlpm.SS&gt;0,0.85,0),IF(_xlpm.Prov&lt;Tax!$B$21,0,IF(_xlpm.Prov&lt;Tax!$B$22,0.5,0.85))),_xlpm.PT+_xlpm.TSS+_xlpm.CG),IRMAA!$B$16:$B$21,IRMAA!$A$16:$A$21))</f>
        <v>0</v>
      </c>
      <c r="O71">
        <f t="shared" si="9"/>
        <v>1675141.3004705559</v>
      </c>
      <c r="P71">
        <f t="shared" si="10"/>
        <v>10</v>
      </c>
      <c r="Q71">
        <f>IF(P71&lt;=MAX(1,Inputs!$B$9-Inputs!$B$8),Inputs!$B$8+P71-1,"")</f>
        <v>74</v>
      </c>
      <c r="R71">
        <f t="shared" si="11"/>
        <v>59256</v>
      </c>
      <c r="S71">
        <f>IF(Q71="","",_xlfn.LET(_xlpm.OpenBal,IF(P71=1,$B$47,W70),_xlpm.Factor,_xlfn.XLOOKUP(Q71,RMD!$A$21:$A$69,RMD!$B$21:$B$69,0),_xlpm.Req,IF(AND(Q71&gt;=RMD!$B$9,_xlpm.Factor&gt;0),_xlpm.OpenBal/_xlpm.Factor,0),MAX($B$21,_xlpm.Req)))</f>
        <v>6992.3999999999942</v>
      </c>
      <c r="T71">
        <f t="shared" si="12"/>
        <v>53751.600000000006</v>
      </c>
      <c r="U71">
        <f>IF(Q71="","",_xlfn.LET(_xlpm.PT,S71,_xlpm.BR,T71,_xlpm.SS,R71,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f>
        <v>2523.1999999999989</v>
      </c>
      <c r="V71">
        <f>IF(Q71="","",LOOKUP(_xlfn.LET(_xlpm.PT,S71,_xlpm.BR,T71,_xlpm.SS,R71,_xlpm.CG,_xlpm.BR*$B$46,_xlpm.Prov,_xlpm.PT+_xlpm.CG+_xlpm.SS*0.5,_xlpm.TSS,_xlpm.SS*IF(AND(Tax!$B$21&lt;=0,Tax!$B$22&lt;=0),IF(_xlpm.SS&gt;0,0.85,0),IF(_xlpm.Prov&lt;Tax!$B$21,0,IF(_xlpm.Prov&lt;Tax!$B$22,0.5,0.85))),_xlpm.PT+_xlpm.TSS+_xlpm.CG),IRMAA!$B$16:$B$21,IRMAA!$A$16:$A$21))</f>
        <v>0</v>
      </c>
      <c r="W71">
        <f t="shared" si="13"/>
        <v>1582975.9099154526</v>
      </c>
      <c r="X71">
        <f t="shared" si="14"/>
        <v>10</v>
      </c>
      <c r="Y71">
        <f>IF(X71&lt;=MAX(1,Inputs!$B$9-Inputs!$B$8),Inputs!$B$8+X71-1,"")</f>
        <v>74</v>
      </c>
      <c r="Z71">
        <f t="shared" si="15"/>
        <v>89370</v>
      </c>
      <c r="AA71">
        <f>IF(Y71="","",_xlfn.LET(_xlpm.OpenBal,IF(X71=1,$B$47,AE70),_xlpm.Factor,_xlfn.XLOOKUP(Y71,RMD!$A$21:$A$69,RMD!$B$21:$B$69,0),IF(AND(Y71&gt;=RMD!$B$9,_xlpm.Factor&gt;0),_xlpm.OpenBal/_xlpm.Factor,0)))</f>
        <v>0</v>
      </c>
      <c r="AB71">
        <f t="shared" si="16"/>
        <v>30630</v>
      </c>
      <c r="AC71">
        <f>IF(Y71="","",_xlfn.LET(_xlpm.PT,AA71,_xlpm.BR,AB71,_xlpm.SS,Z71,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f>
        <v>4755.74</v>
      </c>
      <c r="AD71">
        <f>IF(Y71="","",LOOKUP(_xlfn.LET(_xlpm.PT,AA71,_xlpm.BR,AB71,_xlpm.SS,Z71,_xlpm.CG,_xlpm.BR*$B$46,_xlpm.Prov,_xlpm.PT+_xlpm.CG+_xlpm.SS*0.5,_xlpm.TSS,_xlpm.SS*IF(AND(Tax!$B$21&lt;=0,Tax!$B$22&lt;=0),IF(_xlpm.SS&gt;0,0.85,0),IF(_xlpm.Prov&lt;Tax!$B$21,0,IF(_xlpm.Prov&lt;Tax!$B$22,0.5,0.85))),_xlpm.PT+_xlpm.TSS+_xlpm.CG),IRMAA!$B$16:$B$21,IRMAA!$A$16:$A$21))</f>
        <v>0</v>
      </c>
      <c r="AE71">
        <f t="shared" si="17"/>
        <v>1675141.3004705559</v>
      </c>
      <c r="AG71">
        <f t="shared" si="18"/>
        <v>70</v>
      </c>
      <c r="AH71">
        <f t="shared" si="19"/>
        <v>0.1</v>
      </c>
      <c r="AI71">
        <f t="shared" si="20"/>
        <v>0</v>
      </c>
      <c r="AJ71">
        <f t="shared" si="21"/>
        <v>0.6</v>
      </c>
      <c r="AK71">
        <f t="shared" si="22"/>
        <v>54669.599999999999</v>
      </c>
      <c r="AL71">
        <f t="shared" si="23"/>
        <v>6074.4000000000005</v>
      </c>
      <c r="AM71">
        <f>MIN(MAX(0,$B$10-AL71)*AI71,'Retirement Gap'!$B$29)</f>
        <v>0</v>
      </c>
      <c r="AN71">
        <f>IF($E$40="B - Withdrawals + Roth conversions",AJ71*MAX(0,MIN($B$47-AL71,MIN($B$59,IRMAA!$C$16)-(AL71+$B$8*0.85+AK71*$B$46))),0)</f>
        <v>0</v>
      </c>
      <c r="AO71" cm="1">
        <f t="array" ref="AO71">_xlfn.LET(_xlpm.N,$B$49,_xlpm.R,$B$48,_xlpm.Start,$B$47,_xlpm.PlanWD,AL71,_xlpm.PlanRoth,AM71,_xlpm.PlanConv,AN71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12121.000000000002</v>
      </c>
      <c r="AP71" cm="1">
        <f t="array" ref="AP71">_xlfn.LET(_xlpm.N,$B$49,_xlpm.R,$B$48,_xlpm.Start,$B$47,_xlpm.PlanWD,AL71,_xlpm.PlanRoth,AM71,_xlpm.PlanConv,AN71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71" cm="1">
        <f t="array" ref="AQ71">_xlfn.LET(_xlpm.N,$B$49,_xlpm.R,$B$48,_xlpm.Start,$B$47,_xlpm.PlanWD,AL71,_xlpm.PlanRoth,AM71,_xlpm.PlanConv,AN71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997386.80636768113</v>
      </c>
      <c r="AR71" cm="1">
        <f t="array" ref="AR71">_xlfn.LET(_xlpm.N,$B$49,_xlpm.R,$B$48,_xlpm.Start,$B$47,_xlpm.PlanWD,AL71,_xlpm.PlanRoth,AM71,_xlpm.PlanConv,AN71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1217521.0700058746</v>
      </c>
      <c r="AS71">
        <f>--AND(AK71&lt;=SUM('Retirement Gap'!$B$24:$B$25,'Retirement Gap'!$B$27),AL71+AN71&lt;=$B$47,AM71&lt;='Retirement Gap'!$B$29,ABS(AK71+AL71+AM71-$B$10)&lt;1)</f>
        <v>0</v>
      </c>
      <c r="AT71" cm="1">
        <f t="array" ref="AT71">IF(AS71=0,1E+99,_xlfn.SWITCH(LEFT($E$39,1),"1",AO71,"2",AP71*1000000000+AO71,"3",-AQ71,"4",AO71+AP71*25000+AR71*0.005-AQ71*0.0001,AO71))</f>
        <v>9.9999999999999997E+98</v>
      </c>
    </row>
    <row r="72" spans="8:46" x14ac:dyDescent="0.55000000000000004">
      <c r="H72">
        <f t="shared" si="6"/>
        <v>11</v>
      </c>
      <c r="I72">
        <f>IF(H72&lt;=MAX(1,Inputs!$B$9-Inputs!$B$8),Inputs!$B$8+H72-1,"")</f>
        <v>75</v>
      </c>
      <c r="J72">
        <f t="shared" si="7"/>
        <v>59256</v>
      </c>
      <c r="K72">
        <f>IF(I72="","",_xlfn.LET(_xlpm.OpenBal,IF(H72=1,$B$47,O71),_xlpm.Factor,_xlfn.XLOOKUP(I72,RMD!$A$21:$A$69,RMD!$B$21:$B$69,0),_xlpm.Req,IF(AND(I72&gt;=RMD!$B$9,_xlpm.Factor&gt;0),_xlpm.OpenBal/_xlpm.Factor,0),MAX($B$14,_xlpm.Req)))</f>
        <v>68095.174815876249</v>
      </c>
      <c r="L72">
        <f t="shared" si="8"/>
        <v>0</v>
      </c>
      <c r="M72">
        <f>IF(I72="","",_xlfn.LET(_xlpm.PT,K72,_xlpm.BR,L72,_xlpm.SS,J72,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f>
        <v>9855.5329779051499</v>
      </c>
      <c r="N72">
        <f>IF(I72="","",LOOKUP(_xlfn.LET(_xlpm.PT,K72,_xlpm.BR,L72,_xlpm.SS,J72,_xlpm.CG,_xlpm.BR*$B$46,_xlpm.Prov,_xlpm.PT+_xlpm.CG+_xlpm.SS*0.5,_xlpm.TSS,_xlpm.SS*IF(AND(Tax!$B$21&lt;=0,Tax!$B$22&lt;=0),IF(_xlpm.SS&gt;0,0.85,0),IF(_xlpm.Prov&lt;Tax!$B$21,0,IF(_xlpm.Prov&lt;Tax!$B$22,0.5,0.85))),_xlpm.PT+_xlpm.TSS+_xlpm.CG),IRMAA!$B$16:$B$21,IRMAA!$A$16:$A$21))</f>
        <v>0</v>
      </c>
      <c r="O72">
        <f t="shared" si="9"/>
        <v>1707554.6036829131</v>
      </c>
      <c r="P72">
        <f t="shared" si="10"/>
        <v>11</v>
      </c>
      <c r="Q72">
        <f>IF(P72&lt;=MAX(1,Inputs!$B$9-Inputs!$B$8),Inputs!$B$8+P72-1,"")</f>
        <v>75</v>
      </c>
      <c r="R72">
        <f t="shared" si="11"/>
        <v>59256</v>
      </c>
      <c r="S72">
        <f>IF(Q72="","",_xlfn.LET(_xlpm.OpenBal,IF(P72=1,$B$47,W71),_xlpm.Factor,_xlfn.XLOOKUP(Q72,RMD!$A$21:$A$69,RMD!$B$21:$B$69,0),_xlpm.Req,IF(AND(Q72&gt;=RMD!$B$9,_xlpm.Factor&gt;0),_xlpm.OpenBal/_xlpm.Factor,0),MAX($B$21,_xlpm.Req)))</f>
        <v>64348.614224205383</v>
      </c>
      <c r="T72">
        <f t="shared" si="12"/>
        <v>0</v>
      </c>
      <c r="U72">
        <f>IF(Q72="","",_xlfn.LET(_xlpm.PT,S72,_xlpm.BR,T72,_xlpm.SS,R72,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f>
        <v>9405.9457069046457</v>
      </c>
      <c r="V72">
        <f>IF(Q72="","",LOOKUP(_xlfn.LET(_xlpm.PT,S72,_xlpm.BR,T72,_xlpm.SS,R72,_xlpm.CG,_xlpm.BR*$B$46,_xlpm.Prov,_xlpm.PT+_xlpm.CG+_xlpm.SS*0.5,_xlpm.TSS,_xlpm.SS*IF(AND(Tax!$B$21&lt;=0,Tax!$B$22&lt;=0),IF(_xlpm.SS&gt;0,0.85,0),IF(_xlpm.Prov&lt;Tax!$B$21,0,IF(_xlpm.Prov&lt;Tax!$B$22,0.5,0.85))),_xlpm.PT+_xlpm.TSS+_xlpm.CG),IRMAA!$B$16:$B$21,IRMAA!$A$16:$A$21))</f>
        <v>0</v>
      </c>
      <c r="W72">
        <f t="shared" si="13"/>
        <v>1613605.8502861743</v>
      </c>
      <c r="X72">
        <f t="shared" si="14"/>
        <v>11</v>
      </c>
      <c r="Y72">
        <f>IF(X72&lt;=MAX(1,Inputs!$B$9-Inputs!$B$8),Inputs!$B$8+X72-1,"")</f>
        <v>75</v>
      </c>
      <c r="Z72">
        <f t="shared" si="15"/>
        <v>89370</v>
      </c>
      <c r="AA72">
        <f>IF(Y72="","",_xlfn.LET(_xlpm.OpenBal,IF(X72=1,$B$47,AE71),_xlpm.Factor,_xlfn.XLOOKUP(Y72,RMD!$A$21:$A$69,RMD!$B$21:$B$69,0),IF(AND(Y72&gt;=RMD!$B$9,_xlpm.Factor&gt;0),_xlpm.OpenBal/_xlpm.Factor,0)))</f>
        <v>68095.174815876249</v>
      </c>
      <c r="AB72">
        <f t="shared" si="16"/>
        <v>0</v>
      </c>
      <c r="AC72">
        <f>IF(Y72="","",_xlfn.LET(_xlpm.PT,AA72,_xlpm.BR,AB72,_xlpm.SS,Z72,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f>
        <v>14033.128459492771</v>
      </c>
      <c r="AD72">
        <f>IF(Y72="","",LOOKUP(_xlfn.LET(_xlpm.PT,AA72,_xlpm.BR,AB72,_xlpm.SS,Z72,_xlpm.CG,_xlpm.BR*$B$46,_xlpm.Prov,_xlpm.PT+_xlpm.CG+_xlpm.SS*0.5,_xlpm.TSS,_xlpm.SS*IF(AND(Tax!$B$21&lt;=0,Tax!$B$22&lt;=0),IF(_xlpm.SS&gt;0,0.85,0),IF(_xlpm.Prov&lt;Tax!$B$21,0,IF(_xlpm.Prov&lt;Tax!$B$22,0.5,0.85))),_xlpm.PT+_xlpm.TSS+_xlpm.CG),IRMAA!$B$16:$B$21,IRMAA!$A$16:$A$21))</f>
        <v>0</v>
      </c>
      <c r="AE72">
        <f t="shared" si="17"/>
        <v>1707554.6036829131</v>
      </c>
      <c r="AG72">
        <f t="shared" si="18"/>
        <v>71</v>
      </c>
      <c r="AH72">
        <f t="shared" si="19"/>
        <v>0.1</v>
      </c>
      <c r="AI72">
        <f t="shared" si="20"/>
        <v>0</v>
      </c>
      <c r="AJ72">
        <f t="shared" si="21"/>
        <v>0.8</v>
      </c>
      <c r="AK72">
        <f t="shared" si="22"/>
        <v>54669.599999999999</v>
      </c>
      <c r="AL72">
        <f t="shared" si="23"/>
        <v>6074.4000000000005</v>
      </c>
      <c r="AM72">
        <f>MIN(MAX(0,$B$10-AL72)*AI72,'Retirement Gap'!$B$29)</f>
        <v>0</v>
      </c>
      <c r="AN72">
        <f>IF($E$40="B - Withdrawals + Roth conversions",AJ72*MAX(0,MIN($B$47-AL72,MIN($B$59,IRMAA!$C$16)-(AL72+$B$8*0.85+AK72*$B$46))),0)</f>
        <v>0</v>
      </c>
      <c r="AO72" cm="1">
        <f t="array" ref="AO72">_xlfn.LET(_xlpm.N,$B$49,_xlpm.R,$B$48,_xlpm.Start,$B$47,_xlpm.PlanWD,AL72,_xlpm.PlanRoth,AM72,_xlpm.PlanConv,AN72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12121.000000000002</v>
      </c>
      <c r="AP72" cm="1">
        <f t="array" ref="AP72">_xlfn.LET(_xlpm.N,$B$49,_xlpm.R,$B$48,_xlpm.Start,$B$47,_xlpm.PlanWD,AL72,_xlpm.PlanRoth,AM72,_xlpm.PlanConv,AN72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72" cm="1">
        <f t="array" ref="AQ72">_xlfn.LET(_xlpm.N,$B$49,_xlpm.R,$B$48,_xlpm.Start,$B$47,_xlpm.PlanWD,AL72,_xlpm.PlanRoth,AM72,_xlpm.PlanConv,AN72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997386.80636768113</v>
      </c>
      <c r="AR72" cm="1">
        <f t="array" ref="AR72">_xlfn.LET(_xlpm.N,$B$49,_xlpm.R,$B$48,_xlpm.Start,$B$47,_xlpm.PlanWD,AL72,_xlpm.PlanRoth,AM72,_xlpm.PlanConv,AN72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1217521.0700058746</v>
      </c>
      <c r="AS72">
        <f>--AND(AK72&lt;=SUM('Retirement Gap'!$B$24:$B$25,'Retirement Gap'!$B$27),AL72+AN72&lt;=$B$47,AM72&lt;='Retirement Gap'!$B$29,ABS(AK72+AL72+AM72-$B$10)&lt;1)</f>
        <v>0</v>
      </c>
      <c r="AT72" cm="1">
        <f t="array" ref="AT72">IF(AS72=0,1E+99,_xlfn.SWITCH(LEFT($E$39,1),"1",AO72,"2",AP72*1000000000+AO72,"3",-AQ72,"4",AO72+AP72*25000+AR72*0.005-AQ72*0.0001,AO72))</f>
        <v>9.9999999999999997E+98</v>
      </c>
    </row>
    <row r="73" spans="8:46" x14ac:dyDescent="0.55000000000000004">
      <c r="H73">
        <f t="shared" si="6"/>
        <v>12</v>
      </c>
      <c r="I73">
        <f>IF(H73&lt;=MAX(1,Inputs!$B$9-Inputs!$B$8),Inputs!$B$8+H73-1,"")</f>
        <v>76</v>
      </c>
      <c r="J73">
        <f t="shared" si="7"/>
        <v>59256</v>
      </c>
      <c r="K73">
        <f>IF(I73="","",_xlfn.LET(_xlpm.OpenBal,IF(H73=1,$B$47,O72),_xlpm.Factor,_xlfn.XLOOKUP(I73,RMD!$A$21:$A$69,RMD!$B$21:$B$69,0),_xlpm.Req,IF(AND(I73&gt;=RMD!$B$9,_xlpm.Factor&gt;0),_xlpm.OpenBal/_xlpm.Factor,0),MAX($B$14,_xlpm.Req)))</f>
        <v>72048.717454975238</v>
      </c>
      <c r="L73">
        <f t="shared" si="8"/>
        <v>0</v>
      </c>
      <c r="M73">
        <f>IF(I73="","",_xlfn.LET(_xlpm.PT,K73,_xlpm.BR,L73,_xlpm.SS,J73,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f>
        <v>10329.95809459703</v>
      </c>
      <c r="N73">
        <f>IF(I73="","",LOOKUP(_xlfn.LET(_xlpm.PT,K73,_xlpm.BR,L73,_xlpm.SS,J73,_xlpm.CG,_xlpm.BR*$B$46,_xlpm.Prov,_xlpm.PT+_xlpm.CG+_xlpm.SS*0.5,_xlpm.TSS,_xlpm.SS*IF(AND(Tax!$B$21&lt;=0,Tax!$B$22&lt;=0),IF(_xlpm.SS&gt;0,0.85,0),IF(_xlpm.Prov&lt;Tax!$B$21,0,IF(_xlpm.Prov&lt;Tax!$B$22,0.5,0.85))),_xlpm.PT+_xlpm.TSS+_xlpm.CG),IRMAA!$B$16:$B$21,IRMAA!$A$16:$A$21))</f>
        <v>0</v>
      </c>
      <c r="O73">
        <f t="shared" si="9"/>
        <v>1737959.1624489129</v>
      </c>
      <c r="P73">
        <f t="shared" si="10"/>
        <v>12</v>
      </c>
      <c r="Q73">
        <f>IF(P73&lt;=MAX(1,Inputs!$B$9-Inputs!$B$8),Inputs!$B$8+P73-1,"")</f>
        <v>76</v>
      </c>
      <c r="R73">
        <f t="shared" si="11"/>
        <v>59256</v>
      </c>
      <c r="S73">
        <f>IF(Q73="","",_xlfn.LET(_xlpm.OpenBal,IF(P73=1,$B$47,W72),_xlpm.Factor,_xlfn.XLOOKUP(Q73,RMD!$A$21:$A$69,RMD!$B$21:$B$69,0),_xlpm.Req,IF(AND(Q73&gt;=RMD!$B$9,_xlpm.Factor&gt;0),_xlpm.OpenBal/_xlpm.Factor,0),MAX($B$21,_xlpm.Req)))</f>
        <v>68084.635033171915</v>
      </c>
      <c r="T73">
        <f t="shared" si="12"/>
        <v>0</v>
      </c>
      <c r="U73">
        <f>IF(Q73="","",_xlfn.LET(_xlpm.PT,S73,_xlpm.BR,T73,_xlpm.SS,R73,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f>
        <v>9854.2682039806314</v>
      </c>
      <c r="V73">
        <f>IF(Q73="","",LOOKUP(_xlfn.LET(_xlpm.PT,S73,_xlpm.BR,T73,_xlpm.SS,R73,_xlpm.CG,_xlpm.BR*$B$46,_xlpm.Prov,_xlpm.PT+_xlpm.CG+_xlpm.SS*0.5,_xlpm.TSS,_xlpm.SS*IF(AND(Tax!$B$21&lt;=0,Tax!$B$22&lt;=0),IF(_xlpm.SS&gt;0,0.85,0),IF(_xlpm.Prov&lt;Tax!$B$21,0,IF(_xlpm.Prov&lt;Tax!$B$22,0.5,0.85))),_xlpm.PT+_xlpm.TSS+_xlpm.CG),IRMAA!$B$16:$B$21,IRMAA!$A$16:$A$21))</f>
        <v>0</v>
      </c>
      <c r="W73">
        <f t="shared" si="13"/>
        <v>1642337.5662701731</v>
      </c>
      <c r="X73">
        <f t="shared" si="14"/>
        <v>12</v>
      </c>
      <c r="Y73">
        <f>IF(X73&lt;=MAX(1,Inputs!$B$9-Inputs!$B$8),Inputs!$B$8+X73-1,"")</f>
        <v>76</v>
      </c>
      <c r="Z73">
        <f t="shared" si="15"/>
        <v>89370</v>
      </c>
      <c r="AA73">
        <f>IF(Y73="","",_xlfn.LET(_xlpm.OpenBal,IF(X73=1,$B$47,AE72),_xlpm.Factor,_xlfn.XLOOKUP(Y73,RMD!$A$21:$A$69,RMD!$B$21:$B$69,0),IF(AND(Y73&gt;=RMD!$B$9,_xlpm.Factor&gt;0),_xlpm.OpenBal/_xlpm.Factor,0)))</f>
        <v>72048.717454975238</v>
      </c>
      <c r="AB73">
        <f t="shared" si="16"/>
        <v>0</v>
      </c>
      <c r="AC73">
        <f>IF(Y73="","",_xlfn.LET(_xlpm.PT,AA73,_xlpm.BR,AB73,_xlpm.SS,Z73,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f>
        <v>14902.907840094553</v>
      </c>
      <c r="AD73">
        <f>IF(Y73="","",LOOKUP(_xlfn.LET(_xlpm.PT,AA73,_xlpm.BR,AB73,_xlpm.SS,Z73,_xlpm.CG,_xlpm.BR*$B$46,_xlpm.Prov,_xlpm.PT+_xlpm.CG+_xlpm.SS*0.5,_xlpm.TSS,_xlpm.SS*IF(AND(Tax!$B$21&lt;=0,Tax!$B$22&lt;=0),IF(_xlpm.SS&gt;0,0.85,0),IF(_xlpm.Prov&lt;Tax!$B$21,0,IF(_xlpm.Prov&lt;Tax!$B$22,0.5,0.85))),_xlpm.PT+_xlpm.TSS+_xlpm.CG),IRMAA!$B$16:$B$21,IRMAA!$A$16:$A$21))</f>
        <v>0</v>
      </c>
      <c r="AE73">
        <f t="shared" si="17"/>
        <v>1737959.1624489129</v>
      </c>
      <c r="AG73">
        <f t="shared" si="18"/>
        <v>72</v>
      </c>
      <c r="AH73">
        <f t="shared" si="19"/>
        <v>0.1</v>
      </c>
      <c r="AI73">
        <f t="shared" si="20"/>
        <v>0</v>
      </c>
      <c r="AJ73">
        <f t="shared" si="21"/>
        <v>1</v>
      </c>
      <c r="AK73">
        <f t="shared" si="22"/>
        <v>54669.599999999999</v>
      </c>
      <c r="AL73">
        <f t="shared" si="23"/>
        <v>6074.4000000000005</v>
      </c>
      <c r="AM73">
        <f>MIN(MAX(0,$B$10-AL73)*AI73,'Retirement Gap'!$B$29)</f>
        <v>0</v>
      </c>
      <c r="AN73">
        <f>IF($E$40="B - Withdrawals + Roth conversions",AJ73*MAX(0,MIN($B$47-AL73,MIN($B$59,IRMAA!$C$16)-(AL73+$B$8*0.85+AK73*$B$46))),0)</f>
        <v>0</v>
      </c>
      <c r="AO73" cm="1">
        <f t="array" ref="AO73">_xlfn.LET(_xlpm.N,$B$49,_xlpm.R,$B$48,_xlpm.Start,$B$47,_xlpm.PlanWD,AL73,_xlpm.PlanRoth,AM73,_xlpm.PlanConv,AN73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12121.000000000002</v>
      </c>
      <c r="AP73" cm="1">
        <f t="array" ref="AP73">_xlfn.LET(_xlpm.N,$B$49,_xlpm.R,$B$48,_xlpm.Start,$B$47,_xlpm.PlanWD,AL73,_xlpm.PlanRoth,AM73,_xlpm.PlanConv,AN73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73" cm="1">
        <f t="array" ref="AQ73">_xlfn.LET(_xlpm.N,$B$49,_xlpm.R,$B$48,_xlpm.Start,$B$47,_xlpm.PlanWD,AL73,_xlpm.PlanRoth,AM73,_xlpm.PlanConv,AN73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997386.80636768113</v>
      </c>
      <c r="AR73" cm="1">
        <f t="array" ref="AR73">_xlfn.LET(_xlpm.N,$B$49,_xlpm.R,$B$48,_xlpm.Start,$B$47,_xlpm.PlanWD,AL73,_xlpm.PlanRoth,AM73,_xlpm.PlanConv,AN73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1217521.0700058746</v>
      </c>
      <c r="AS73">
        <f>--AND(AK73&lt;=SUM('Retirement Gap'!$B$24:$B$25,'Retirement Gap'!$B$27),AL73+AN73&lt;=$B$47,AM73&lt;='Retirement Gap'!$B$29,ABS(AK73+AL73+AM73-$B$10)&lt;1)</f>
        <v>0</v>
      </c>
      <c r="AT73" cm="1">
        <f t="array" ref="AT73">IF(AS73=0,1E+99,_xlfn.SWITCH(LEFT($E$39,1),"1",AO73,"2",AP73*1000000000+AO73,"3",-AQ73,"4",AO73+AP73*25000+AR73*0.005-AQ73*0.0001,AO73))</f>
        <v>9.9999999999999997E+98</v>
      </c>
    </row>
    <row r="74" spans="8:46" x14ac:dyDescent="0.55000000000000004">
      <c r="H74">
        <f t="shared" si="6"/>
        <v>13</v>
      </c>
      <c r="I74">
        <f>IF(H74&lt;=MAX(1,Inputs!$B$9-Inputs!$B$8),Inputs!$B$8+H74-1,"")</f>
        <v>77</v>
      </c>
      <c r="J74">
        <f t="shared" si="7"/>
        <v>59256</v>
      </c>
      <c r="K74">
        <f>IF(I74="","",_xlfn.LET(_xlpm.OpenBal,IF(H74=1,$B$47,O73),_xlpm.Factor,_xlfn.XLOOKUP(I74,RMD!$A$21:$A$69,RMD!$B$21:$B$69,0),_xlpm.Req,IF(AND(I74&gt;=RMD!$B$9,_xlpm.Factor&gt;0),_xlpm.OpenBal/_xlpm.Factor,0),MAX($B$14,_xlpm.Req)))</f>
        <v>75893.413207376114</v>
      </c>
      <c r="L74">
        <f t="shared" si="8"/>
        <v>0</v>
      </c>
      <c r="M74">
        <f>IF(I74="","",_xlfn.LET(_xlpm.PT,K74,_xlpm.BR,L74,_xlpm.SS,J74,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f>
        <v>10791.321584885134</v>
      </c>
      <c r="N74">
        <f>IF(I74="","",LOOKUP(_xlfn.LET(_xlpm.PT,K74,_xlpm.BR,L74,_xlpm.SS,J74,_xlpm.CG,_xlpm.BR*$B$46,_xlpm.Prov,_xlpm.PT+_xlpm.CG+_xlpm.SS*0.5,_xlpm.TSS,_xlpm.SS*IF(AND(Tax!$B$21&lt;=0,Tax!$B$22&lt;=0),IF(_xlpm.SS&gt;0,0.85,0),IF(_xlpm.Prov&lt;Tax!$B$21,0,IF(_xlpm.Prov&lt;Tax!$B$22,0.5,0.85))),_xlpm.PT+_xlpm.TSS+_xlpm.CG),IRMAA!$B$16:$B$21,IRMAA!$A$16:$A$21))</f>
        <v>0</v>
      </c>
      <c r="O74">
        <f t="shared" si="9"/>
        <v>1766343.2989884715</v>
      </c>
      <c r="P74">
        <f t="shared" si="10"/>
        <v>13</v>
      </c>
      <c r="Q74">
        <f>IF(P74&lt;=MAX(1,Inputs!$B$9-Inputs!$B$8),Inputs!$B$8+P74-1,"")</f>
        <v>77</v>
      </c>
      <c r="R74">
        <f t="shared" si="11"/>
        <v>59256</v>
      </c>
      <c r="S74">
        <f>IF(Q74="","",_xlfn.LET(_xlpm.OpenBal,IF(P74=1,$B$47,W73),_xlpm.Factor,_xlfn.XLOOKUP(Q74,RMD!$A$21:$A$69,RMD!$B$21:$B$69,0),_xlpm.Req,IF(AND(Q74&gt;=RMD!$B$9,_xlpm.Factor&gt;0),_xlpm.OpenBal/_xlpm.Factor,0),MAX($B$21,_xlpm.Req)))</f>
        <v>71717.797653719346</v>
      </c>
      <c r="T74">
        <f t="shared" si="12"/>
        <v>0</v>
      </c>
      <c r="U74">
        <f>IF(Q74="","",_xlfn.LET(_xlpm.PT,S74,_xlpm.BR,T74,_xlpm.SS,R74,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f>
        <v>10290.247718446322</v>
      </c>
      <c r="V74">
        <f>IF(Q74="","",LOOKUP(_xlfn.LET(_xlpm.PT,S74,_xlpm.BR,T74,_xlpm.SS,R74,_xlpm.CG,_xlpm.BR*$B$46,_xlpm.Prov,_xlpm.PT+_xlpm.CG+_xlpm.SS*0.5,_xlpm.TSS,_xlpm.SS*IF(AND(Tax!$B$21&lt;=0,Tax!$B$22&lt;=0),IF(_xlpm.SS&gt;0,0.85,0),IF(_xlpm.Prov&lt;Tax!$B$21,0,IF(_xlpm.Prov&lt;Tax!$B$22,0.5,0.85))),_xlpm.PT+_xlpm.TSS+_xlpm.CG),IRMAA!$B$16:$B$21,IRMAA!$A$16:$A$21))</f>
        <v>0</v>
      </c>
      <c r="W74">
        <f t="shared" si="13"/>
        <v>1669160.0225926642</v>
      </c>
      <c r="X74">
        <f t="shared" si="14"/>
        <v>13</v>
      </c>
      <c r="Y74">
        <f>IF(X74&lt;=MAX(1,Inputs!$B$9-Inputs!$B$8),Inputs!$B$8+X74-1,"")</f>
        <v>77</v>
      </c>
      <c r="Z74">
        <f t="shared" si="15"/>
        <v>89370</v>
      </c>
      <c r="AA74">
        <f>IF(Y74="","",_xlfn.LET(_xlpm.OpenBal,IF(X74=1,$B$47,AE73),_xlpm.Factor,_xlfn.XLOOKUP(Y74,RMD!$A$21:$A$69,RMD!$B$21:$B$69,0),IF(AND(Y74&gt;=RMD!$B$9,_xlpm.Factor&gt;0),_xlpm.OpenBal/_xlpm.Factor,0)))</f>
        <v>75893.413207376114</v>
      </c>
      <c r="AB74">
        <f t="shared" si="16"/>
        <v>0</v>
      </c>
      <c r="AC74">
        <f>IF(Y74="","",_xlfn.LET(_xlpm.PT,AA74,_xlpm.BR,AB74,_xlpm.SS,Z74,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f>
        <v>15748.740905622744</v>
      </c>
      <c r="AD74">
        <f>IF(Y74="","",LOOKUP(_xlfn.LET(_xlpm.PT,AA74,_xlpm.BR,AB74,_xlpm.SS,Z74,_xlpm.CG,_xlpm.BR*$B$46,_xlpm.Prov,_xlpm.PT+_xlpm.CG+_xlpm.SS*0.5,_xlpm.TSS,_xlpm.SS*IF(AND(Tax!$B$21&lt;=0,Tax!$B$22&lt;=0),IF(_xlpm.SS&gt;0,0.85,0),IF(_xlpm.Prov&lt;Tax!$B$21,0,IF(_xlpm.Prov&lt;Tax!$B$22,0.5,0.85))),_xlpm.PT+_xlpm.TSS+_xlpm.CG),IRMAA!$B$16:$B$21,IRMAA!$A$16:$A$21))</f>
        <v>0</v>
      </c>
      <c r="AE74">
        <f t="shared" si="17"/>
        <v>1766343.2989884715</v>
      </c>
      <c r="AG74">
        <f t="shared" si="18"/>
        <v>73</v>
      </c>
      <c r="AH74">
        <f t="shared" si="19"/>
        <v>0.1</v>
      </c>
      <c r="AI74">
        <f t="shared" si="20"/>
        <v>0.1</v>
      </c>
      <c r="AJ74">
        <f t="shared" si="21"/>
        <v>0</v>
      </c>
      <c r="AK74">
        <f t="shared" si="22"/>
        <v>49202.64</v>
      </c>
      <c r="AL74">
        <f t="shared" si="23"/>
        <v>6074.4000000000005</v>
      </c>
      <c r="AM74">
        <f>MIN(MAX(0,$B$10-AL74)*AI74,'Retirement Gap'!$B$29)</f>
        <v>5466.96</v>
      </c>
      <c r="AN74">
        <f>IF($E$40="B - Withdrawals + Roth conversions",AJ74*MAX(0,MIN($B$47-AL74,MIN($B$59,IRMAA!$C$16)-(AL74+$B$8*0.85+AK74*$B$46))),0)</f>
        <v>0</v>
      </c>
      <c r="AO74" cm="1">
        <f t="array" ref="AO74">_xlfn.LET(_xlpm.N,$B$49,_xlpm.R,$B$48,_xlpm.Start,$B$47,_xlpm.PlanWD,AL74,_xlpm.PlanRoth,AM74,_xlpm.PlanConv,AN74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12121.000000000002</v>
      </c>
      <c r="AP74" cm="1">
        <f t="array" ref="AP74">_xlfn.LET(_xlpm.N,$B$49,_xlpm.R,$B$48,_xlpm.Start,$B$47,_xlpm.PlanWD,AL74,_xlpm.PlanRoth,AM74,_xlpm.PlanConv,AN74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74" cm="1">
        <f t="array" ref="AQ74">_xlfn.LET(_xlpm.N,$B$49,_xlpm.R,$B$48,_xlpm.Start,$B$47,_xlpm.PlanWD,AL74,_xlpm.PlanRoth,AM74,_xlpm.PlanConv,AN74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997386.80636768113</v>
      </c>
      <c r="AR74" cm="1">
        <f t="array" ref="AR74">_xlfn.LET(_xlpm.N,$B$49,_xlpm.R,$B$48,_xlpm.Start,$B$47,_xlpm.PlanWD,AL74,_xlpm.PlanRoth,AM74,_xlpm.PlanConv,AN74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1217521.0700058746</v>
      </c>
      <c r="AS74">
        <f>--AND(AK74&lt;=SUM('Retirement Gap'!$B$24:$B$25,'Retirement Gap'!$B$27),AL74+AN74&lt;=$B$47,AM74&lt;='Retirement Gap'!$B$29,ABS(AK74+AL74+AM74-$B$10)&lt;1)</f>
        <v>1</v>
      </c>
      <c r="AT74" cm="1">
        <f t="array" ref="AT74">IF(AS74=0,1E+99,_xlfn.SWITCH(LEFT($E$39,1),"1",AO74,"2",AP74*1000000000+AO74,"3",-AQ74,"4",AO74+AP74*25000+AR74*0.005-AQ74*0.0001,AO74))</f>
        <v>-997386.80636768113</v>
      </c>
    </row>
    <row r="75" spans="8:46" x14ac:dyDescent="0.55000000000000004">
      <c r="H75">
        <f t="shared" si="6"/>
        <v>14</v>
      </c>
      <c r="I75">
        <f>IF(H75&lt;=MAX(1,Inputs!$B$9-Inputs!$B$8),Inputs!$B$8+H75-1,"")</f>
        <v>78</v>
      </c>
      <c r="J75">
        <f t="shared" si="7"/>
        <v>59256</v>
      </c>
      <c r="K75">
        <f>IF(I75="","",_xlfn.LET(_xlpm.OpenBal,IF(H75=1,$B$47,O74),_xlpm.Factor,_xlfn.XLOOKUP(I75,RMD!$A$21:$A$69,RMD!$B$21:$B$69,0),_xlpm.Req,IF(AND(I75&gt;=RMD!$B$9,_xlpm.Factor&gt;0),_xlpm.OpenBal/_xlpm.Factor,0),MAX($B$14,_xlpm.Req)))</f>
        <v>80288.331772203252</v>
      </c>
      <c r="L75">
        <f t="shared" si="8"/>
        <v>0</v>
      </c>
      <c r="M75">
        <f>IF(I75="","",_xlfn.LET(_xlpm.PT,K75,_xlpm.BR,L75,_xlpm.SS,J75,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f>
        <v>11318.711812664389</v>
      </c>
      <c r="N75">
        <f>IF(I75="","",LOOKUP(_xlfn.LET(_xlpm.PT,K75,_xlpm.BR,L75,_xlpm.SS,J75,_xlpm.CG,_xlpm.BR*$B$46,_xlpm.Prov,_xlpm.PT+_xlpm.CG+_xlpm.SS*0.5,_xlpm.TSS,_xlpm.SS*IF(AND(Tax!$B$21&lt;=0,Tax!$B$22&lt;=0),IF(_xlpm.SS&gt;0,0.85,0),IF(_xlpm.Prov&lt;Tax!$B$21,0,IF(_xlpm.Prov&lt;Tax!$B$22,0.5,0.85))),_xlpm.PT+_xlpm.TSS+_xlpm.CG),IRMAA!$B$16:$B$21,IRMAA!$A$16:$A$21))</f>
        <v>0</v>
      </c>
      <c r="O75">
        <f t="shared" si="9"/>
        <v>1792035.5651555767</v>
      </c>
      <c r="P75">
        <f t="shared" si="10"/>
        <v>14</v>
      </c>
      <c r="Q75">
        <f>IF(P75&lt;=MAX(1,Inputs!$B$9-Inputs!$B$8),Inputs!$B$8+P75-1,"")</f>
        <v>78</v>
      </c>
      <c r="R75">
        <f t="shared" si="11"/>
        <v>59256</v>
      </c>
      <c r="S75">
        <f>IF(Q75="","",_xlfn.LET(_xlpm.OpenBal,IF(P75=1,$B$47,W74),_xlpm.Factor,_xlfn.XLOOKUP(Q75,RMD!$A$21:$A$69,RMD!$B$21:$B$69,0),_xlpm.Req,IF(AND(Q75&gt;=RMD!$B$9,_xlpm.Factor&gt;0),_xlpm.OpenBal/_xlpm.Factor,0),MAX($B$21,_xlpm.Req)))</f>
        <v>75870.910117848369</v>
      </c>
      <c r="T75">
        <f t="shared" si="12"/>
        <v>0</v>
      </c>
      <c r="U75">
        <f>IF(Q75="","",_xlfn.LET(_xlpm.PT,S75,_xlpm.BR,T75,_xlpm.SS,R75,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f>
        <v>10788.621214141805</v>
      </c>
      <c r="V75">
        <f>IF(Q75="","",LOOKUP(_xlfn.LET(_xlpm.PT,S75,_xlpm.BR,T75,_xlpm.SS,R75,_xlpm.CG,_xlpm.BR*$B$46,_xlpm.Prov,_xlpm.PT+_xlpm.CG+_xlpm.SS*0.5,_xlpm.TSS,_xlpm.SS*IF(AND(Tax!$B$21&lt;=0,Tax!$B$22&lt;=0),IF(_xlpm.SS&gt;0,0.85,0),IF(_xlpm.Prov&lt;Tax!$B$21,0,IF(_xlpm.Prov&lt;Tax!$B$22,0.5,0.85))),_xlpm.PT+_xlpm.TSS+_xlpm.CG),IRMAA!$B$16:$B$21,IRMAA!$A$16:$A$21))</f>
        <v>0</v>
      </c>
      <c r="W75">
        <f t="shared" si="13"/>
        <v>1693438.7138303758</v>
      </c>
      <c r="X75">
        <f t="shared" si="14"/>
        <v>14</v>
      </c>
      <c r="Y75">
        <f>IF(X75&lt;=MAX(1,Inputs!$B$9-Inputs!$B$8),Inputs!$B$8+X75-1,"")</f>
        <v>78</v>
      </c>
      <c r="Z75">
        <f t="shared" si="15"/>
        <v>89370</v>
      </c>
      <c r="AA75">
        <f>IF(Y75="","",_xlfn.LET(_xlpm.OpenBal,IF(X75=1,$B$47,AE74),_xlpm.Factor,_xlfn.XLOOKUP(Y75,RMD!$A$21:$A$69,RMD!$B$21:$B$69,0),IF(AND(Y75&gt;=RMD!$B$9,_xlpm.Factor&gt;0),_xlpm.OpenBal/_xlpm.Factor,0)))</f>
        <v>80288.331772203252</v>
      </c>
      <c r="AB75">
        <f t="shared" si="16"/>
        <v>0</v>
      </c>
      <c r="AC75">
        <f>IF(Y75="","",_xlfn.LET(_xlpm.PT,AA75,_xlpm.BR,AB75,_xlpm.SS,Z75,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f>
        <v>16715.62298988472</v>
      </c>
      <c r="AD75">
        <f>IF(Y75="","",LOOKUP(_xlfn.LET(_xlpm.PT,AA75,_xlpm.BR,AB75,_xlpm.SS,Z75,_xlpm.CG,_xlpm.BR*$B$46,_xlpm.Prov,_xlpm.PT+_xlpm.CG+_xlpm.SS*0.5,_xlpm.TSS,_xlpm.SS*IF(AND(Tax!$B$21&lt;=0,Tax!$B$22&lt;=0),IF(_xlpm.SS&gt;0,0.85,0),IF(_xlpm.Prov&lt;Tax!$B$21,0,IF(_xlpm.Prov&lt;Tax!$B$22,0.5,0.85))),_xlpm.PT+_xlpm.TSS+_xlpm.CG),IRMAA!$B$16:$B$21,IRMAA!$A$16:$A$21))</f>
        <v>0</v>
      </c>
      <c r="AE75">
        <f t="shared" si="17"/>
        <v>1792035.5651555767</v>
      </c>
      <c r="AG75">
        <f t="shared" si="18"/>
        <v>74</v>
      </c>
      <c r="AH75">
        <f t="shared" si="19"/>
        <v>0.1</v>
      </c>
      <c r="AI75">
        <f t="shared" si="20"/>
        <v>0.1</v>
      </c>
      <c r="AJ75">
        <f t="shared" si="21"/>
        <v>0.2</v>
      </c>
      <c r="AK75">
        <f t="shared" si="22"/>
        <v>49202.64</v>
      </c>
      <c r="AL75">
        <f t="shared" si="23"/>
        <v>6074.4000000000005</v>
      </c>
      <c r="AM75">
        <f>MIN(MAX(0,$B$10-AL75)*AI75,'Retirement Gap'!$B$29)</f>
        <v>5466.96</v>
      </c>
      <c r="AN75">
        <f>IF($E$40="B - Withdrawals + Roth conversions",AJ75*MAX(0,MIN($B$47-AL75,MIN($B$59,IRMAA!$C$16)-(AL75+$B$8*0.85+AK75*$B$46))),0)</f>
        <v>0</v>
      </c>
      <c r="AO75" cm="1">
        <f t="array" ref="AO75">_xlfn.LET(_xlpm.N,$B$49,_xlpm.R,$B$48,_xlpm.Start,$B$47,_xlpm.PlanWD,AL75,_xlpm.PlanRoth,AM75,_xlpm.PlanConv,AN75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12121.000000000002</v>
      </c>
      <c r="AP75" cm="1">
        <f t="array" ref="AP75">_xlfn.LET(_xlpm.N,$B$49,_xlpm.R,$B$48,_xlpm.Start,$B$47,_xlpm.PlanWD,AL75,_xlpm.PlanRoth,AM75,_xlpm.PlanConv,AN75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75" cm="1">
        <f t="array" ref="AQ75">_xlfn.LET(_xlpm.N,$B$49,_xlpm.R,$B$48,_xlpm.Start,$B$47,_xlpm.PlanWD,AL75,_xlpm.PlanRoth,AM75,_xlpm.PlanConv,AN75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997386.80636768113</v>
      </c>
      <c r="AR75" cm="1">
        <f t="array" ref="AR75">_xlfn.LET(_xlpm.N,$B$49,_xlpm.R,$B$48,_xlpm.Start,$B$47,_xlpm.PlanWD,AL75,_xlpm.PlanRoth,AM75,_xlpm.PlanConv,AN75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1217521.0700058746</v>
      </c>
      <c r="AS75">
        <f>--AND(AK75&lt;=SUM('Retirement Gap'!$B$24:$B$25,'Retirement Gap'!$B$27),AL75+AN75&lt;=$B$47,AM75&lt;='Retirement Gap'!$B$29,ABS(AK75+AL75+AM75-$B$10)&lt;1)</f>
        <v>1</v>
      </c>
      <c r="AT75" cm="1">
        <f t="array" ref="AT75">IF(AS75=0,1E+99,_xlfn.SWITCH(LEFT($E$39,1),"1",AO75,"2",AP75*1000000000+AO75,"3",-AQ75,"4",AO75+AP75*25000+AR75*0.005-AQ75*0.0001,AO75))</f>
        <v>-997386.80636768113</v>
      </c>
    </row>
    <row r="76" spans="8:46" x14ac:dyDescent="0.55000000000000004">
      <c r="H76">
        <f t="shared" si="6"/>
        <v>15</v>
      </c>
      <c r="I76">
        <f>IF(H76&lt;=MAX(1,Inputs!$B$9-Inputs!$B$8),Inputs!$B$8+H76-1,"")</f>
        <v>79</v>
      </c>
      <c r="J76">
        <f t="shared" si="7"/>
        <v>59256</v>
      </c>
      <c r="K76">
        <f>IF(I76="","",_xlfn.LET(_xlpm.OpenBal,IF(H76=1,$B$47,O75),_xlpm.Factor,_xlfn.XLOOKUP(I76,RMD!$A$21:$A$69,RMD!$B$21:$B$69,0),_xlpm.Req,IF(AND(I76&gt;=RMD!$B$9,_xlpm.Factor&gt;0),_xlpm.OpenBal/_xlpm.Factor,0),MAX($B$14,_xlpm.Req)))</f>
        <v>84930.595505003628</v>
      </c>
      <c r="L76">
        <f t="shared" si="8"/>
        <v>0</v>
      </c>
      <c r="M76">
        <f>IF(I76="","",_xlfn.LET(_xlpm.PT,K76,_xlpm.BR,L76,_xlpm.SS,J76,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f>
        <v>12105.603011100797</v>
      </c>
      <c r="N76">
        <f>IF(I76="","",LOOKUP(_xlfn.LET(_xlpm.PT,K76,_xlpm.BR,L76,_xlpm.SS,J76,_xlpm.CG,_xlpm.BR*$B$46,_xlpm.Prov,_xlpm.PT+_xlpm.CG+_xlpm.SS*0.5,_xlpm.TSS,_xlpm.SS*IF(AND(Tax!$B$21&lt;=0,Tax!$B$22&lt;=0),IF(_xlpm.SS&gt;0,0.85,0),IF(_xlpm.Prov&lt;Tax!$B$21,0,IF(_xlpm.Prov&lt;Tax!$B$22,0.5,0.85))),_xlpm.PT+_xlpm.TSS+_xlpm.CG),IRMAA!$B$16:$B$21,IRMAA!$A$16:$A$21))</f>
        <v>0</v>
      </c>
      <c r="O76">
        <f t="shared" si="9"/>
        <v>1814627.1035599078</v>
      </c>
      <c r="P76">
        <f t="shared" si="10"/>
        <v>15</v>
      </c>
      <c r="Q76">
        <f>IF(P76&lt;=MAX(1,Inputs!$B$9-Inputs!$B$8),Inputs!$B$8+P76-1,"")</f>
        <v>79</v>
      </c>
      <c r="R76">
        <f t="shared" si="11"/>
        <v>59256</v>
      </c>
      <c r="S76">
        <f>IF(Q76="","",_xlfn.LET(_xlpm.OpenBal,IF(P76=1,$B$47,W75),_xlpm.Factor,_xlfn.XLOOKUP(Q76,RMD!$A$21:$A$69,RMD!$B$21:$B$69,0),_xlpm.Req,IF(AND(Q76&gt;=RMD!$B$9,_xlpm.Factor&gt;0),_xlpm.OpenBal/_xlpm.Factor,0),MAX($B$21,_xlpm.Req)))</f>
        <v>80257.75894930691</v>
      </c>
      <c r="T76">
        <f t="shared" si="12"/>
        <v>0</v>
      </c>
      <c r="U76">
        <f>IF(Q76="","",_xlfn.LET(_xlpm.PT,S76,_xlpm.BR,T76,_xlpm.SS,R76,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f>
        <v>11315.04307391683</v>
      </c>
      <c r="V76">
        <f>IF(Q76="","",LOOKUP(_xlfn.LET(_xlpm.PT,S76,_xlpm.BR,T76,_xlpm.SS,R76,_xlpm.CG,_xlpm.BR*$B$46,_xlpm.Prov,_xlpm.PT+_xlpm.CG+_xlpm.SS*0.5,_xlpm.TSS,_xlpm.SS*IF(AND(Tax!$B$21&lt;=0,Tax!$B$22&lt;=0),IF(_xlpm.SS&gt;0,0.85,0),IF(_xlpm.Prov&lt;Tax!$B$21,0,IF(_xlpm.Prov&lt;Tax!$B$22,0.5,0.85))),_xlpm.PT+_xlpm.TSS+_xlpm.CG),IRMAA!$B$16:$B$21,IRMAA!$A$16:$A$21))</f>
        <v>0</v>
      </c>
      <c r="W76">
        <f t="shared" si="13"/>
        <v>1714787.2777108913</v>
      </c>
      <c r="X76">
        <f t="shared" si="14"/>
        <v>15</v>
      </c>
      <c r="Y76">
        <f>IF(X76&lt;=MAX(1,Inputs!$B$9-Inputs!$B$8),Inputs!$B$8+X76-1,"")</f>
        <v>79</v>
      </c>
      <c r="Z76">
        <f t="shared" si="15"/>
        <v>89370</v>
      </c>
      <c r="AA76">
        <f>IF(Y76="","",_xlfn.LET(_xlpm.OpenBal,IF(X76=1,$B$47,AE75),_xlpm.Factor,_xlfn.XLOOKUP(Y76,RMD!$A$21:$A$69,RMD!$B$21:$B$69,0),IF(AND(Y76&gt;=RMD!$B$9,_xlpm.Factor&gt;0),_xlpm.OpenBal/_xlpm.Factor,0)))</f>
        <v>84930.595505003628</v>
      </c>
      <c r="AB76">
        <f t="shared" si="16"/>
        <v>0</v>
      </c>
      <c r="AC76">
        <f>IF(Y76="","",_xlfn.LET(_xlpm.PT,AA76,_xlpm.BR,AB76,_xlpm.SS,Z76,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f>
        <v>17736.9210111008</v>
      </c>
      <c r="AD76">
        <f>IF(Y76="","",LOOKUP(_xlfn.LET(_xlpm.PT,AA76,_xlpm.BR,AB76,_xlpm.SS,Z76,_xlpm.CG,_xlpm.BR*$B$46,_xlpm.Prov,_xlpm.PT+_xlpm.CG+_xlpm.SS*0.5,_xlpm.TSS,_xlpm.SS*IF(AND(Tax!$B$21&lt;=0,Tax!$B$22&lt;=0),IF(_xlpm.SS&gt;0,0.85,0),IF(_xlpm.Prov&lt;Tax!$B$21,0,IF(_xlpm.Prov&lt;Tax!$B$22,0.5,0.85))),_xlpm.PT+_xlpm.TSS+_xlpm.CG),IRMAA!$B$16:$B$21,IRMAA!$A$16:$A$21))</f>
        <v>0</v>
      </c>
      <c r="AE76">
        <f t="shared" si="17"/>
        <v>1814627.1035599078</v>
      </c>
      <c r="AG76">
        <f t="shared" si="18"/>
        <v>75</v>
      </c>
      <c r="AH76">
        <f t="shared" si="19"/>
        <v>0.1</v>
      </c>
      <c r="AI76">
        <f t="shared" si="20"/>
        <v>0.1</v>
      </c>
      <c r="AJ76">
        <f t="shared" si="21"/>
        <v>0.4</v>
      </c>
      <c r="AK76">
        <f t="shared" si="22"/>
        <v>49202.64</v>
      </c>
      <c r="AL76">
        <f t="shared" si="23"/>
        <v>6074.4000000000005</v>
      </c>
      <c r="AM76">
        <f>MIN(MAX(0,$B$10-AL76)*AI76,'Retirement Gap'!$B$29)</f>
        <v>5466.96</v>
      </c>
      <c r="AN76">
        <f>IF($E$40="B - Withdrawals + Roth conversions",AJ76*MAX(0,MIN($B$47-AL76,MIN($B$59,IRMAA!$C$16)-(AL76+$B$8*0.85+AK76*$B$46))),0)</f>
        <v>0</v>
      </c>
      <c r="AO76" cm="1">
        <f t="array" ref="AO76">_xlfn.LET(_xlpm.N,$B$49,_xlpm.R,$B$48,_xlpm.Start,$B$47,_xlpm.PlanWD,AL76,_xlpm.PlanRoth,AM76,_xlpm.PlanConv,AN76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12121.000000000002</v>
      </c>
      <c r="AP76" cm="1">
        <f t="array" ref="AP76">_xlfn.LET(_xlpm.N,$B$49,_xlpm.R,$B$48,_xlpm.Start,$B$47,_xlpm.PlanWD,AL76,_xlpm.PlanRoth,AM76,_xlpm.PlanConv,AN76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76" cm="1">
        <f t="array" ref="AQ76">_xlfn.LET(_xlpm.N,$B$49,_xlpm.R,$B$48,_xlpm.Start,$B$47,_xlpm.PlanWD,AL76,_xlpm.PlanRoth,AM76,_xlpm.PlanConv,AN76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997386.80636768113</v>
      </c>
      <c r="AR76" cm="1">
        <f t="array" ref="AR76">_xlfn.LET(_xlpm.N,$B$49,_xlpm.R,$B$48,_xlpm.Start,$B$47,_xlpm.PlanWD,AL76,_xlpm.PlanRoth,AM76,_xlpm.PlanConv,AN76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1217521.0700058746</v>
      </c>
      <c r="AS76">
        <f>--AND(AK76&lt;=SUM('Retirement Gap'!$B$24:$B$25,'Retirement Gap'!$B$27),AL76+AN76&lt;=$B$47,AM76&lt;='Retirement Gap'!$B$29,ABS(AK76+AL76+AM76-$B$10)&lt;1)</f>
        <v>1</v>
      </c>
      <c r="AT76" cm="1">
        <f t="array" ref="AT76">IF(AS76=0,1E+99,_xlfn.SWITCH(LEFT($E$39,1),"1",AO76,"2",AP76*1000000000+AO76,"3",-AQ76,"4",AO76+AP76*25000+AR76*0.005-AQ76*0.0001,AO76))</f>
        <v>-997386.80636768113</v>
      </c>
    </row>
    <row r="77" spans="8:46" x14ac:dyDescent="0.55000000000000004">
      <c r="H77">
        <f t="shared" si="6"/>
        <v>16</v>
      </c>
      <c r="I77">
        <f>IF(H77&lt;=MAX(1,Inputs!$B$9-Inputs!$B$8),Inputs!$B$8+H77-1,"")</f>
        <v>80</v>
      </c>
      <c r="J77">
        <f t="shared" si="7"/>
        <v>59256</v>
      </c>
      <c r="K77">
        <f>IF(I77="","",_xlfn.LET(_xlpm.OpenBal,IF(H77=1,$B$47,O76),_xlpm.Factor,_xlfn.XLOOKUP(I77,RMD!$A$21:$A$69,RMD!$B$21:$B$69,0),_xlpm.Req,IF(AND(I77&gt;=RMD!$B$9,_xlpm.Factor&gt;0),_xlpm.OpenBal/_xlpm.Factor,0),MAX($B$14,_xlpm.Req)))</f>
        <v>89833.024928708313</v>
      </c>
      <c r="L77">
        <f t="shared" si="8"/>
        <v>0</v>
      </c>
      <c r="M77">
        <f>IF(I77="","",_xlfn.LET(_xlpm.PT,K77,_xlpm.BR,L77,_xlpm.SS,J77,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f>
        <v>13184.137484315826</v>
      </c>
      <c r="N77">
        <f>IF(I77="","",LOOKUP(_xlfn.LET(_xlpm.PT,K77,_xlpm.BR,L77,_xlpm.SS,J77,_xlpm.CG,_xlpm.BR*$B$46,_xlpm.Prov,_xlpm.PT+_xlpm.CG+_xlpm.SS*0.5,_xlpm.TSS,_xlpm.SS*IF(AND(Tax!$B$21&lt;=0,Tax!$B$22&lt;=0),IF(_xlpm.SS&gt;0,0.85,0),IF(_xlpm.Prov&lt;Tax!$B$21,0,IF(_xlpm.Prov&lt;Tax!$B$22,0.5,0.85))),_xlpm.PT+_xlpm.TSS+_xlpm.CG),IRMAA!$B$16:$B$21,IRMAA!$A$16:$A$21))</f>
        <v>0</v>
      </c>
      <c r="O77">
        <f t="shared" si="9"/>
        <v>1833671.704844794</v>
      </c>
      <c r="P77">
        <f t="shared" si="10"/>
        <v>16</v>
      </c>
      <c r="Q77">
        <f>IF(P77&lt;=MAX(1,Inputs!$B$9-Inputs!$B$8),Inputs!$B$8+P77-1,"")</f>
        <v>80</v>
      </c>
      <c r="R77">
        <f t="shared" si="11"/>
        <v>59256</v>
      </c>
      <c r="S77">
        <f>IF(Q77="","",_xlfn.LET(_xlpm.OpenBal,IF(P77=1,$B$47,W76),_xlpm.Factor,_xlfn.XLOOKUP(Q77,RMD!$A$21:$A$69,RMD!$B$21:$B$69,0),_xlpm.Req,IF(AND(Q77&gt;=RMD!$B$9,_xlpm.Factor&gt;0),_xlpm.OpenBal/_xlpm.Factor,0),MAX($B$21,_xlpm.Req)))</f>
        <v>84890.459292618383</v>
      </c>
      <c r="T77">
        <f t="shared" si="12"/>
        <v>0</v>
      </c>
      <c r="U77">
        <f>IF(Q77="","",_xlfn.LET(_xlpm.PT,S77,_xlpm.BR,T77,_xlpm.SS,R77,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f>
        <v>12096.773044376045</v>
      </c>
      <c r="V77">
        <f>IF(Q77="","",LOOKUP(_xlfn.LET(_xlpm.PT,S77,_xlpm.BR,T77,_xlpm.SS,R77,_xlpm.CG,_xlpm.BR*$B$46,_xlpm.Prov,_xlpm.PT+_xlpm.CG+_xlpm.SS*0.5,_xlpm.TSS,_xlpm.SS*IF(AND(Tax!$B$21&lt;=0,Tax!$B$22&lt;=0),IF(_xlpm.SS&gt;0,0.85,0),IF(_xlpm.Prov&lt;Tax!$B$21,0,IF(_xlpm.Prov&lt;Tax!$B$22,0.5,0.85))),_xlpm.PT+_xlpm.TSS+_xlpm.CG),IRMAA!$B$16:$B$21,IRMAA!$A$16:$A$21))</f>
        <v>0</v>
      </c>
      <c r="W77">
        <f t="shared" si="13"/>
        <v>1732784.0550809265</v>
      </c>
      <c r="X77">
        <f t="shared" si="14"/>
        <v>16</v>
      </c>
      <c r="Y77">
        <f>IF(X77&lt;=MAX(1,Inputs!$B$9-Inputs!$B$8),Inputs!$B$8+X77-1,"")</f>
        <v>80</v>
      </c>
      <c r="Z77">
        <f t="shared" si="15"/>
        <v>89370</v>
      </c>
      <c r="AA77">
        <f>IF(Y77="","",_xlfn.LET(_xlpm.OpenBal,IF(X77=1,$B$47,AE76),_xlpm.Factor,_xlfn.XLOOKUP(Y77,RMD!$A$21:$A$69,RMD!$B$21:$B$69,0),IF(AND(Y77&gt;=RMD!$B$9,_xlpm.Factor&gt;0),_xlpm.OpenBal/_xlpm.Factor,0)))</f>
        <v>89833.024928708313</v>
      </c>
      <c r="AB77">
        <f t="shared" si="16"/>
        <v>0</v>
      </c>
      <c r="AC77">
        <f>IF(Y77="","",_xlfn.LET(_xlpm.PT,AA77,_xlpm.BR,AB77,_xlpm.SS,Z77,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f>
        <v>18815.455484315833</v>
      </c>
      <c r="AD77">
        <f>IF(Y77="","",LOOKUP(_xlfn.LET(_xlpm.PT,AA77,_xlpm.BR,AB77,_xlpm.SS,Z77,_xlpm.CG,_xlpm.BR*$B$46,_xlpm.Prov,_xlpm.PT+_xlpm.CG+_xlpm.SS*0.5,_xlpm.TSS,_xlpm.SS*IF(AND(Tax!$B$21&lt;=0,Tax!$B$22&lt;=0),IF(_xlpm.SS&gt;0,0.85,0),IF(_xlpm.Prov&lt;Tax!$B$21,0,IF(_xlpm.Prov&lt;Tax!$B$22,0.5,0.85))),_xlpm.PT+_xlpm.TSS+_xlpm.CG),IRMAA!$B$16:$B$21,IRMAA!$A$16:$A$21))</f>
        <v>0</v>
      </c>
      <c r="AE77">
        <f t="shared" si="17"/>
        <v>1833671.704844794</v>
      </c>
      <c r="AG77">
        <f t="shared" si="18"/>
        <v>76</v>
      </c>
      <c r="AH77">
        <f t="shared" si="19"/>
        <v>0.1</v>
      </c>
      <c r="AI77">
        <f t="shared" si="20"/>
        <v>0.1</v>
      </c>
      <c r="AJ77">
        <f t="shared" si="21"/>
        <v>0.6</v>
      </c>
      <c r="AK77">
        <f t="shared" si="22"/>
        <v>49202.64</v>
      </c>
      <c r="AL77">
        <f t="shared" si="23"/>
        <v>6074.4000000000005</v>
      </c>
      <c r="AM77">
        <f>MIN(MAX(0,$B$10-AL77)*AI77,'Retirement Gap'!$B$29)</f>
        <v>5466.96</v>
      </c>
      <c r="AN77">
        <f>IF($E$40="B - Withdrawals + Roth conversions",AJ77*MAX(0,MIN($B$47-AL77,MIN($B$59,IRMAA!$C$16)-(AL77+$B$8*0.85+AK77*$B$46))),0)</f>
        <v>0</v>
      </c>
      <c r="AO77" cm="1">
        <f t="array" ref="AO77">_xlfn.LET(_xlpm.N,$B$49,_xlpm.R,$B$48,_xlpm.Start,$B$47,_xlpm.PlanWD,AL77,_xlpm.PlanRoth,AM77,_xlpm.PlanConv,AN77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12121.000000000002</v>
      </c>
      <c r="AP77" cm="1">
        <f t="array" ref="AP77">_xlfn.LET(_xlpm.N,$B$49,_xlpm.R,$B$48,_xlpm.Start,$B$47,_xlpm.PlanWD,AL77,_xlpm.PlanRoth,AM77,_xlpm.PlanConv,AN77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77" cm="1">
        <f t="array" ref="AQ77">_xlfn.LET(_xlpm.N,$B$49,_xlpm.R,$B$48,_xlpm.Start,$B$47,_xlpm.PlanWD,AL77,_xlpm.PlanRoth,AM77,_xlpm.PlanConv,AN77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997386.80636768113</v>
      </c>
      <c r="AR77" cm="1">
        <f t="array" ref="AR77">_xlfn.LET(_xlpm.N,$B$49,_xlpm.R,$B$48,_xlpm.Start,$B$47,_xlpm.PlanWD,AL77,_xlpm.PlanRoth,AM77,_xlpm.PlanConv,AN77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1217521.0700058746</v>
      </c>
      <c r="AS77">
        <f>--AND(AK77&lt;=SUM('Retirement Gap'!$B$24:$B$25,'Retirement Gap'!$B$27),AL77+AN77&lt;=$B$47,AM77&lt;='Retirement Gap'!$B$29,ABS(AK77+AL77+AM77-$B$10)&lt;1)</f>
        <v>1</v>
      </c>
      <c r="AT77" cm="1">
        <f t="array" ref="AT77">IF(AS77=0,1E+99,_xlfn.SWITCH(LEFT($E$39,1),"1",AO77,"2",AP77*1000000000+AO77,"3",-AQ77,"4",AO77+AP77*25000+AR77*0.005-AQ77*0.0001,AO77))</f>
        <v>-997386.80636768113</v>
      </c>
    </row>
    <row r="78" spans="8:46" x14ac:dyDescent="0.55000000000000004">
      <c r="H78">
        <f t="shared" si="6"/>
        <v>17</v>
      </c>
      <c r="I78">
        <f>IF(H78&lt;=MAX(1,Inputs!$B$9-Inputs!$B$8),Inputs!$B$8+H78-1,"")</f>
        <v>81</v>
      </c>
      <c r="J78">
        <f t="shared" si="7"/>
        <v>59256</v>
      </c>
      <c r="K78">
        <f>IF(I78="","",_xlfn.LET(_xlpm.OpenBal,IF(H78=1,$B$47,O77),_xlpm.Factor,_xlfn.XLOOKUP(I78,RMD!$A$21:$A$69,RMD!$B$21:$B$69,0),_xlpm.Req,IF(AND(I78&gt;=RMD!$B$9,_xlpm.Factor&gt;0),_xlpm.OpenBal/_xlpm.Factor,0),MAX($B$14,_xlpm.Req)))</f>
        <v>94519.160043546086</v>
      </c>
      <c r="L78">
        <f t="shared" si="8"/>
        <v>0</v>
      </c>
      <c r="M78">
        <f>IF(I78="","",_xlfn.LET(_xlpm.PT,K78,_xlpm.BR,L78,_xlpm.SS,J78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f>
        <v>14215.087209580141</v>
      </c>
      <c r="N78">
        <f>IF(I78="","",LOOKUP(_xlfn.LET(_xlpm.PT,K78,_xlpm.BR,L78,_xlpm.SS,J78,_xlpm.CG,_xlpm.BR*$B$46,_xlpm.Prov,_xlpm.PT+_xlpm.CG+_xlpm.SS*0.5,_xlpm.TSS,_xlpm.SS*IF(AND(Tax!$B$21&lt;=0,Tax!$B$22&lt;=0),IF(_xlpm.SS&gt;0,0.85,0),IF(_xlpm.Prov&lt;Tax!$B$21,0,IF(_xlpm.Prov&lt;Tax!$B$22,0.5,0.85))),_xlpm.PT+_xlpm.TSS+_xlpm.CG),IRMAA!$B$16:$B$21,IRMAA!$A$16:$A$21))</f>
        <v>0</v>
      </c>
      <c r="O78">
        <f t="shared" si="9"/>
        <v>1849172.8470919358</v>
      </c>
      <c r="P78">
        <f t="shared" si="10"/>
        <v>17</v>
      </c>
      <c r="Q78">
        <f>IF(P78&lt;=MAX(1,Inputs!$B$9-Inputs!$B$8),Inputs!$B$8+P78-1,"")</f>
        <v>81</v>
      </c>
      <c r="R78">
        <f t="shared" si="11"/>
        <v>59256</v>
      </c>
      <c r="S78">
        <f>IF(Q78="","",_xlfn.LET(_xlpm.OpenBal,IF(P78=1,$B$47,W77),_xlpm.Factor,_xlfn.XLOOKUP(Q78,RMD!$A$21:$A$69,RMD!$B$21:$B$69,0),_xlpm.Req,IF(AND(Q78&gt;=RMD!$B$9,_xlpm.Factor&gt;0),_xlpm.OpenBal/_xlpm.Factor,0),MAX($B$21,_xlpm.Req)))</f>
        <v>89318.765725820966</v>
      </c>
      <c r="T78">
        <f t="shared" si="12"/>
        <v>0</v>
      </c>
      <c r="U78">
        <f>IF(Q78="","",_xlfn.LET(_xlpm.PT,S78,_xlpm.BR,T78,_xlpm.SS,R78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f>
        <v>13071.000459680614</v>
      </c>
      <c r="V78">
        <f>IF(Q78="","",LOOKUP(_xlfn.LET(_xlpm.PT,S78,_xlpm.BR,T78,_xlpm.SS,R78,_xlpm.CG,_xlpm.BR*$B$46,_xlpm.Prov,_xlpm.PT+_xlpm.CG+_xlpm.SS*0.5,_xlpm.TSS,_xlpm.SS*IF(AND(Tax!$B$21&lt;=0,Tax!$B$22&lt;=0),IF(_xlpm.SS&gt;0,0.85,0),IF(_xlpm.Prov&lt;Tax!$B$21,0,IF(_xlpm.Prov&lt;Tax!$B$22,0.5,0.85))),_xlpm.PT+_xlpm.TSS+_xlpm.CG),IRMAA!$B$16:$B$21,IRMAA!$A$16:$A$21))</f>
        <v>0</v>
      </c>
      <c r="W78">
        <f t="shared" si="13"/>
        <v>1747432.3326599612</v>
      </c>
      <c r="X78">
        <f t="shared" si="14"/>
        <v>17</v>
      </c>
      <c r="Y78">
        <f>IF(X78&lt;=MAX(1,Inputs!$B$9-Inputs!$B$8),Inputs!$B$8+X78-1,"")</f>
        <v>81</v>
      </c>
      <c r="Z78">
        <f t="shared" si="15"/>
        <v>89370</v>
      </c>
      <c r="AA78">
        <f>IF(Y78="","",_xlfn.LET(_xlpm.OpenBal,IF(X78=1,$B$47,AE77),_xlpm.Factor,_xlfn.XLOOKUP(Y78,RMD!$A$21:$A$69,RMD!$B$21:$B$69,0),IF(AND(Y78&gt;=RMD!$B$9,_xlpm.Factor&gt;0),_xlpm.OpenBal/_xlpm.Factor,0)))</f>
        <v>94519.160043546086</v>
      </c>
      <c r="AB78">
        <f t="shared" si="16"/>
        <v>0</v>
      </c>
      <c r="AC78">
        <f>IF(Y78="","",_xlfn.LET(_xlpm.PT,AA78,_xlpm.BR,AB78,_xlpm.SS,Z78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f>
        <v>19846.405209580138</v>
      </c>
      <c r="AD78">
        <f>IF(Y78="","",LOOKUP(_xlfn.LET(_xlpm.PT,AA78,_xlpm.BR,AB78,_xlpm.SS,Z78,_xlpm.CG,_xlpm.BR*$B$46,_xlpm.Prov,_xlpm.PT+_xlpm.CG+_xlpm.SS*0.5,_xlpm.TSS,_xlpm.SS*IF(AND(Tax!$B$21&lt;=0,Tax!$B$22&lt;=0),IF(_xlpm.SS&gt;0,0.85,0),IF(_xlpm.Prov&lt;Tax!$B$21,0,IF(_xlpm.Prov&lt;Tax!$B$22,0.5,0.85))),_xlpm.PT+_xlpm.TSS+_xlpm.CG),IRMAA!$B$16:$B$21,IRMAA!$A$16:$A$21))</f>
        <v>0</v>
      </c>
      <c r="AE78">
        <f t="shared" si="17"/>
        <v>1849172.8470919358</v>
      </c>
      <c r="AG78">
        <f t="shared" si="18"/>
        <v>77</v>
      </c>
      <c r="AH78">
        <f t="shared" si="19"/>
        <v>0.1</v>
      </c>
      <c r="AI78">
        <f t="shared" si="20"/>
        <v>0.1</v>
      </c>
      <c r="AJ78">
        <f t="shared" si="21"/>
        <v>0.8</v>
      </c>
      <c r="AK78">
        <f t="shared" si="22"/>
        <v>49202.64</v>
      </c>
      <c r="AL78">
        <f t="shared" si="23"/>
        <v>6074.4000000000005</v>
      </c>
      <c r="AM78">
        <f>MIN(MAX(0,$B$10-AL78)*AI78,'Retirement Gap'!$B$29)</f>
        <v>5466.96</v>
      </c>
      <c r="AN78">
        <f>IF($E$40="B - Withdrawals + Roth conversions",AJ78*MAX(0,MIN($B$47-AL78,MIN($B$59,IRMAA!$C$16)-(AL78+$B$8*0.85+AK78*$B$46))),0)</f>
        <v>0</v>
      </c>
      <c r="AO78" cm="1">
        <f t="array" ref="AO78">_xlfn.LET(_xlpm.N,$B$49,_xlpm.R,$B$48,_xlpm.Start,$B$47,_xlpm.PlanWD,AL78,_xlpm.PlanRoth,AM78,_xlpm.PlanConv,AN78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12121.000000000002</v>
      </c>
      <c r="AP78" cm="1">
        <f t="array" ref="AP78">_xlfn.LET(_xlpm.N,$B$49,_xlpm.R,$B$48,_xlpm.Start,$B$47,_xlpm.PlanWD,AL78,_xlpm.PlanRoth,AM78,_xlpm.PlanConv,AN78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78" cm="1">
        <f t="array" ref="AQ78">_xlfn.LET(_xlpm.N,$B$49,_xlpm.R,$B$48,_xlpm.Start,$B$47,_xlpm.PlanWD,AL78,_xlpm.PlanRoth,AM78,_xlpm.PlanConv,AN78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997386.80636768113</v>
      </c>
      <c r="AR78" cm="1">
        <f t="array" ref="AR78">_xlfn.LET(_xlpm.N,$B$49,_xlpm.R,$B$48,_xlpm.Start,$B$47,_xlpm.PlanWD,AL78,_xlpm.PlanRoth,AM78,_xlpm.PlanConv,AN78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1217521.0700058746</v>
      </c>
      <c r="AS78">
        <f>--AND(AK78&lt;=SUM('Retirement Gap'!$B$24:$B$25,'Retirement Gap'!$B$27),AL78+AN78&lt;=$B$47,AM78&lt;='Retirement Gap'!$B$29,ABS(AK78+AL78+AM78-$B$10)&lt;1)</f>
        <v>1</v>
      </c>
      <c r="AT78" cm="1">
        <f t="array" ref="AT78">IF(AS78=0,1E+99,_xlfn.SWITCH(LEFT($E$39,1),"1",AO78,"2",AP78*1000000000+AO78,"3",-AQ78,"4",AO78+AP78*25000+AR78*0.005-AQ78*0.0001,AO78))</f>
        <v>-997386.80636768113</v>
      </c>
    </row>
    <row r="79" spans="8:46" x14ac:dyDescent="0.55000000000000004">
      <c r="H79">
        <f t="shared" si="6"/>
        <v>18</v>
      </c>
      <c r="I79">
        <f>IF(H79&lt;=MAX(1,Inputs!$B$9-Inputs!$B$8),Inputs!$B$8+H79-1,"")</f>
        <v>82</v>
      </c>
      <c r="J79">
        <f t="shared" si="7"/>
        <v>59256</v>
      </c>
      <c r="K79">
        <f>IF(I79="","",_xlfn.LET(_xlpm.OpenBal,IF(H79=1,$B$47,O78),_xlpm.Factor,_xlfn.XLOOKUP(I79,RMD!$A$21:$A$69,RMD!$B$21:$B$69,0),_xlpm.Req,IF(AND(I79&gt;=RMD!$B$9,_xlpm.Factor&gt;0),_xlpm.OpenBal/_xlpm.Factor,0),MAX($B$14,_xlpm.Req)))</f>
        <v>99955.289031996537</v>
      </c>
      <c r="L79">
        <f t="shared" si="8"/>
        <v>0</v>
      </c>
      <c r="M79">
        <f>IF(I79="","",_xlfn.LET(_xlpm.PT,K79,_xlpm.BR,L79,_xlpm.SS,J79,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f>
        <v>15411.03558703924</v>
      </c>
      <c r="N79">
        <f>IF(I79="","",LOOKUP(_xlfn.LET(_xlpm.PT,K79,_xlpm.BR,L79,_xlpm.SS,J79,_xlpm.CG,_xlpm.BR*$B$46,_xlpm.Prov,_xlpm.PT+_xlpm.CG+_xlpm.SS*0.5,_xlpm.TSS,_xlpm.SS*IF(AND(Tax!$B$21&lt;=0,Tax!$B$22&lt;=0),IF(_xlpm.SS&gt;0,0.85,0),IF(_xlpm.Prov&lt;Tax!$B$21,0,IF(_xlpm.Prov&lt;Tax!$B$22,0.5,0.85))),_xlpm.PT+_xlpm.TSS+_xlpm.CG),IRMAA!$B$16:$B$21,IRMAA!$A$16:$A$21))</f>
        <v>0</v>
      </c>
      <c r="O79">
        <f t="shared" si="9"/>
        <v>1860167.9288854555</v>
      </c>
      <c r="P79">
        <f t="shared" si="10"/>
        <v>18</v>
      </c>
      <c r="Q79">
        <f>IF(P79&lt;=MAX(1,Inputs!$B$9-Inputs!$B$8),Inputs!$B$8+P79-1,"")</f>
        <v>82</v>
      </c>
      <c r="R79">
        <f t="shared" si="11"/>
        <v>59256</v>
      </c>
      <c r="S79">
        <f>IF(Q79="","",_xlfn.LET(_xlpm.OpenBal,IF(P79=1,$B$47,W78),_xlpm.Factor,_xlfn.XLOOKUP(Q79,RMD!$A$21:$A$69,RMD!$B$21:$B$69,0),_xlpm.Req,IF(AND(Q79&gt;=RMD!$B$9,_xlpm.Factor&gt;0),_xlpm.OpenBal/_xlpm.Factor,0),MAX($B$21,_xlpm.Req)))</f>
        <v>94455.801765403303</v>
      </c>
      <c r="T79">
        <f t="shared" si="12"/>
        <v>0</v>
      </c>
      <c r="U79">
        <f>IF(Q79="","",_xlfn.LET(_xlpm.PT,S79,_xlpm.BR,T79,_xlpm.SS,R79,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f>
        <v>14201.148388388729</v>
      </c>
      <c r="V79">
        <f>IF(Q79="","",LOOKUP(_xlfn.LET(_xlpm.PT,S79,_xlpm.BR,T79,_xlpm.SS,R79,_xlpm.CG,_xlpm.BR*$B$46,_xlpm.Prov,_xlpm.PT+_xlpm.CG+_xlpm.SS*0.5,_xlpm.TSS,_xlpm.SS*IF(AND(Tax!$B$21&lt;=0,Tax!$B$22&lt;=0),IF(_xlpm.SS&gt;0,0.85,0),IF(_xlpm.Prov&lt;Tax!$B$21,0,IF(_xlpm.Prov&lt;Tax!$B$22,0.5,0.85))),_xlpm.PT+_xlpm.TSS+_xlpm.CG),IRMAA!$B$16:$B$21,IRMAA!$A$16:$A$21))</f>
        <v>0</v>
      </c>
      <c r="W79">
        <f t="shared" si="13"/>
        <v>1757822.4708541557</v>
      </c>
      <c r="X79">
        <f t="shared" si="14"/>
        <v>18</v>
      </c>
      <c r="Y79">
        <f>IF(X79&lt;=MAX(1,Inputs!$B$9-Inputs!$B$8),Inputs!$B$8+X79-1,"")</f>
        <v>82</v>
      </c>
      <c r="Z79">
        <f t="shared" si="15"/>
        <v>89370</v>
      </c>
      <c r="AA79">
        <f>IF(Y79="","",_xlfn.LET(_xlpm.OpenBal,IF(X79=1,$B$47,AE78),_xlpm.Factor,_xlfn.XLOOKUP(Y79,RMD!$A$21:$A$69,RMD!$B$21:$B$69,0),IF(AND(Y79&gt;=RMD!$B$9,_xlpm.Factor&gt;0),_xlpm.OpenBal/_xlpm.Factor,0)))</f>
        <v>99955.289031996537</v>
      </c>
      <c r="AB79">
        <f t="shared" si="16"/>
        <v>0</v>
      </c>
      <c r="AC79">
        <f>IF(Y79="","",_xlfn.LET(_xlpm.PT,AA79,_xlpm.BR,AB79,_xlpm.SS,Z79,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f>
        <v>21042.353587039237</v>
      </c>
      <c r="AD79">
        <f>IF(Y79="","",LOOKUP(_xlfn.LET(_xlpm.PT,AA79,_xlpm.BR,AB79,_xlpm.SS,Z79,_xlpm.CG,_xlpm.BR*$B$46,_xlpm.Prov,_xlpm.PT+_xlpm.CG+_xlpm.SS*0.5,_xlpm.TSS,_xlpm.SS*IF(AND(Tax!$B$21&lt;=0,Tax!$B$22&lt;=0),IF(_xlpm.SS&gt;0,0.85,0),IF(_xlpm.Prov&lt;Tax!$B$21,0,IF(_xlpm.Prov&lt;Tax!$B$22,0.5,0.85))),_xlpm.PT+_xlpm.TSS+_xlpm.CG),IRMAA!$B$16:$B$21,IRMAA!$A$16:$A$21))</f>
        <v>0</v>
      </c>
      <c r="AE79">
        <f t="shared" si="17"/>
        <v>1860167.9288854555</v>
      </c>
      <c r="AG79">
        <f t="shared" si="18"/>
        <v>78</v>
      </c>
      <c r="AH79">
        <f t="shared" si="19"/>
        <v>0.1</v>
      </c>
      <c r="AI79">
        <f t="shared" si="20"/>
        <v>0.1</v>
      </c>
      <c r="AJ79">
        <f t="shared" si="21"/>
        <v>1</v>
      </c>
      <c r="AK79">
        <f t="shared" si="22"/>
        <v>49202.64</v>
      </c>
      <c r="AL79">
        <f t="shared" si="23"/>
        <v>6074.4000000000005</v>
      </c>
      <c r="AM79">
        <f>MIN(MAX(0,$B$10-AL79)*AI79,'Retirement Gap'!$B$29)</f>
        <v>5466.96</v>
      </c>
      <c r="AN79">
        <f>IF($E$40="B - Withdrawals + Roth conversions",AJ79*MAX(0,MIN($B$47-AL79,MIN($B$59,IRMAA!$C$16)-(AL79+$B$8*0.85+AK79*$B$46))),0)</f>
        <v>0</v>
      </c>
      <c r="AO79" cm="1">
        <f t="array" ref="AO79">_xlfn.LET(_xlpm.N,$B$49,_xlpm.R,$B$48,_xlpm.Start,$B$47,_xlpm.PlanWD,AL79,_xlpm.PlanRoth,AM79,_xlpm.PlanConv,AN79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12121.000000000002</v>
      </c>
      <c r="AP79" cm="1">
        <f t="array" ref="AP79">_xlfn.LET(_xlpm.N,$B$49,_xlpm.R,$B$48,_xlpm.Start,$B$47,_xlpm.PlanWD,AL79,_xlpm.PlanRoth,AM79,_xlpm.PlanConv,AN79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79" cm="1">
        <f t="array" ref="AQ79">_xlfn.LET(_xlpm.N,$B$49,_xlpm.R,$B$48,_xlpm.Start,$B$47,_xlpm.PlanWD,AL79,_xlpm.PlanRoth,AM79,_xlpm.PlanConv,AN79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997386.80636768113</v>
      </c>
      <c r="AR79" cm="1">
        <f t="array" ref="AR79">_xlfn.LET(_xlpm.N,$B$49,_xlpm.R,$B$48,_xlpm.Start,$B$47,_xlpm.PlanWD,AL79,_xlpm.PlanRoth,AM79,_xlpm.PlanConv,AN79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1217521.0700058746</v>
      </c>
      <c r="AS79">
        <f>--AND(AK79&lt;=SUM('Retirement Gap'!$B$24:$B$25,'Retirement Gap'!$B$27),AL79+AN79&lt;=$B$47,AM79&lt;='Retirement Gap'!$B$29,ABS(AK79+AL79+AM79-$B$10)&lt;1)</f>
        <v>1</v>
      </c>
      <c r="AT79" cm="1">
        <f t="array" ref="AT79">IF(AS79=0,1E+99,_xlfn.SWITCH(LEFT($E$39,1),"1",AO79,"2",AP79*1000000000+AO79,"3",-AQ79,"4",AO79+AP79*25000+AR79*0.005-AQ79*0.0001,AO79))</f>
        <v>-997386.80636768113</v>
      </c>
    </row>
    <row r="80" spans="8:46" x14ac:dyDescent="0.55000000000000004">
      <c r="H80">
        <f t="shared" si="6"/>
        <v>19</v>
      </c>
      <c r="I80">
        <f>IF(H80&lt;=MAX(1,Inputs!$B$9-Inputs!$B$8),Inputs!$B$8+H80-1,"")</f>
        <v>83</v>
      </c>
      <c r="J80">
        <f t="shared" si="7"/>
        <v>59256</v>
      </c>
      <c r="K80">
        <f>IF(I80="","",_xlfn.LET(_xlpm.OpenBal,IF(H80=1,$B$47,O79),_xlpm.Factor,_xlfn.XLOOKUP(I80,RMD!$A$21:$A$69,RMD!$B$21:$B$69,0),_xlpm.Req,IF(AND(I80&gt;=RMD!$B$9,_xlpm.Factor&gt;0),_xlpm.OpenBal/_xlpm.Factor,0),MAX($B$14,_xlpm.Req)))</f>
        <v>105094.23327036473</v>
      </c>
      <c r="L80">
        <f t="shared" si="8"/>
        <v>0</v>
      </c>
      <c r="M80">
        <f>IF(I80="","",_xlfn.LET(_xlpm.PT,K80,_xlpm.BR,L80,_xlpm.SS,J80,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f>
        <v>16541.60331948024</v>
      </c>
      <c r="N80">
        <f>IF(I80="","",LOOKUP(_xlfn.LET(_xlpm.PT,K80,_xlpm.BR,L80,_xlpm.SS,J80,_xlpm.CG,_xlpm.BR*$B$46,_xlpm.Prov,_xlpm.PT+_xlpm.CG+_xlpm.SS*0.5,_xlpm.TSS,_xlpm.SS*IF(AND(Tax!$B$21&lt;=0,Tax!$B$22&lt;=0),IF(_xlpm.SS&gt;0,0.85,0),IF(_xlpm.Prov&lt;Tax!$B$21,0,IF(_xlpm.Prov&lt;Tax!$B$22,0.5,0.85))),_xlpm.PT+_xlpm.TSS+_xlpm.CG),IRMAA!$B$16:$B$21,IRMAA!$A$16:$A$21))</f>
        <v>0</v>
      </c>
      <c r="O80">
        <f t="shared" si="9"/>
        <v>1866683.7713482182</v>
      </c>
      <c r="P80">
        <f t="shared" si="10"/>
        <v>19</v>
      </c>
      <c r="Q80">
        <f>IF(P80&lt;=MAX(1,Inputs!$B$9-Inputs!$B$8),Inputs!$B$8+P80-1,"")</f>
        <v>83</v>
      </c>
      <c r="R80">
        <f t="shared" si="11"/>
        <v>59256</v>
      </c>
      <c r="S80">
        <f>IF(Q80="","",_xlfn.LET(_xlpm.OpenBal,IF(P80=1,$B$47,W79),_xlpm.Factor,_xlfn.XLOOKUP(Q80,RMD!$A$21:$A$69,RMD!$B$21:$B$69,0),_xlpm.Req,IF(AND(Q80&gt;=RMD!$B$9,_xlpm.Factor&gt;0),_xlpm.OpenBal/_xlpm.Factor,0),MAX($B$21,_xlpm.Req)))</f>
        <v>99312.004003059643</v>
      </c>
      <c r="T80">
        <f t="shared" si="12"/>
        <v>0</v>
      </c>
      <c r="U80">
        <f>IF(Q80="","",_xlfn.LET(_xlpm.PT,S80,_xlpm.BR,T80,_xlpm.SS,R80,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f>
        <v>15269.512880673123</v>
      </c>
      <c r="V80">
        <f>IF(Q80="","",LOOKUP(_xlfn.LET(_xlpm.PT,S80,_xlpm.BR,T80,_xlpm.SS,R80,_xlpm.CG,_xlpm.BR*$B$46,_xlpm.Prov,_xlpm.PT+_xlpm.CG+_xlpm.SS*0.5,_xlpm.TSS,_xlpm.SS*IF(AND(Tax!$B$21&lt;=0,Tax!$B$22&lt;=0),IF(_xlpm.SS&gt;0,0.85,0),IF(_xlpm.Prov&lt;Tax!$B$21,0,IF(_xlpm.Prov&lt;Tax!$B$22,0.5,0.85))),_xlpm.PT+_xlpm.TSS+_xlpm.CG),IRMAA!$B$16:$B$21,IRMAA!$A$16:$A$21))</f>
        <v>0</v>
      </c>
      <c r="W80">
        <f t="shared" si="13"/>
        <v>1763979.8151023455</v>
      </c>
      <c r="X80">
        <f t="shared" si="14"/>
        <v>19</v>
      </c>
      <c r="Y80">
        <f>IF(X80&lt;=MAX(1,Inputs!$B$9-Inputs!$B$8),Inputs!$B$8+X80-1,"")</f>
        <v>83</v>
      </c>
      <c r="Z80">
        <f t="shared" si="15"/>
        <v>89370</v>
      </c>
      <c r="AA80">
        <f>IF(Y80="","",_xlfn.LET(_xlpm.OpenBal,IF(X80=1,$B$47,AE79),_xlpm.Factor,_xlfn.XLOOKUP(Y80,RMD!$A$21:$A$69,RMD!$B$21:$B$69,0),IF(AND(Y80&gt;=RMD!$B$9,_xlpm.Factor&gt;0),_xlpm.OpenBal/_xlpm.Factor,0)))</f>
        <v>105094.23327036473</v>
      </c>
      <c r="AB80">
        <f t="shared" si="16"/>
        <v>0</v>
      </c>
      <c r="AC80">
        <f>IF(Y80="","",_xlfn.LET(_xlpm.PT,AA80,_xlpm.BR,AB80,_xlpm.SS,Z80,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f>
        <v>22172.92131948024</v>
      </c>
      <c r="AD80">
        <f>IF(Y80="","",LOOKUP(_xlfn.LET(_xlpm.PT,AA80,_xlpm.BR,AB80,_xlpm.SS,Z80,_xlpm.CG,_xlpm.BR*$B$46,_xlpm.Prov,_xlpm.PT+_xlpm.CG+_xlpm.SS*0.5,_xlpm.TSS,_xlpm.SS*IF(AND(Tax!$B$21&lt;=0,Tax!$B$22&lt;=0),IF(_xlpm.SS&gt;0,0.85,0),IF(_xlpm.Prov&lt;Tax!$B$21,0,IF(_xlpm.Prov&lt;Tax!$B$22,0.5,0.85))),_xlpm.PT+_xlpm.TSS+_xlpm.CG),IRMAA!$B$16:$B$21,IRMAA!$A$16:$A$21))</f>
        <v>0</v>
      </c>
      <c r="AE80">
        <f t="shared" si="17"/>
        <v>1866683.7713482182</v>
      </c>
      <c r="AG80">
        <f t="shared" si="18"/>
        <v>79</v>
      </c>
      <c r="AH80">
        <f t="shared" si="19"/>
        <v>0.1</v>
      </c>
      <c r="AI80">
        <f t="shared" si="20"/>
        <v>0.2</v>
      </c>
      <c r="AJ80">
        <f t="shared" si="21"/>
        <v>0</v>
      </c>
      <c r="AK80">
        <f t="shared" si="22"/>
        <v>43819.321633416483</v>
      </c>
      <c r="AL80">
        <f t="shared" si="23"/>
        <v>6074.4000000000005</v>
      </c>
      <c r="AM80">
        <f>MIN(MAX(0,$B$10-AL80)*AI80,'Retirement Gap'!$B$29)</f>
        <v>10850.278366583516</v>
      </c>
      <c r="AN80">
        <f>IF($E$40="B - Withdrawals + Roth conversions",AJ80*MAX(0,MIN($B$47-AL80,MIN($B$59,IRMAA!$C$16)-(AL80+$B$8*0.85+AK80*$B$46))),0)</f>
        <v>0</v>
      </c>
      <c r="AO80" cm="1">
        <f t="array" ref="AO80">_xlfn.LET(_xlpm.N,$B$49,_xlpm.R,$B$48,_xlpm.Start,$B$47,_xlpm.PlanWD,AL80,_xlpm.PlanRoth,AM80,_xlpm.PlanConv,AN80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12121.000000000002</v>
      </c>
      <c r="AP80" cm="1">
        <f t="array" ref="AP80">_xlfn.LET(_xlpm.N,$B$49,_xlpm.R,$B$48,_xlpm.Start,$B$47,_xlpm.PlanWD,AL80,_xlpm.PlanRoth,AM80,_xlpm.PlanConv,AN80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80" cm="1">
        <f t="array" ref="AQ80">_xlfn.LET(_xlpm.N,$B$49,_xlpm.R,$B$48,_xlpm.Start,$B$47,_xlpm.PlanWD,AL80,_xlpm.PlanRoth,AM80,_xlpm.PlanConv,AN80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997386.80636768113</v>
      </c>
      <c r="AR80" cm="1">
        <f t="array" ref="AR80">_xlfn.LET(_xlpm.N,$B$49,_xlpm.R,$B$48,_xlpm.Start,$B$47,_xlpm.PlanWD,AL80,_xlpm.PlanRoth,AM80,_xlpm.PlanConv,AN80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1217521.0700058746</v>
      </c>
      <c r="AS80">
        <f>--AND(AK80&lt;=SUM('Retirement Gap'!$B$24:$B$25,'Retirement Gap'!$B$27),AL80+AN80&lt;=$B$47,AM80&lt;='Retirement Gap'!$B$29,ABS(AK80+AL80+AM80-$B$10)&lt;1)</f>
        <v>1</v>
      </c>
      <c r="AT80" cm="1">
        <f t="array" ref="AT80">IF(AS80=0,1E+99,_xlfn.SWITCH(LEFT($E$39,1),"1",AO80,"2",AP80*1000000000+AO80,"3",-AQ80,"4",AO80+AP80*25000+AR80*0.005-AQ80*0.0001,AO80))</f>
        <v>-997386.80636768113</v>
      </c>
    </row>
    <row r="81" spans="8:46" x14ac:dyDescent="0.55000000000000004">
      <c r="H81">
        <f t="shared" si="6"/>
        <v>20</v>
      </c>
      <c r="I81">
        <f>IF(H81&lt;=MAX(1,Inputs!$B$9-Inputs!$B$8),Inputs!$B$8+H81-1,"")</f>
        <v>84</v>
      </c>
      <c r="J81">
        <f t="shared" si="7"/>
        <v>59256</v>
      </c>
      <c r="K81">
        <f>IF(I81="","",_xlfn.LET(_xlpm.OpenBal,IF(H81=1,$B$47,O80),_xlpm.Factor,_xlfn.XLOOKUP(I81,RMD!$A$21:$A$69,RMD!$B$21:$B$69,0),_xlpm.Req,IF(AND(I81&gt;=RMD!$B$9,_xlpm.Factor&gt;0),_xlpm.OpenBal/_xlpm.Factor,0),MAX($B$14,_xlpm.Req)))</f>
        <v>111112.12924691774</v>
      </c>
      <c r="L81">
        <f t="shared" si="8"/>
        <v>0</v>
      </c>
      <c r="M81">
        <f>IF(I81="","",_xlfn.LET(_xlpm.PT,K81,_xlpm.BR,L81,_xlpm.SS,J81,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f>
        <v>17865.540434321902</v>
      </c>
      <c r="N81">
        <f>IF(I81="","",LOOKUP(_xlfn.LET(_xlpm.PT,K81,_xlpm.BR,L81,_xlpm.SS,J81,_xlpm.CG,_xlpm.BR*$B$46,_xlpm.Prov,_xlpm.PT+_xlpm.CG+_xlpm.SS*0.5,_xlpm.TSS,_xlpm.SS*IF(AND(Tax!$B$21&lt;=0,Tax!$B$22&lt;=0),IF(_xlpm.SS&gt;0,0.85,0),IF(_xlpm.Prov&lt;Tax!$B$21,0,IF(_xlpm.Prov&lt;Tax!$B$22,0.5,0.85))),_xlpm.PT+_xlpm.TSS+_xlpm.CG),IRMAA!$B$16:$B$21,IRMAA!$A$16:$A$21))</f>
        <v>0</v>
      </c>
      <c r="O81">
        <f t="shared" si="9"/>
        <v>1867572.6683821937</v>
      </c>
      <c r="P81">
        <f t="shared" si="10"/>
        <v>20</v>
      </c>
      <c r="Q81">
        <f>IF(P81&lt;=MAX(1,Inputs!$B$9-Inputs!$B$8),Inputs!$B$8+P81-1,"")</f>
        <v>84</v>
      </c>
      <c r="R81">
        <f t="shared" si="11"/>
        <v>59256</v>
      </c>
      <c r="S81">
        <f>IF(Q81="","",_xlfn.LET(_xlpm.OpenBal,IF(P81=1,$B$47,W80),_xlpm.Factor,_xlfn.XLOOKUP(Q81,RMD!$A$21:$A$69,RMD!$B$21:$B$69,0),_xlpm.Req,IF(AND(Q81&gt;=RMD!$B$9,_xlpm.Factor&gt;0),_xlpm.OpenBal/_xlpm.Factor,0),MAX($B$21,_xlpm.Req)))</f>
        <v>104998.79851799675</v>
      </c>
      <c r="T81">
        <f t="shared" si="12"/>
        <v>0</v>
      </c>
      <c r="U81">
        <f>IF(Q81="","",_xlfn.LET(_xlpm.PT,S81,_xlpm.BR,T81,_xlpm.SS,R81,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f>
        <v>16520.607673959283</v>
      </c>
      <c r="V81">
        <f>IF(Q81="","",LOOKUP(_xlfn.LET(_xlpm.PT,S81,_xlpm.BR,T81,_xlpm.SS,R81,_xlpm.CG,_xlpm.BR*$B$46,_xlpm.Prov,_xlpm.PT+_xlpm.CG+_xlpm.SS*0.5,_xlpm.TSS,_xlpm.SS*IF(AND(Tax!$B$21&lt;=0,Tax!$B$22&lt;=0),IF(_xlpm.SS&gt;0,0.85,0),IF(_xlpm.Prov&lt;Tax!$B$21,0,IF(_xlpm.Prov&lt;Tax!$B$22,0.5,0.85))),_xlpm.PT+_xlpm.TSS+_xlpm.CG),IRMAA!$B$16:$B$21,IRMAA!$A$16:$A$21))</f>
        <v>0</v>
      </c>
      <c r="W81">
        <f t="shared" si="13"/>
        <v>1764819.8054904896</v>
      </c>
      <c r="X81">
        <f t="shared" si="14"/>
        <v>20</v>
      </c>
      <c r="Y81">
        <f>IF(X81&lt;=MAX(1,Inputs!$B$9-Inputs!$B$8),Inputs!$B$8+X81-1,"")</f>
        <v>84</v>
      </c>
      <c r="Z81">
        <f t="shared" si="15"/>
        <v>89370</v>
      </c>
      <c r="AA81">
        <f>IF(Y81="","",_xlfn.LET(_xlpm.OpenBal,IF(X81=1,$B$47,AE80),_xlpm.Factor,_xlfn.XLOOKUP(Y81,RMD!$A$21:$A$69,RMD!$B$21:$B$69,0),IF(AND(Y81&gt;=RMD!$B$9,_xlpm.Factor&gt;0),_xlpm.OpenBal/_xlpm.Factor,0)))</f>
        <v>111112.12924691774</v>
      </c>
      <c r="AB81">
        <f t="shared" si="16"/>
        <v>0</v>
      </c>
      <c r="AC81">
        <f>IF(Y81="","",_xlfn.LET(_xlpm.PT,AA81,_xlpm.BR,AB81,_xlpm.SS,Z81,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f>
        <v>23496.858434321901</v>
      </c>
      <c r="AD81">
        <f>IF(Y81="","",LOOKUP(_xlfn.LET(_xlpm.PT,AA81,_xlpm.BR,AB81,_xlpm.SS,Z81,_xlpm.CG,_xlpm.BR*$B$46,_xlpm.Prov,_xlpm.PT+_xlpm.CG+_xlpm.SS*0.5,_xlpm.TSS,_xlpm.SS*IF(AND(Tax!$B$21&lt;=0,Tax!$B$22&lt;=0),IF(_xlpm.SS&gt;0,0.85,0),IF(_xlpm.Prov&lt;Tax!$B$21,0,IF(_xlpm.Prov&lt;Tax!$B$22,0.5,0.85))),_xlpm.PT+_xlpm.TSS+_xlpm.CG),IRMAA!$B$16:$B$21,IRMAA!$A$16:$A$21))</f>
        <v>0</v>
      </c>
      <c r="AE81">
        <f t="shared" si="17"/>
        <v>1867572.6683821937</v>
      </c>
      <c r="AG81">
        <f t="shared" si="18"/>
        <v>80</v>
      </c>
      <c r="AH81">
        <f t="shared" si="19"/>
        <v>0.1</v>
      </c>
      <c r="AI81">
        <f t="shared" si="20"/>
        <v>0.2</v>
      </c>
      <c r="AJ81">
        <f t="shared" si="21"/>
        <v>0.2</v>
      </c>
      <c r="AK81">
        <f t="shared" si="22"/>
        <v>43819.321633416483</v>
      </c>
      <c r="AL81">
        <f t="shared" si="23"/>
        <v>6074.4000000000005</v>
      </c>
      <c r="AM81">
        <f>MIN(MAX(0,$B$10-AL81)*AI81,'Retirement Gap'!$B$29)</f>
        <v>10850.278366583516</v>
      </c>
      <c r="AN81">
        <f>IF($E$40="B - Withdrawals + Roth conversions",AJ81*MAX(0,MIN($B$47-AL81,MIN($B$59,IRMAA!$C$16)-(AL81+$B$8*0.85+AK81*$B$46))),0)</f>
        <v>0</v>
      </c>
      <c r="AO81" cm="1">
        <f t="array" ref="AO81">_xlfn.LET(_xlpm.N,$B$49,_xlpm.R,$B$48,_xlpm.Start,$B$47,_xlpm.PlanWD,AL81,_xlpm.PlanRoth,AM81,_xlpm.PlanConv,AN81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12121.000000000002</v>
      </c>
      <c r="AP81" cm="1">
        <f t="array" ref="AP81">_xlfn.LET(_xlpm.N,$B$49,_xlpm.R,$B$48,_xlpm.Start,$B$47,_xlpm.PlanWD,AL81,_xlpm.PlanRoth,AM81,_xlpm.PlanConv,AN81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81" cm="1">
        <f t="array" ref="AQ81">_xlfn.LET(_xlpm.N,$B$49,_xlpm.R,$B$48,_xlpm.Start,$B$47,_xlpm.PlanWD,AL81,_xlpm.PlanRoth,AM81,_xlpm.PlanConv,AN81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997386.80636768113</v>
      </c>
      <c r="AR81" cm="1">
        <f t="array" ref="AR81">_xlfn.LET(_xlpm.N,$B$49,_xlpm.R,$B$48,_xlpm.Start,$B$47,_xlpm.PlanWD,AL81,_xlpm.PlanRoth,AM81,_xlpm.PlanConv,AN81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1217521.0700058746</v>
      </c>
      <c r="AS81">
        <f>--AND(AK81&lt;=SUM('Retirement Gap'!$B$24:$B$25,'Retirement Gap'!$B$27),AL81+AN81&lt;=$B$47,AM81&lt;='Retirement Gap'!$B$29,ABS(AK81+AL81+AM81-$B$10)&lt;1)</f>
        <v>1</v>
      </c>
      <c r="AT81" cm="1">
        <f t="array" ref="AT81">IF(AS81=0,1E+99,_xlfn.SWITCH(LEFT($E$39,1),"1",AO81,"2",AP81*1000000000+AO81,"3",-AQ81,"4",AO81+AP81*25000+AR81*0.005-AQ81*0.0001,AO81))</f>
        <v>-997386.80636768113</v>
      </c>
    </row>
    <row r="82" spans="8:46" x14ac:dyDescent="0.55000000000000004">
      <c r="H82">
        <f t="shared" si="6"/>
        <v>21</v>
      </c>
      <c r="I82" t="str">
        <f>IF(H82&lt;=MAX(1,Inputs!$B$9-Inputs!$B$8),Inputs!$B$8+H82-1,"")</f>
        <v/>
      </c>
      <c r="J82" t="str">
        <f t="shared" si="7"/>
        <v/>
      </c>
      <c r="K82" t="str">
        <f>IF(I82="","",_xlfn.LET(_xlpm.OpenBal,IF(H82=1,$B$47,O81),_xlpm.Factor,_xlfn.XLOOKUP(I82,RMD!$A$21:$A$69,RMD!$B$21:$B$69,0),_xlpm.Req,IF(AND(I82&gt;=RMD!$B$9,_xlpm.Factor&gt;0),_xlpm.OpenBal/_xlpm.Factor,0),MAX($B$14,_xlpm.Req)))</f>
        <v/>
      </c>
      <c r="L82" t="str">
        <f t="shared" si="8"/>
        <v/>
      </c>
      <c r="M82" t="str">
        <f>IF(I82="","",_xlfn.LET(_xlpm.PT,K82,_xlpm.BR,L82,_xlpm.SS,J82,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f>
        <v/>
      </c>
      <c r="N82" t="str">
        <f>IF(I82="","",LOOKUP(_xlfn.LET(_xlpm.PT,K82,_xlpm.BR,L82,_xlpm.SS,J82,_xlpm.CG,_xlpm.BR*$B$46,_xlpm.Prov,_xlpm.PT+_xlpm.CG+_xlpm.SS*0.5,_xlpm.TSS,_xlpm.SS*IF(AND(Tax!$B$21&lt;=0,Tax!$B$22&lt;=0),IF(_xlpm.SS&gt;0,0.85,0),IF(_xlpm.Prov&lt;Tax!$B$21,0,IF(_xlpm.Prov&lt;Tax!$B$22,0.5,0.85))),_xlpm.PT+_xlpm.TSS+_xlpm.CG),IRMAA!$B$16:$B$21,IRMAA!$A$16:$A$21))</f>
        <v/>
      </c>
      <c r="O82" t="str">
        <f t="shared" si="9"/>
        <v/>
      </c>
      <c r="P82">
        <f t="shared" si="10"/>
        <v>21</v>
      </c>
      <c r="Q82" t="str">
        <f>IF(P82&lt;=MAX(1,Inputs!$B$9-Inputs!$B$8),Inputs!$B$8+P82-1,"")</f>
        <v/>
      </c>
      <c r="R82" t="str">
        <f t="shared" si="11"/>
        <v/>
      </c>
      <c r="S82" t="str">
        <f>IF(Q82="","",_xlfn.LET(_xlpm.OpenBal,IF(P82=1,$B$47,W81),_xlpm.Factor,_xlfn.XLOOKUP(Q82,RMD!$A$21:$A$69,RMD!$B$21:$B$69,0),_xlpm.Req,IF(AND(Q82&gt;=RMD!$B$9,_xlpm.Factor&gt;0),_xlpm.OpenBal/_xlpm.Factor,0),MAX($B$21,_xlpm.Req)))</f>
        <v/>
      </c>
      <c r="T82" t="str">
        <f t="shared" si="12"/>
        <v/>
      </c>
      <c r="U82" t="str">
        <f>IF(Q82="","",_xlfn.LET(_xlpm.PT,S82,_xlpm.BR,T82,_xlpm.SS,R82,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f>
        <v/>
      </c>
      <c r="V82" t="str">
        <f>IF(Q82="","",LOOKUP(_xlfn.LET(_xlpm.PT,S82,_xlpm.BR,T82,_xlpm.SS,R82,_xlpm.CG,_xlpm.BR*$B$46,_xlpm.Prov,_xlpm.PT+_xlpm.CG+_xlpm.SS*0.5,_xlpm.TSS,_xlpm.SS*IF(AND(Tax!$B$21&lt;=0,Tax!$B$22&lt;=0),IF(_xlpm.SS&gt;0,0.85,0),IF(_xlpm.Prov&lt;Tax!$B$21,0,IF(_xlpm.Prov&lt;Tax!$B$22,0.5,0.85))),_xlpm.PT+_xlpm.TSS+_xlpm.CG),IRMAA!$B$16:$B$21,IRMAA!$A$16:$A$21))</f>
        <v/>
      </c>
      <c r="W82" t="str">
        <f t="shared" si="13"/>
        <v/>
      </c>
      <c r="X82">
        <f t="shared" si="14"/>
        <v>21</v>
      </c>
      <c r="Y82" t="str">
        <f>IF(X82&lt;=MAX(1,Inputs!$B$9-Inputs!$B$8),Inputs!$B$8+X82-1,"")</f>
        <v/>
      </c>
      <c r="Z82" t="str">
        <f t="shared" si="15"/>
        <v/>
      </c>
      <c r="AA82" t="str">
        <f>IF(Y82="","",_xlfn.LET(_xlpm.OpenBal,IF(X82=1,$B$47,AE81),_xlpm.Factor,_xlfn.XLOOKUP(Y82,RMD!$A$21:$A$69,RMD!$B$21:$B$69,0),IF(AND(Y82&gt;=RMD!$B$9,_xlpm.Factor&gt;0),_xlpm.OpenBal/_xlpm.Factor,0)))</f>
        <v/>
      </c>
      <c r="AB82" t="str">
        <f t="shared" si="16"/>
        <v/>
      </c>
      <c r="AC82" t="str">
        <f>IF(Y82="","",_xlfn.LET(_xlpm.PT,AA82,_xlpm.BR,AB82,_xlpm.SS,Z82,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f>
        <v/>
      </c>
      <c r="AD82" t="str">
        <f>IF(Y82="","",LOOKUP(_xlfn.LET(_xlpm.PT,AA82,_xlpm.BR,AB82,_xlpm.SS,Z82,_xlpm.CG,_xlpm.BR*$B$46,_xlpm.Prov,_xlpm.PT+_xlpm.CG+_xlpm.SS*0.5,_xlpm.TSS,_xlpm.SS*IF(AND(Tax!$B$21&lt;=0,Tax!$B$22&lt;=0),IF(_xlpm.SS&gt;0,0.85,0),IF(_xlpm.Prov&lt;Tax!$B$21,0,IF(_xlpm.Prov&lt;Tax!$B$22,0.5,0.85))),_xlpm.PT+_xlpm.TSS+_xlpm.CG),IRMAA!$B$16:$B$21,IRMAA!$A$16:$A$21))</f>
        <v/>
      </c>
      <c r="AE82" t="str">
        <f t="shared" si="17"/>
        <v/>
      </c>
      <c r="AG82">
        <f t="shared" si="18"/>
        <v>81</v>
      </c>
      <c r="AH82">
        <f t="shared" si="19"/>
        <v>0.1</v>
      </c>
      <c r="AI82">
        <f t="shared" si="20"/>
        <v>0.2</v>
      </c>
      <c r="AJ82">
        <f t="shared" si="21"/>
        <v>0.4</v>
      </c>
      <c r="AK82">
        <f t="shared" si="22"/>
        <v>43819.321633416483</v>
      </c>
      <c r="AL82">
        <f t="shared" si="23"/>
        <v>6074.4000000000005</v>
      </c>
      <c r="AM82">
        <f>MIN(MAX(0,$B$10-AL82)*AI82,'Retirement Gap'!$B$29)</f>
        <v>10850.278366583516</v>
      </c>
      <c r="AN82">
        <f>IF($E$40="B - Withdrawals + Roth conversions",AJ82*MAX(0,MIN($B$47-AL82,MIN($B$59,IRMAA!$C$16)-(AL82+$B$8*0.85+AK82*$B$46))),0)</f>
        <v>0</v>
      </c>
      <c r="AO82" cm="1">
        <f t="array" ref="AO82">_xlfn.LET(_xlpm.N,$B$49,_xlpm.R,$B$48,_xlpm.Start,$B$47,_xlpm.PlanWD,AL82,_xlpm.PlanRoth,AM82,_xlpm.PlanConv,AN82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12121.000000000002</v>
      </c>
      <c r="AP82" cm="1">
        <f t="array" ref="AP82">_xlfn.LET(_xlpm.N,$B$49,_xlpm.R,$B$48,_xlpm.Start,$B$47,_xlpm.PlanWD,AL82,_xlpm.PlanRoth,AM82,_xlpm.PlanConv,AN82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82" cm="1">
        <f t="array" ref="AQ82">_xlfn.LET(_xlpm.N,$B$49,_xlpm.R,$B$48,_xlpm.Start,$B$47,_xlpm.PlanWD,AL82,_xlpm.PlanRoth,AM82,_xlpm.PlanConv,AN82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997386.80636768113</v>
      </c>
      <c r="AR82" cm="1">
        <f t="array" ref="AR82">_xlfn.LET(_xlpm.N,$B$49,_xlpm.R,$B$48,_xlpm.Start,$B$47,_xlpm.PlanWD,AL82,_xlpm.PlanRoth,AM82,_xlpm.PlanConv,AN82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1217521.0700058746</v>
      </c>
      <c r="AS82">
        <f>--AND(AK82&lt;=SUM('Retirement Gap'!$B$24:$B$25,'Retirement Gap'!$B$27),AL82+AN82&lt;=$B$47,AM82&lt;='Retirement Gap'!$B$29,ABS(AK82+AL82+AM82-$B$10)&lt;1)</f>
        <v>1</v>
      </c>
      <c r="AT82" cm="1">
        <f t="array" ref="AT82">IF(AS82=0,1E+99,_xlfn.SWITCH(LEFT($E$39,1),"1",AO82,"2",AP82*1000000000+AO82,"3",-AQ82,"4",AO82+AP82*25000+AR82*0.005-AQ82*0.0001,AO82))</f>
        <v>-997386.80636768113</v>
      </c>
    </row>
    <row r="83" spans="8:46" x14ac:dyDescent="0.55000000000000004">
      <c r="H83">
        <f t="shared" si="6"/>
        <v>22</v>
      </c>
      <c r="I83" t="str">
        <f>IF(H83&lt;=MAX(1,Inputs!$B$9-Inputs!$B$8),Inputs!$B$8+H83-1,"")</f>
        <v/>
      </c>
      <c r="J83" t="str">
        <f t="shared" si="7"/>
        <v/>
      </c>
      <c r="K83" t="str">
        <f>IF(I83="","",_xlfn.LET(_xlpm.OpenBal,IF(H83=1,$B$47,O82),_xlpm.Factor,_xlfn.XLOOKUP(I83,RMD!$A$21:$A$69,RMD!$B$21:$B$69,0),_xlpm.Req,IF(AND(I83&gt;=RMD!$B$9,_xlpm.Factor&gt;0),_xlpm.OpenBal/_xlpm.Factor,0),MAX($B$14,_xlpm.Req)))</f>
        <v/>
      </c>
      <c r="L83" t="str">
        <f t="shared" si="8"/>
        <v/>
      </c>
      <c r="M83" t="str">
        <f>IF(I83="","",_xlfn.LET(_xlpm.PT,K83,_xlpm.BR,L83,_xlpm.SS,J83,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f>
        <v/>
      </c>
      <c r="N83" t="str">
        <f>IF(I83="","",LOOKUP(_xlfn.LET(_xlpm.PT,K83,_xlpm.BR,L83,_xlpm.SS,J83,_xlpm.CG,_xlpm.BR*$B$46,_xlpm.Prov,_xlpm.PT+_xlpm.CG+_xlpm.SS*0.5,_xlpm.TSS,_xlpm.SS*IF(AND(Tax!$B$21&lt;=0,Tax!$B$22&lt;=0),IF(_xlpm.SS&gt;0,0.85,0),IF(_xlpm.Prov&lt;Tax!$B$21,0,IF(_xlpm.Prov&lt;Tax!$B$22,0.5,0.85))),_xlpm.PT+_xlpm.TSS+_xlpm.CG),IRMAA!$B$16:$B$21,IRMAA!$A$16:$A$21))</f>
        <v/>
      </c>
      <c r="O83" t="str">
        <f t="shared" si="9"/>
        <v/>
      </c>
      <c r="P83">
        <f t="shared" si="10"/>
        <v>22</v>
      </c>
      <c r="Q83" t="str">
        <f>IF(P83&lt;=MAX(1,Inputs!$B$9-Inputs!$B$8),Inputs!$B$8+P83-1,"")</f>
        <v/>
      </c>
      <c r="R83" t="str">
        <f t="shared" si="11"/>
        <v/>
      </c>
      <c r="S83" t="str">
        <f>IF(Q83="","",_xlfn.LET(_xlpm.OpenBal,IF(P83=1,$B$47,W82),_xlpm.Factor,_xlfn.XLOOKUP(Q83,RMD!$A$21:$A$69,RMD!$B$21:$B$69,0),_xlpm.Req,IF(AND(Q83&gt;=RMD!$B$9,_xlpm.Factor&gt;0),_xlpm.OpenBal/_xlpm.Factor,0),MAX($B$21,_xlpm.Req)))</f>
        <v/>
      </c>
      <c r="T83" t="str">
        <f t="shared" si="12"/>
        <v/>
      </c>
      <c r="U83" t="str">
        <f>IF(Q83="","",_xlfn.LET(_xlpm.PT,S83,_xlpm.BR,T83,_xlpm.SS,R83,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f>
        <v/>
      </c>
      <c r="V83" t="str">
        <f>IF(Q83="","",LOOKUP(_xlfn.LET(_xlpm.PT,S83,_xlpm.BR,T83,_xlpm.SS,R83,_xlpm.CG,_xlpm.BR*$B$46,_xlpm.Prov,_xlpm.PT+_xlpm.CG+_xlpm.SS*0.5,_xlpm.TSS,_xlpm.SS*IF(AND(Tax!$B$21&lt;=0,Tax!$B$22&lt;=0),IF(_xlpm.SS&gt;0,0.85,0),IF(_xlpm.Prov&lt;Tax!$B$21,0,IF(_xlpm.Prov&lt;Tax!$B$22,0.5,0.85))),_xlpm.PT+_xlpm.TSS+_xlpm.CG),IRMAA!$B$16:$B$21,IRMAA!$A$16:$A$21))</f>
        <v/>
      </c>
      <c r="W83" t="str">
        <f t="shared" si="13"/>
        <v/>
      </c>
      <c r="X83">
        <f t="shared" si="14"/>
        <v>22</v>
      </c>
      <c r="Y83" t="str">
        <f>IF(X83&lt;=MAX(1,Inputs!$B$9-Inputs!$B$8),Inputs!$B$8+X83-1,"")</f>
        <v/>
      </c>
      <c r="Z83" t="str">
        <f t="shared" si="15"/>
        <v/>
      </c>
      <c r="AA83" t="str">
        <f>IF(Y83="","",_xlfn.LET(_xlpm.OpenBal,IF(X83=1,$B$47,AE82),_xlpm.Factor,_xlfn.XLOOKUP(Y83,RMD!$A$21:$A$69,RMD!$B$21:$B$69,0),IF(AND(Y83&gt;=RMD!$B$9,_xlpm.Factor&gt;0),_xlpm.OpenBal/_xlpm.Factor,0)))</f>
        <v/>
      </c>
      <c r="AB83" t="str">
        <f t="shared" si="16"/>
        <v/>
      </c>
      <c r="AC83" t="str">
        <f>IF(Y83="","",_xlfn.LET(_xlpm.PT,AA83,_xlpm.BR,AB83,_xlpm.SS,Z83,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f>
        <v/>
      </c>
      <c r="AD83" t="str">
        <f>IF(Y83="","",LOOKUP(_xlfn.LET(_xlpm.PT,AA83,_xlpm.BR,AB83,_xlpm.SS,Z83,_xlpm.CG,_xlpm.BR*$B$46,_xlpm.Prov,_xlpm.PT+_xlpm.CG+_xlpm.SS*0.5,_xlpm.TSS,_xlpm.SS*IF(AND(Tax!$B$21&lt;=0,Tax!$B$22&lt;=0),IF(_xlpm.SS&gt;0,0.85,0),IF(_xlpm.Prov&lt;Tax!$B$21,0,IF(_xlpm.Prov&lt;Tax!$B$22,0.5,0.85))),_xlpm.PT+_xlpm.TSS+_xlpm.CG),IRMAA!$B$16:$B$21,IRMAA!$A$16:$A$21))</f>
        <v/>
      </c>
      <c r="AE83" t="str">
        <f t="shared" si="17"/>
        <v/>
      </c>
      <c r="AG83">
        <f t="shared" si="18"/>
        <v>82</v>
      </c>
      <c r="AH83">
        <f t="shared" si="19"/>
        <v>0.1</v>
      </c>
      <c r="AI83">
        <f t="shared" si="20"/>
        <v>0.2</v>
      </c>
      <c r="AJ83">
        <f t="shared" si="21"/>
        <v>0.6</v>
      </c>
      <c r="AK83">
        <f t="shared" si="22"/>
        <v>43819.321633416483</v>
      </c>
      <c r="AL83">
        <f t="shared" si="23"/>
        <v>6074.4000000000005</v>
      </c>
      <c r="AM83">
        <f>MIN(MAX(0,$B$10-AL83)*AI83,'Retirement Gap'!$B$29)</f>
        <v>10850.278366583516</v>
      </c>
      <c r="AN83">
        <f>IF($E$40="B - Withdrawals + Roth conversions",AJ83*MAX(0,MIN($B$47-AL83,MIN($B$59,IRMAA!$C$16)-(AL83+$B$8*0.85+AK83*$B$46))),0)</f>
        <v>0</v>
      </c>
      <c r="AO83" cm="1">
        <f t="array" ref="AO83">_xlfn.LET(_xlpm.N,$B$49,_xlpm.R,$B$48,_xlpm.Start,$B$47,_xlpm.PlanWD,AL83,_xlpm.PlanRoth,AM83,_xlpm.PlanConv,AN83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12121.000000000002</v>
      </c>
      <c r="AP83" cm="1">
        <f t="array" ref="AP83">_xlfn.LET(_xlpm.N,$B$49,_xlpm.R,$B$48,_xlpm.Start,$B$47,_xlpm.PlanWD,AL83,_xlpm.PlanRoth,AM83,_xlpm.PlanConv,AN83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83" cm="1">
        <f t="array" ref="AQ83">_xlfn.LET(_xlpm.N,$B$49,_xlpm.R,$B$48,_xlpm.Start,$B$47,_xlpm.PlanWD,AL83,_xlpm.PlanRoth,AM83,_xlpm.PlanConv,AN83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997386.80636768113</v>
      </c>
      <c r="AR83" cm="1">
        <f t="array" ref="AR83">_xlfn.LET(_xlpm.N,$B$49,_xlpm.R,$B$48,_xlpm.Start,$B$47,_xlpm.PlanWD,AL83,_xlpm.PlanRoth,AM83,_xlpm.PlanConv,AN83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1217521.0700058746</v>
      </c>
      <c r="AS83">
        <f>--AND(AK83&lt;=SUM('Retirement Gap'!$B$24:$B$25,'Retirement Gap'!$B$27),AL83+AN83&lt;=$B$47,AM83&lt;='Retirement Gap'!$B$29,ABS(AK83+AL83+AM83-$B$10)&lt;1)</f>
        <v>1</v>
      </c>
      <c r="AT83" cm="1">
        <f t="array" ref="AT83">IF(AS83=0,1E+99,_xlfn.SWITCH(LEFT($E$39,1),"1",AO83,"2",AP83*1000000000+AO83,"3",-AQ83,"4",AO83+AP83*25000+AR83*0.005-AQ83*0.0001,AO83))</f>
        <v>-997386.80636768113</v>
      </c>
    </row>
    <row r="84" spans="8:46" x14ac:dyDescent="0.55000000000000004">
      <c r="H84">
        <f t="shared" si="6"/>
        <v>23</v>
      </c>
      <c r="I84" t="str">
        <f>IF(H84&lt;=MAX(1,Inputs!$B$9-Inputs!$B$8),Inputs!$B$8+H84-1,"")</f>
        <v/>
      </c>
      <c r="J84" t="str">
        <f t="shared" si="7"/>
        <v/>
      </c>
      <c r="K84" t="str">
        <f>IF(I84="","",_xlfn.LET(_xlpm.OpenBal,IF(H84=1,$B$47,O83),_xlpm.Factor,_xlfn.XLOOKUP(I84,RMD!$A$21:$A$69,RMD!$B$21:$B$69,0),_xlpm.Req,IF(AND(I84&gt;=RMD!$B$9,_xlpm.Factor&gt;0),_xlpm.OpenBal/_xlpm.Factor,0),MAX($B$14,_xlpm.Req)))</f>
        <v/>
      </c>
      <c r="L84" t="str">
        <f t="shared" si="8"/>
        <v/>
      </c>
      <c r="M84" t="str">
        <f>IF(I84="","",_xlfn.LET(_xlpm.PT,K84,_xlpm.BR,L84,_xlpm.SS,J84,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f>
        <v/>
      </c>
      <c r="N84" t="str">
        <f>IF(I84="","",LOOKUP(_xlfn.LET(_xlpm.PT,K84,_xlpm.BR,L84,_xlpm.SS,J84,_xlpm.CG,_xlpm.BR*$B$46,_xlpm.Prov,_xlpm.PT+_xlpm.CG+_xlpm.SS*0.5,_xlpm.TSS,_xlpm.SS*IF(AND(Tax!$B$21&lt;=0,Tax!$B$22&lt;=0),IF(_xlpm.SS&gt;0,0.85,0),IF(_xlpm.Prov&lt;Tax!$B$21,0,IF(_xlpm.Prov&lt;Tax!$B$22,0.5,0.85))),_xlpm.PT+_xlpm.TSS+_xlpm.CG),IRMAA!$B$16:$B$21,IRMAA!$A$16:$A$21))</f>
        <v/>
      </c>
      <c r="O84" t="str">
        <f t="shared" si="9"/>
        <v/>
      </c>
      <c r="P84">
        <f t="shared" si="10"/>
        <v>23</v>
      </c>
      <c r="Q84" t="str">
        <f>IF(P84&lt;=MAX(1,Inputs!$B$9-Inputs!$B$8),Inputs!$B$8+P84-1,"")</f>
        <v/>
      </c>
      <c r="R84" t="str">
        <f t="shared" si="11"/>
        <v/>
      </c>
      <c r="S84" t="str">
        <f>IF(Q84="","",_xlfn.LET(_xlpm.OpenBal,IF(P84=1,$B$47,W83),_xlpm.Factor,_xlfn.XLOOKUP(Q84,RMD!$A$21:$A$69,RMD!$B$21:$B$69,0),_xlpm.Req,IF(AND(Q84&gt;=RMD!$B$9,_xlpm.Factor&gt;0),_xlpm.OpenBal/_xlpm.Factor,0),MAX($B$21,_xlpm.Req)))</f>
        <v/>
      </c>
      <c r="T84" t="str">
        <f t="shared" si="12"/>
        <v/>
      </c>
      <c r="U84" t="str">
        <f>IF(Q84="","",_xlfn.LET(_xlpm.PT,S84,_xlpm.BR,T84,_xlpm.SS,R84,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f>
        <v/>
      </c>
      <c r="V84" t="str">
        <f>IF(Q84="","",LOOKUP(_xlfn.LET(_xlpm.PT,S84,_xlpm.BR,T84,_xlpm.SS,R84,_xlpm.CG,_xlpm.BR*$B$46,_xlpm.Prov,_xlpm.PT+_xlpm.CG+_xlpm.SS*0.5,_xlpm.TSS,_xlpm.SS*IF(AND(Tax!$B$21&lt;=0,Tax!$B$22&lt;=0),IF(_xlpm.SS&gt;0,0.85,0),IF(_xlpm.Prov&lt;Tax!$B$21,0,IF(_xlpm.Prov&lt;Tax!$B$22,0.5,0.85))),_xlpm.PT+_xlpm.TSS+_xlpm.CG),IRMAA!$B$16:$B$21,IRMAA!$A$16:$A$21))</f>
        <v/>
      </c>
      <c r="W84" t="str">
        <f t="shared" si="13"/>
        <v/>
      </c>
      <c r="X84">
        <f t="shared" si="14"/>
        <v>23</v>
      </c>
      <c r="Y84" t="str">
        <f>IF(X84&lt;=MAX(1,Inputs!$B$9-Inputs!$B$8),Inputs!$B$8+X84-1,"")</f>
        <v/>
      </c>
      <c r="Z84" t="str">
        <f t="shared" si="15"/>
        <v/>
      </c>
      <c r="AA84" t="str">
        <f>IF(Y84="","",_xlfn.LET(_xlpm.OpenBal,IF(X84=1,$B$47,AE83),_xlpm.Factor,_xlfn.XLOOKUP(Y84,RMD!$A$21:$A$69,RMD!$B$21:$B$69,0),IF(AND(Y84&gt;=RMD!$B$9,_xlpm.Factor&gt;0),_xlpm.OpenBal/_xlpm.Factor,0)))</f>
        <v/>
      </c>
      <c r="AB84" t="str">
        <f t="shared" si="16"/>
        <v/>
      </c>
      <c r="AC84" t="str">
        <f>IF(Y84="","",_xlfn.LET(_xlpm.PT,AA84,_xlpm.BR,AB84,_xlpm.SS,Z84,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f>
        <v/>
      </c>
      <c r="AD84" t="str">
        <f>IF(Y84="","",LOOKUP(_xlfn.LET(_xlpm.PT,AA84,_xlpm.BR,AB84,_xlpm.SS,Z84,_xlpm.CG,_xlpm.BR*$B$46,_xlpm.Prov,_xlpm.PT+_xlpm.CG+_xlpm.SS*0.5,_xlpm.TSS,_xlpm.SS*IF(AND(Tax!$B$21&lt;=0,Tax!$B$22&lt;=0),IF(_xlpm.SS&gt;0,0.85,0),IF(_xlpm.Prov&lt;Tax!$B$21,0,IF(_xlpm.Prov&lt;Tax!$B$22,0.5,0.85))),_xlpm.PT+_xlpm.TSS+_xlpm.CG),IRMAA!$B$16:$B$21,IRMAA!$A$16:$A$21))</f>
        <v/>
      </c>
      <c r="AE84" t="str">
        <f t="shared" si="17"/>
        <v/>
      </c>
      <c r="AG84">
        <f t="shared" si="18"/>
        <v>83</v>
      </c>
      <c r="AH84">
        <f t="shared" si="19"/>
        <v>0.1</v>
      </c>
      <c r="AI84">
        <f t="shared" si="20"/>
        <v>0.2</v>
      </c>
      <c r="AJ84">
        <f t="shared" si="21"/>
        <v>0.8</v>
      </c>
      <c r="AK84">
        <f t="shared" si="22"/>
        <v>43819.321633416483</v>
      </c>
      <c r="AL84">
        <f t="shared" si="23"/>
        <v>6074.4000000000005</v>
      </c>
      <c r="AM84">
        <f>MIN(MAX(0,$B$10-AL84)*AI84,'Retirement Gap'!$B$29)</f>
        <v>10850.278366583516</v>
      </c>
      <c r="AN84">
        <f>IF($E$40="B - Withdrawals + Roth conversions",AJ84*MAX(0,MIN($B$47-AL84,MIN($B$59,IRMAA!$C$16)-(AL84+$B$8*0.85+AK84*$B$46))),0)</f>
        <v>0</v>
      </c>
      <c r="AO84" cm="1">
        <f t="array" ref="AO84">_xlfn.LET(_xlpm.N,$B$49,_xlpm.R,$B$48,_xlpm.Start,$B$47,_xlpm.PlanWD,AL84,_xlpm.PlanRoth,AM84,_xlpm.PlanConv,AN84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12121.000000000002</v>
      </c>
      <c r="AP84" cm="1">
        <f t="array" ref="AP84">_xlfn.LET(_xlpm.N,$B$49,_xlpm.R,$B$48,_xlpm.Start,$B$47,_xlpm.PlanWD,AL84,_xlpm.PlanRoth,AM84,_xlpm.PlanConv,AN84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84" cm="1">
        <f t="array" ref="AQ84">_xlfn.LET(_xlpm.N,$B$49,_xlpm.R,$B$48,_xlpm.Start,$B$47,_xlpm.PlanWD,AL84,_xlpm.PlanRoth,AM84,_xlpm.PlanConv,AN84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997386.80636768113</v>
      </c>
      <c r="AR84" cm="1">
        <f t="array" ref="AR84">_xlfn.LET(_xlpm.N,$B$49,_xlpm.R,$B$48,_xlpm.Start,$B$47,_xlpm.PlanWD,AL84,_xlpm.PlanRoth,AM84,_xlpm.PlanConv,AN84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1217521.0700058746</v>
      </c>
      <c r="AS84">
        <f>--AND(AK84&lt;=SUM('Retirement Gap'!$B$24:$B$25,'Retirement Gap'!$B$27),AL84+AN84&lt;=$B$47,AM84&lt;='Retirement Gap'!$B$29,ABS(AK84+AL84+AM84-$B$10)&lt;1)</f>
        <v>1</v>
      </c>
      <c r="AT84" cm="1">
        <f t="array" ref="AT84">IF(AS84=0,1E+99,_xlfn.SWITCH(LEFT($E$39,1),"1",AO84,"2",AP84*1000000000+AO84,"3",-AQ84,"4",AO84+AP84*25000+AR84*0.005-AQ84*0.0001,AO84))</f>
        <v>-997386.80636768113</v>
      </c>
    </row>
    <row r="85" spans="8:46" x14ac:dyDescent="0.55000000000000004">
      <c r="H85">
        <f t="shared" si="6"/>
        <v>24</v>
      </c>
      <c r="I85" t="str">
        <f>IF(H85&lt;=MAX(1,Inputs!$B$9-Inputs!$B$8),Inputs!$B$8+H85-1,"")</f>
        <v/>
      </c>
      <c r="J85" t="str">
        <f t="shared" si="7"/>
        <v/>
      </c>
      <c r="K85" t="str">
        <f>IF(I85="","",_xlfn.LET(_xlpm.OpenBal,IF(H85=1,$B$47,O84),_xlpm.Factor,_xlfn.XLOOKUP(I85,RMD!$A$21:$A$69,RMD!$B$21:$B$69,0),_xlpm.Req,IF(AND(I85&gt;=RMD!$B$9,_xlpm.Factor&gt;0),_xlpm.OpenBal/_xlpm.Factor,0),MAX($B$14,_xlpm.Req)))</f>
        <v/>
      </c>
      <c r="L85" t="str">
        <f t="shared" si="8"/>
        <v/>
      </c>
      <c r="M85" t="str">
        <f>IF(I85="","",_xlfn.LET(_xlpm.PT,K85,_xlpm.BR,L85,_xlpm.SS,J85,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f>
        <v/>
      </c>
      <c r="N85" t="str">
        <f>IF(I85="","",LOOKUP(_xlfn.LET(_xlpm.PT,K85,_xlpm.BR,L85,_xlpm.SS,J85,_xlpm.CG,_xlpm.BR*$B$46,_xlpm.Prov,_xlpm.PT+_xlpm.CG+_xlpm.SS*0.5,_xlpm.TSS,_xlpm.SS*IF(AND(Tax!$B$21&lt;=0,Tax!$B$22&lt;=0),IF(_xlpm.SS&gt;0,0.85,0),IF(_xlpm.Prov&lt;Tax!$B$21,0,IF(_xlpm.Prov&lt;Tax!$B$22,0.5,0.85))),_xlpm.PT+_xlpm.TSS+_xlpm.CG),IRMAA!$B$16:$B$21,IRMAA!$A$16:$A$21))</f>
        <v/>
      </c>
      <c r="O85" t="str">
        <f t="shared" si="9"/>
        <v/>
      </c>
      <c r="P85">
        <f t="shared" si="10"/>
        <v>24</v>
      </c>
      <c r="Q85" t="str">
        <f>IF(P85&lt;=MAX(1,Inputs!$B$9-Inputs!$B$8),Inputs!$B$8+P85-1,"")</f>
        <v/>
      </c>
      <c r="R85" t="str">
        <f t="shared" si="11"/>
        <v/>
      </c>
      <c r="S85" t="str">
        <f>IF(Q85="","",_xlfn.LET(_xlpm.OpenBal,IF(P85=1,$B$47,W84),_xlpm.Factor,_xlfn.XLOOKUP(Q85,RMD!$A$21:$A$69,RMD!$B$21:$B$69,0),_xlpm.Req,IF(AND(Q85&gt;=RMD!$B$9,_xlpm.Factor&gt;0),_xlpm.OpenBal/_xlpm.Factor,0),MAX($B$21,_xlpm.Req)))</f>
        <v/>
      </c>
      <c r="T85" t="str">
        <f t="shared" si="12"/>
        <v/>
      </c>
      <c r="U85" t="str">
        <f>IF(Q85="","",_xlfn.LET(_xlpm.PT,S85,_xlpm.BR,T85,_xlpm.SS,R85,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f>
        <v/>
      </c>
      <c r="V85" t="str">
        <f>IF(Q85="","",LOOKUP(_xlfn.LET(_xlpm.PT,S85,_xlpm.BR,T85,_xlpm.SS,R85,_xlpm.CG,_xlpm.BR*$B$46,_xlpm.Prov,_xlpm.PT+_xlpm.CG+_xlpm.SS*0.5,_xlpm.TSS,_xlpm.SS*IF(AND(Tax!$B$21&lt;=0,Tax!$B$22&lt;=0),IF(_xlpm.SS&gt;0,0.85,0),IF(_xlpm.Prov&lt;Tax!$B$21,0,IF(_xlpm.Prov&lt;Tax!$B$22,0.5,0.85))),_xlpm.PT+_xlpm.TSS+_xlpm.CG),IRMAA!$B$16:$B$21,IRMAA!$A$16:$A$21))</f>
        <v/>
      </c>
      <c r="W85" t="str">
        <f t="shared" si="13"/>
        <v/>
      </c>
      <c r="X85">
        <f t="shared" si="14"/>
        <v>24</v>
      </c>
      <c r="Y85" t="str">
        <f>IF(X85&lt;=MAX(1,Inputs!$B$9-Inputs!$B$8),Inputs!$B$8+X85-1,"")</f>
        <v/>
      </c>
      <c r="Z85" t="str">
        <f t="shared" si="15"/>
        <v/>
      </c>
      <c r="AA85" t="str">
        <f>IF(Y85="","",_xlfn.LET(_xlpm.OpenBal,IF(X85=1,$B$47,AE84),_xlpm.Factor,_xlfn.XLOOKUP(Y85,RMD!$A$21:$A$69,RMD!$B$21:$B$69,0),IF(AND(Y85&gt;=RMD!$B$9,_xlpm.Factor&gt;0),_xlpm.OpenBal/_xlpm.Factor,0)))</f>
        <v/>
      </c>
      <c r="AB85" t="str">
        <f t="shared" si="16"/>
        <v/>
      </c>
      <c r="AC85" t="str">
        <f>IF(Y85="","",_xlfn.LET(_xlpm.PT,AA85,_xlpm.BR,AB85,_xlpm.SS,Z85,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f>
        <v/>
      </c>
      <c r="AD85" t="str">
        <f>IF(Y85="","",LOOKUP(_xlfn.LET(_xlpm.PT,AA85,_xlpm.BR,AB85,_xlpm.SS,Z85,_xlpm.CG,_xlpm.BR*$B$46,_xlpm.Prov,_xlpm.PT+_xlpm.CG+_xlpm.SS*0.5,_xlpm.TSS,_xlpm.SS*IF(AND(Tax!$B$21&lt;=0,Tax!$B$22&lt;=0),IF(_xlpm.SS&gt;0,0.85,0),IF(_xlpm.Prov&lt;Tax!$B$21,0,IF(_xlpm.Prov&lt;Tax!$B$22,0.5,0.85))),_xlpm.PT+_xlpm.TSS+_xlpm.CG),IRMAA!$B$16:$B$21,IRMAA!$A$16:$A$21))</f>
        <v/>
      </c>
      <c r="AE85" t="str">
        <f t="shared" si="17"/>
        <v/>
      </c>
      <c r="AG85">
        <f t="shared" si="18"/>
        <v>84</v>
      </c>
      <c r="AH85">
        <f t="shared" si="19"/>
        <v>0.1</v>
      </c>
      <c r="AI85">
        <f t="shared" si="20"/>
        <v>0.2</v>
      </c>
      <c r="AJ85">
        <f t="shared" si="21"/>
        <v>1</v>
      </c>
      <c r="AK85">
        <f t="shared" si="22"/>
        <v>43819.321633416483</v>
      </c>
      <c r="AL85">
        <f t="shared" si="23"/>
        <v>6074.4000000000005</v>
      </c>
      <c r="AM85">
        <f>MIN(MAX(0,$B$10-AL85)*AI85,'Retirement Gap'!$B$29)</f>
        <v>10850.278366583516</v>
      </c>
      <c r="AN85">
        <f>IF($E$40="B - Withdrawals + Roth conversions",AJ85*MAX(0,MIN($B$47-AL85,MIN($B$59,IRMAA!$C$16)-(AL85+$B$8*0.85+AK85*$B$46))),0)</f>
        <v>0</v>
      </c>
      <c r="AO85" cm="1">
        <f t="array" ref="AO85">_xlfn.LET(_xlpm.N,$B$49,_xlpm.R,$B$48,_xlpm.Start,$B$47,_xlpm.PlanWD,AL85,_xlpm.PlanRoth,AM85,_xlpm.PlanConv,AN85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12121.000000000002</v>
      </c>
      <c r="AP85" cm="1">
        <f t="array" ref="AP85">_xlfn.LET(_xlpm.N,$B$49,_xlpm.R,$B$48,_xlpm.Start,$B$47,_xlpm.PlanWD,AL85,_xlpm.PlanRoth,AM85,_xlpm.PlanConv,AN85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85" cm="1">
        <f t="array" ref="AQ85">_xlfn.LET(_xlpm.N,$B$49,_xlpm.R,$B$48,_xlpm.Start,$B$47,_xlpm.PlanWD,AL85,_xlpm.PlanRoth,AM85,_xlpm.PlanConv,AN85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997386.80636768113</v>
      </c>
      <c r="AR85" cm="1">
        <f t="array" ref="AR85">_xlfn.LET(_xlpm.N,$B$49,_xlpm.R,$B$48,_xlpm.Start,$B$47,_xlpm.PlanWD,AL85,_xlpm.PlanRoth,AM85,_xlpm.PlanConv,AN85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1217521.0700058746</v>
      </c>
      <c r="AS85">
        <f>--AND(AK85&lt;=SUM('Retirement Gap'!$B$24:$B$25,'Retirement Gap'!$B$27),AL85+AN85&lt;=$B$47,AM85&lt;='Retirement Gap'!$B$29,ABS(AK85+AL85+AM85-$B$10)&lt;1)</f>
        <v>1</v>
      </c>
      <c r="AT85" cm="1">
        <f t="array" ref="AT85">IF(AS85=0,1E+99,_xlfn.SWITCH(LEFT($E$39,1),"1",AO85,"2",AP85*1000000000+AO85,"3",-AQ85,"4",AO85+AP85*25000+AR85*0.005-AQ85*0.0001,AO85))</f>
        <v>-997386.80636768113</v>
      </c>
    </row>
    <row r="86" spans="8:46" x14ac:dyDescent="0.55000000000000004">
      <c r="H86">
        <f t="shared" si="6"/>
        <v>25</v>
      </c>
      <c r="I86" t="str">
        <f>IF(H86&lt;=MAX(1,Inputs!$B$9-Inputs!$B$8),Inputs!$B$8+H86-1,"")</f>
        <v/>
      </c>
      <c r="J86" t="str">
        <f t="shared" si="7"/>
        <v/>
      </c>
      <c r="K86" t="str">
        <f>IF(I86="","",_xlfn.LET(_xlpm.OpenBal,IF(H86=1,$B$47,O85),_xlpm.Factor,_xlfn.XLOOKUP(I86,RMD!$A$21:$A$69,RMD!$B$21:$B$69,0),_xlpm.Req,IF(AND(I86&gt;=RMD!$B$9,_xlpm.Factor&gt;0),_xlpm.OpenBal/_xlpm.Factor,0),MAX($B$14,_xlpm.Req)))</f>
        <v/>
      </c>
      <c r="L86" t="str">
        <f t="shared" si="8"/>
        <v/>
      </c>
      <c r="M86" t="str">
        <f>IF(I86="","",_xlfn.LET(_xlpm.PT,K86,_xlpm.BR,L86,_xlpm.SS,J86,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f>
        <v/>
      </c>
      <c r="N86" t="str">
        <f>IF(I86="","",LOOKUP(_xlfn.LET(_xlpm.PT,K86,_xlpm.BR,L86,_xlpm.SS,J86,_xlpm.CG,_xlpm.BR*$B$46,_xlpm.Prov,_xlpm.PT+_xlpm.CG+_xlpm.SS*0.5,_xlpm.TSS,_xlpm.SS*IF(AND(Tax!$B$21&lt;=0,Tax!$B$22&lt;=0),IF(_xlpm.SS&gt;0,0.85,0),IF(_xlpm.Prov&lt;Tax!$B$21,0,IF(_xlpm.Prov&lt;Tax!$B$22,0.5,0.85))),_xlpm.PT+_xlpm.TSS+_xlpm.CG),IRMAA!$B$16:$B$21,IRMAA!$A$16:$A$21))</f>
        <v/>
      </c>
      <c r="O86" t="str">
        <f t="shared" si="9"/>
        <v/>
      </c>
      <c r="P86">
        <f t="shared" si="10"/>
        <v>25</v>
      </c>
      <c r="Q86" t="str">
        <f>IF(P86&lt;=MAX(1,Inputs!$B$9-Inputs!$B$8),Inputs!$B$8+P86-1,"")</f>
        <v/>
      </c>
      <c r="R86" t="str">
        <f t="shared" si="11"/>
        <v/>
      </c>
      <c r="S86" t="str">
        <f>IF(Q86="","",_xlfn.LET(_xlpm.OpenBal,IF(P86=1,$B$47,W85),_xlpm.Factor,_xlfn.XLOOKUP(Q86,RMD!$A$21:$A$69,RMD!$B$21:$B$69,0),_xlpm.Req,IF(AND(Q86&gt;=RMD!$B$9,_xlpm.Factor&gt;0),_xlpm.OpenBal/_xlpm.Factor,0),MAX($B$21,_xlpm.Req)))</f>
        <v/>
      </c>
      <c r="T86" t="str">
        <f t="shared" si="12"/>
        <v/>
      </c>
      <c r="U86" t="str">
        <f>IF(Q86="","",_xlfn.LET(_xlpm.PT,S86,_xlpm.BR,T86,_xlpm.SS,R86,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f>
        <v/>
      </c>
      <c r="V86" t="str">
        <f>IF(Q86="","",LOOKUP(_xlfn.LET(_xlpm.PT,S86,_xlpm.BR,T86,_xlpm.SS,R86,_xlpm.CG,_xlpm.BR*$B$46,_xlpm.Prov,_xlpm.PT+_xlpm.CG+_xlpm.SS*0.5,_xlpm.TSS,_xlpm.SS*IF(AND(Tax!$B$21&lt;=0,Tax!$B$22&lt;=0),IF(_xlpm.SS&gt;0,0.85,0),IF(_xlpm.Prov&lt;Tax!$B$21,0,IF(_xlpm.Prov&lt;Tax!$B$22,0.5,0.85))),_xlpm.PT+_xlpm.TSS+_xlpm.CG),IRMAA!$B$16:$B$21,IRMAA!$A$16:$A$21))</f>
        <v/>
      </c>
      <c r="W86" t="str">
        <f t="shared" si="13"/>
        <v/>
      </c>
      <c r="X86">
        <f t="shared" si="14"/>
        <v>25</v>
      </c>
      <c r="Y86" t="str">
        <f>IF(X86&lt;=MAX(1,Inputs!$B$9-Inputs!$B$8),Inputs!$B$8+X86-1,"")</f>
        <v/>
      </c>
      <c r="Z86" t="str">
        <f t="shared" si="15"/>
        <v/>
      </c>
      <c r="AA86" t="str">
        <f>IF(Y86="","",_xlfn.LET(_xlpm.OpenBal,IF(X86=1,$B$47,AE85),_xlpm.Factor,_xlfn.XLOOKUP(Y86,RMD!$A$21:$A$69,RMD!$B$21:$B$69,0),IF(AND(Y86&gt;=RMD!$B$9,_xlpm.Factor&gt;0),_xlpm.OpenBal/_xlpm.Factor,0)))</f>
        <v/>
      </c>
      <c r="AB86" t="str">
        <f t="shared" si="16"/>
        <v/>
      </c>
      <c r="AC86" t="str">
        <f>IF(Y86="","",_xlfn.LET(_xlpm.PT,AA86,_xlpm.BR,AB86,_xlpm.SS,Z86,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f>
        <v/>
      </c>
      <c r="AD86" t="str">
        <f>IF(Y86="","",LOOKUP(_xlfn.LET(_xlpm.PT,AA86,_xlpm.BR,AB86,_xlpm.SS,Z86,_xlpm.CG,_xlpm.BR*$B$46,_xlpm.Prov,_xlpm.PT+_xlpm.CG+_xlpm.SS*0.5,_xlpm.TSS,_xlpm.SS*IF(AND(Tax!$B$21&lt;=0,Tax!$B$22&lt;=0),IF(_xlpm.SS&gt;0,0.85,0),IF(_xlpm.Prov&lt;Tax!$B$21,0,IF(_xlpm.Prov&lt;Tax!$B$22,0.5,0.85))),_xlpm.PT+_xlpm.TSS+_xlpm.CG),IRMAA!$B$16:$B$21,IRMAA!$A$16:$A$21))</f>
        <v/>
      </c>
      <c r="AE86" t="str">
        <f t="shared" si="17"/>
        <v/>
      </c>
      <c r="AG86">
        <f t="shared" si="18"/>
        <v>85</v>
      </c>
      <c r="AH86">
        <f t="shared" si="19"/>
        <v>0.1</v>
      </c>
      <c r="AI86">
        <f t="shared" si="20"/>
        <v>0.3</v>
      </c>
      <c r="AJ86">
        <f t="shared" si="21"/>
        <v>0</v>
      </c>
      <c r="AK86">
        <f t="shared" si="22"/>
        <v>43819.321633416483</v>
      </c>
      <c r="AL86">
        <f t="shared" si="23"/>
        <v>6074.4000000000005</v>
      </c>
      <c r="AM86">
        <f>MIN(MAX(0,$B$10-AL86)*AI86,'Retirement Gap'!$B$29)</f>
        <v>10850.278366583516</v>
      </c>
      <c r="AN86">
        <f>IF($E$40="B - Withdrawals + Roth conversions",AJ86*MAX(0,MIN($B$47-AL86,MIN($B$59,IRMAA!$C$16)-(AL86+$B$8*0.85+AK86*$B$46))),0)</f>
        <v>0</v>
      </c>
      <c r="AO86" cm="1">
        <f t="array" ref="AO86">_xlfn.LET(_xlpm.N,$B$49,_xlpm.R,$B$48,_xlpm.Start,$B$47,_xlpm.PlanWD,AL86,_xlpm.PlanRoth,AM86,_xlpm.PlanConv,AN86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12121.000000000002</v>
      </c>
      <c r="AP86" cm="1">
        <f t="array" ref="AP86">_xlfn.LET(_xlpm.N,$B$49,_xlpm.R,$B$48,_xlpm.Start,$B$47,_xlpm.PlanWD,AL86,_xlpm.PlanRoth,AM86,_xlpm.PlanConv,AN86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86" cm="1">
        <f t="array" ref="AQ86">_xlfn.LET(_xlpm.N,$B$49,_xlpm.R,$B$48,_xlpm.Start,$B$47,_xlpm.PlanWD,AL86,_xlpm.PlanRoth,AM86,_xlpm.PlanConv,AN86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997386.80636768113</v>
      </c>
      <c r="AR86" cm="1">
        <f t="array" ref="AR86">_xlfn.LET(_xlpm.N,$B$49,_xlpm.R,$B$48,_xlpm.Start,$B$47,_xlpm.PlanWD,AL86,_xlpm.PlanRoth,AM86,_xlpm.PlanConv,AN86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1217521.0700058746</v>
      </c>
      <c r="AS86">
        <f>--AND(AK86&lt;=SUM('Retirement Gap'!$B$24:$B$25,'Retirement Gap'!$B$27),AL86+AN86&lt;=$B$47,AM86&lt;='Retirement Gap'!$B$29,ABS(AK86+AL86+AM86-$B$10)&lt;1)</f>
        <v>1</v>
      </c>
      <c r="AT86" cm="1">
        <f t="array" ref="AT86">IF(AS86=0,1E+99,_xlfn.SWITCH(LEFT($E$39,1),"1",AO86,"2",AP86*1000000000+AO86,"3",-AQ86,"4",AO86+AP86*25000+AR86*0.005-AQ86*0.0001,AO86))</f>
        <v>-997386.80636768113</v>
      </c>
    </row>
    <row r="87" spans="8:46" x14ac:dyDescent="0.55000000000000004">
      <c r="H87">
        <f t="shared" si="6"/>
        <v>26</v>
      </c>
      <c r="I87" t="str">
        <f>IF(H87&lt;=MAX(1,Inputs!$B$9-Inputs!$B$8),Inputs!$B$8+H87-1,"")</f>
        <v/>
      </c>
      <c r="J87" t="str">
        <f t="shared" si="7"/>
        <v/>
      </c>
      <c r="K87" t="str">
        <f>IF(I87="","",_xlfn.LET(_xlpm.OpenBal,IF(H87=1,$B$47,O86),_xlpm.Factor,_xlfn.XLOOKUP(I87,RMD!$A$21:$A$69,RMD!$B$21:$B$69,0),_xlpm.Req,IF(AND(I87&gt;=RMD!$B$9,_xlpm.Factor&gt;0),_xlpm.OpenBal/_xlpm.Factor,0),MAX($B$14,_xlpm.Req)))</f>
        <v/>
      </c>
      <c r="L87" t="str">
        <f t="shared" si="8"/>
        <v/>
      </c>
      <c r="M87" t="str">
        <f>IF(I87="","",_xlfn.LET(_xlpm.PT,K87,_xlpm.BR,L87,_xlpm.SS,J87,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f>
        <v/>
      </c>
      <c r="N87" t="str">
        <f>IF(I87="","",LOOKUP(_xlfn.LET(_xlpm.PT,K87,_xlpm.BR,L87,_xlpm.SS,J87,_xlpm.CG,_xlpm.BR*$B$46,_xlpm.Prov,_xlpm.PT+_xlpm.CG+_xlpm.SS*0.5,_xlpm.TSS,_xlpm.SS*IF(AND(Tax!$B$21&lt;=0,Tax!$B$22&lt;=0),IF(_xlpm.SS&gt;0,0.85,0),IF(_xlpm.Prov&lt;Tax!$B$21,0,IF(_xlpm.Prov&lt;Tax!$B$22,0.5,0.85))),_xlpm.PT+_xlpm.TSS+_xlpm.CG),IRMAA!$B$16:$B$21,IRMAA!$A$16:$A$21))</f>
        <v/>
      </c>
      <c r="O87" t="str">
        <f t="shared" si="9"/>
        <v/>
      </c>
      <c r="P87">
        <f t="shared" si="10"/>
        <v>26</v>
      </c>
      <c r="Q87" t="str">
        <f>IF(P87&lt;=MAX(1,Inputs!$B$9-Inputs!$B$8),Inputs!$B$8+P87-1,"")</f>
        <v/>
      </c>
      <c r="R87" t="str">
        <f t="shared" si="11"/>
        <v/>
      </c>
      <c r="S87" t="str">
        <f>IF(Q87="","",_xlfn.LET(_xlpm.OpenBal,IF(P87=1,$B$47,W86),_xlpm.Factor,_xlfn.XLOOKUP(Q87,RMD!$A$21:$A$69,RMD!$B$21:$B$69,0),_xlpm.Req,IF(AND(Q87&gt;=RMD!$B$9,_xlpm.Factor&gt;0),_xlpm.OpenBal/_xlpm.Factor,0),MAX($B$21,_xlpm.Req)))</f>
        <v/>
      </c>
      <c r="T87" t="str">
        <f t="shared" si="12"/>
        <v/>
      </c>
      <c r="U87" t="str">
        <f>IF(Q87="","",_xlfn.LET(_xlpm.PT,S87,_xlpm.BR,T87,_xlpm.SS,R87,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f>
        <v/>
      </c>
      <c r="V87" t="str">
        <f>IF(Q87="","",LOOKUP(_xlfn.LET(_xlpm.PT,S87,_xlpm.BR,T87,_xlpm.SS,R87,_xlpm.CG,_xlpm.BR*$B$46,_xlpm.Prov,_xlpm.PT+_xlpm.CG+_xlpm.SS*0.5,_xlpm.TSS,_xlpm.SS*IF(AND(Tax!$B$21&lt;=0,Tax!$B$22&lt;=0),IF(_xlpm.SS&gt;0,0.85,0),IF(_xlpm.Prov&lt;Tax!$B$21,0,IF(_xlpm.Prov&lt;Tax!$B$22,0.5,0.85))),_xlpm.PT+_xlpm.TSS+_xlpm.CG),IRMAA!$B$16:$B$21,IRMAA!$A$16:$A$21))</f>
        <v/>
      </c>
      <c r="W87" t="str">
        <f t="shared" si="13"/>
        <v/>
      </c>
      <c r="X87">
        <f t="shared" si="14"/>
        <v>26</v>
      </c>
      <c r="Y87" t="str">
        <f>IF(X87&lt;=MAX(1,Inputs!$B$9-Inputs!$B$8),Inputs!$B$8+X87-1,"")</f>
        <v/>
      </c>
      <c r="Z87" t="str">
        <f t="shared" si="15"/>
        <v/>
      </c>
      <c r="AA87" t="str">
        <f>IF(Y87="","",_xlfn.LET(_xlpm.OpenBal,IF(X87=1,$B$47,AE86),_xlpm.Factor,_xlfn.XLOOKUP(Y87,RMD!$A$21:$A$69,RMD!$B$21:$B$69,0),IF(AND(Y87&gt;=RMD!$B$9,_xlpm.Factor&gt;0),_xlpm.OpenBal/_xlpm.Factor,0)))</f>
        <v/>
      </c>
      <c r="AB87" t="str">
        <f t="shared" si="16"/>
        <v/>
      </c>
      <c r="AC87" t="str">
        <f>IF(Y87="","",_xlfn.LET(_xlpm.PT,AA87,_xlpm.BR,AB87,_xlpm.SS,Z87,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f>
        <v/>
      </c>
      <c r="AD87" t="str">
        <f>IF(Y87="","",LOOKUP(_xlfn.LET(_xlpm.PT,AA87,_xlpm.BR,AB87,_xlpm.SS,Z87,_xlpm.CG,_xlpm.BR*$B$46,_xlpm.Prov,_xlpm.PT+_xlpm.CG+_xlpm.SS*0.5,_xlpm.TSS,_xlpm.SS*IF(AND(Tax!$B$21&lt;=0,Tax!$B$22&lt;=0),IF(_xlpm.SS&gt;0,0.85,0),IF(_xlpm.Prov&lt;Tax!$B$21,0,IF(_xlpm.Prov&lt;Tax!$B$22,0.5,0.85))),_xlpm.PT+_xlpm.TSS+_xlpm.CG),IRMAA!$B$16:$B$21,IRMAA!$A$16:$A$21))</f>
        <v/>
      </c>
      <c r="AE87" t="str">
        <f t="shared" si="17"/>
        <v/>
      </c>
      <c r="AG87">
        <f t="shared" si="18"/>
        <v>86</v>
      </c>
      <c r="AH87">
        <f t="shared" si="19"/>
        <v>0.1</v>
      </c>
      <c r="AI87">
        <f t="shared" si="20"/>
        <v>0.3</v>
      </c>
      <c r="AJ87">
        <f t="shared" si="21"/>
        <v>0.2</v>
      </c>
      <c r="AK87">
        <f t="shared" si="22"/>
        <v>43819.321633416483</v>
      </c>
      <c r="AL87">
        <f t="shared" si="23"/>
        <v>6074.4000000000005</v>
      </c>
      <c r="AM87">
        <f>MIN(MAX(0,$B$10-AL87)*AI87,'Retirement Gap'!$B$29)</f>
        <v>10850.278366583516</v>
      </c>
      <c r="AN87">
        <f>IF($E$40="B - Withdrawals + Roth conversions",AJ87*MAX(0,MIN($B$47-AL87,MIN($B$59,IRMAA!$C$16)-(AL87+$B$8*0.85+AK87*$B$46))),0)</f>
        <v>0</v>
      </c>
      <c r="AO87" cm="1">
        <f t="array" ref="AO87">_xlfn.LET(_xlpm.N,$B$49,_xlpm.R,$B$48,_xlpm.Start,$B$47,_xlpm.PlanWD,AL87,_xlpm.PlanRoth,AM87,_xlpm.PlanConv,AN87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12121.000000000002</v>
      </c>
      <c r="AP87" cm="1">
        <f t="array" ref="AP87">_xlfn.LET(_xlpm.N,$B$49,_xlpm.R,$B$48,_xlpm.Start,$B$47,_xlpm.PlanWD,AL87,_xlpm.PlanRoth,AM87,_xlpm.PlanConv,AN87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87" cm="1">
        <f t="array" ref="AQ87">_xlfn.LET(_xlpm.N,$B$49,_xlpm.R,$B$48,_xlpm.Start,$B$47,_xlpm.PlanWD,AL87,_xlpm.PlanRoth,AM87,_xlpm.PlanConv,AN87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997386.80636768113</v>
      </c>
      <c r="AR87" cm="1">
        <f t="array" ref="AR87">_xlfn.LET(_xlpm.N,$B$49,_xlpm.R,$B$48,_xlpm.Start,$B$47,_xlpm.PlanWD,AL87,_xlpm.PlanRoth,AM87,_xlpm.PlanConv,AN87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1217521.0700058746</v>
      </c>
      <c r="AS87">
        <f>--AND(AK87&lt;=SUM('Retirement Gap'!$B$24:$B$25,'Retirement Gap'!$B$27),AL87+AN87&lt;=$B$47,AM87&lt;='Retirement Gap'!$B$29,ABS(AK87+AL87+AM87-$B$10)&lt;1)</f>
        <v>1</v>
      </c>
      <c r="AT87" cm="1">
        <f t="array" ref="AT87">IF(AS87=0,1E+99,_xlfn.SWITCH(LEFT($E$39,1),"1",AO87,"2",AP87*1000000000+AO87,"3",-AQ87,"4",AO87+AP87*25000+AR87*0.005-AQ87*0.0001,AO87))</f>
        <v>-997386.80636768113</v>
      </c>
    </row>
    <row r="88" spans="8:46" x14ac:dyDescent="0.55000000000000004">
      <c r="H88">
        <f t="shared" si="6"/>
        <v>27</v>
      </c>
      <c r="I88" t="str">
        <f>IF(H88&lt;=MAX(1,Inputs!$B$9-Inputs!$B$8),Inputs!$B$8+H88-1,"")</f>
        <v/>
      </c>
      <c r="J88" t="str">
        <f t="shared" si="7"/>
        <v/>
      </c>
      <c r="K88" t="str">
        <f>IF(I88="","",_xlfn.LET(_xlpm.OpenBal,IF(H88=1,$B$47,O87),_xlpm.Factor,_xlfn.XLOOKUP(I88,RMD!$A$21:$A$69,RMD!$B$21:$B$69,0),_xlpm.Req,IF(AND(I88&gt;=RMD!$B$9,_xlpm.Factor&gt;0),_xlpm.OpenBal/_xlpm.Factor,0),MAX($B$14,_xlpm.Req)))</f>
        <v/>
      </c>
      <c r="L88" t="str">
        <f t="shared" si="8"/>
        <v/>
      </c>
      <c r="M88" t="str">
        <f>IF(I88="","",_xlfn.LET(_xlpm.PT,K88,_xlpm.BR,L88,_xlpm.SS,J88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f>
        <v/>
      </c>
      <c r="N88" t="str">
        <f>IF(I88="","",LOOKUP(_xlfn.LET(_xlpm.PT,K88,_xlpm.BR,L88,_xlpm.SS,J88,_xlpm.CG,_xlpm.BR*$B$46,_xlpm.Prov,_xlpm.PT+_xlpm.CG+_xlpm.SS*0.5,_xlpm.TSS,_xlpm.SS*IF(AND(Tax!$B$21&lt;=0,Tax!$B$22&lt;=0),IF(_xlpm.SS&gt;0,0.85,0),IF(_xlpm.Prov&lt;Tax!$B$21,0,IF(_xlpm.Prov&lt;Tax!$B$22,0.5,0.85))),_xlpm.PT+_xlpm.TSS+_xlpm.CG),IRMAA!$B$16:$B$21,IRMAA!$A$16:$A$21))</f>
        <v/>
      </c>
      <c r="O88" t="str">
        <f t="shared" si="9"/>
        <v/>
      </c>
      <c r="P88">
        <f t="shared" si="10"/>
        <v>27</v>
      </c>
      <c r="Q88" t="str">
        <f>IF(P88&lt;=MAX(1,Inputs!$B$9-Inputs!$B$8),Inputs!$B$8+P88-1,"")</f>
        <v/>
      </c>
      <c r="R88" t="str">
        <f t="shared" si="11"/>
        <v/>
      </c>
      <c r="S88" t="str">
        <f>IF(Q88="","",_xlfn.LET(_xlpm.OpenBal,IF(P88=1,$B$47,W87),_xlpm.Factor,_xlfn.XLOOKUP(Q88,RMD!$A$21:$A$69,RMD!$B$21:$B$69,0),_xlpm.Req,IF(AND(Q88&gt;=RMD!$B$9,_xlpm.Factor&gt;0),_xlpm.OpenBal/_xlpm.Factor,0),MAX($B$21,_xlpm.Req)))</f>
        <v/>
      </c>
      <c r="T88" t="str">
        <f t="shared" si="12"/>
        <v/>
      </c>
      <c r="U88" t="str">
        <f>IF(Q88="","",_xlfn.LET(_xlpm.PT,S88,_xlpm.BR,T88,_xlpm.SS,R88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f>
        <v/>
      </c>
      <c r="V88" t="str">
        <f>IF(Q88="","",LOOKUP(_xlfn.LET(_xlpm.PT,S88,_xlpm.BR,T88,_xlpm.SS,R88,_xlpm.CG,_xlpm.BR*$B$46,_xlpm.Prov,_xlpm.PT+_xlpm.CG+_xlpm.SS*0.5,_xlpm.TSS,_xlpm.SS*IF(AND(Tax!$B$21&lt;=0,Tax!$B$22&lt;=0),IF(_xlpm.SS&gt;0,0.85,0),IF(_xlpm.Prov&lt;Tax!$B$21,0,IF(_xlpm.Prov&lt;Tax!$B$22,0.5,0.85))),_xlpm.PT+_xlpm.TSS+_xlpm.CG),IRMAA!$B$16:$B$21,IRMAA!$A$16:$A$21))</f>
        <v/>
      </c>
      <c r="W88" t="str">
        <f t="shared" si="13"/>
        <v/>
      </c>
      <c r="X88">
        <f t="shared" si="14"/>
        <v>27</v>
      </c>
      <c r="Y88" t="str">
        <f>IF(X88&lt;=MAX(1,Inputs!$B$9-Inputs!$B$8),Inputs!$B$8+X88-1,"")</f>
        <v/>
      </c>
      <c r="Z88" t="str">
        <f t="shared" si="15"/>
        <v/>
      </c>
      <c r="AA88" t="str">
        <f>IF(Y88="","",_xlfn.LET(_xlpm.OpenBal,IF(X88=1,$B$47,AE87),_xlpm.Factor,_xlfn.XLOOKUP(Y88,RMD!$A$21:$A$69,RMD!$B$21:$B$69,0),IF(AND(Y88&gt;=RMD!$B$9,_xlpm.Factor&gt;0),_xlpm.OpenBal/_xlpm.Factor,0)))</f>
        <v/>
      </c>
      <c r="AB88" t="str">
        <f t="shared" si="16"/>
        <v/>
      </c>
      <c r="AC88" t="str">
        <f>IF(Y88="","",_xlfn.LET(_xlpm.PT,AA88,_xlpm.BR,AB88,_xlpm.SS,Z88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f>
        <v/>
      </c>
      <c r="AD88" t="str">
        <f>IF(Y88="","",LOOKUP(_xlfn.LET(_xlpm.PT,AA88,_xlpm.BR,AB88,_xlpm.SS,Z88,_xlpm.CG,_xlpm.BR*$B$46,_xlpm.Prov,_xlpm.PT+_xlpm.CG+_xlpm.SS*0.5,_xlpm.TSS,_xlpm.SS*IF(AND(Tax!$B$21&lt;=0,Tax!$B$22&lt;=0),IF(_xlpm.SS&gt;0,0.85,0),IF(_xlpm.Prov&lt;Tax!$B$21,0,IF(_xlpm.Prov&lt;Tax!$B$22,0.5,0.85))),_xlpm.PT+_xlpm.TSS+_xlpm.CG),IRMAA!$B$16:$B$21,IRMAA!$A$16:$A$21))</f>
        <v/>
      </c>
      <c r="AE88" t="str">
        <f t="shared" si="17"/>
        <v/>
      </c>
      <c r="AG88">
        <f t="shared" si="18"/>
        <v>87</v>
      </c>
      <c r="AH88">
        <f t="shared" si="19"/>
        <v>0.1</v>
      </c>
      <c r="AI88">
        <f t="shared" si="20"/>
        <v>0.3</v>
      </c>
      <c r="AJ88">
        <f t="shared" si="21"/>
        <v>0.4</v>
      </c>
      <c r="AK88">
        <f t="shared" si="22"/>
        <v>43819.321633416483</v>
      </c>
      <c r="AL88">
        <f t="shared" si="23"/>
        <v>6074.4000000000005</v>
      </c>
      <c r="AM88">
        <f>MIN(MAX(0,$B$10-AL88)*AI88,'Retirement Gap'!$B$29)</f>
        <v>10850.278366583516</v>
      </c>
      <c r="AN88">
        <f>IF($E$40="B - Withdrawals + Roth conversions",AJ88*MAX(0,MIN($B$47-AL88,MIN($B$59,IRMAA!$C$16)-(AL88+$B$8*0.85+AK88*$B$46))),0)</f>
        <v>0</v>
      </c>
      <c r="AO88" cm="1">
        <f t="array" ref="AO88">_xlfn.LET(_xlpm.N,$B$49,_xlpm.R,$B$48,_xlpm.Start,$B$47,_xlpm.PlanWD,AL88,_xlpm.PlanRoth,AM88,_xlpm.PlanConv,AN88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12121.000000000002</v>
      </c>
      <c r="AP88" cm="1">
        <f t="array" ref="AP88">_xlfn.LET(_xlpm.N,$B$49,_xlpm.R,$B$48,_xlpm.Start,$B$47,_xlpm.PlanWD,AL88,_xlpm.PlanRoth,AM88,_xlpm.PlanConv,AN88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88" cm="1">
        <f t="array" ref="AQ88">_xlfn.LET(_xlpm.N,$B$49,_xlpm.R,$B$48,_xlpm.Start,$B$47,_xlpm.PlanWD,AL88,_xlpm.PlanRoth,AM88,_xlpm.PlanConv,AN88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997386.80636768113</v>
      </c>
      <c r="AR88" cm="1">
        <f t="array" ref="AR88">_xlfn.LET(_xlpm.N,$B$49,_xlpm.R,$B$48,_xlpm.Start,$B$47,_xlpm.PlanWD,AL88,_xlpm.PlanRoth,AM88,_xlpm.PlanConv,AN88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1217521.0700058746</v>
      </c>
      <c r="AS88">
        <f>--AND(AK88&lt;=SUM('Retirement Gap'!$B$24:$B$25,'Retirement Gap'!$B$27),AL88+AN88&lt;=$B$47,AM88&lt;='Retirement Gap'!$B$29,ABS(AK88+AL88+AM88-$B$10)&lt;1)</f>
        <v>1</v>
      </c>
      <c r="AT88" cm="1">
        <f t="array" ref="AT88">IF(AS88=0,1E+99,_xlfn.SWITCH(LEFT($E$39,1),"1",AO88,"2",AP88*1000000000+AO88,"3",-AQ88,"4",AO88+AP88*25000+AR88*0.005-AQ88*0.0001,AO88))</f>
        <v>-997386.80636768113</v>
      </c>
    </row>
    <row r="89" spans="8:46" x14ac:dyDescent="0.55000000000000004">
      <c r="H89">
        <f t="shared" si="6"/>
        <v>28</v>
      </c>
      <c r="I89" t="str">
        <f>IF(H89&lt;=MAX(1,Inputs!$B$9-Inputs!$B$8),Inputs!$B$8+H89-1,"")</f>
        <v/>
      </c>
      <c r="J89" t="str">
        <f t="shared" si="7"/>
        <v/>
      </c>
      <c r="K89" t="str">
        <f>IF(I89="","",_xlfn.LET(_xlpm.OpenBal,IF(H89=1,$B$47,O88),_xlpm.Factor,_xlfn.XLOOKUP(I89,RMD!$A$21:$A$69,RMD!$B$21:$B$69,0),_xlpm.Req,IF(AND(I89&gt;=RMD!$B$9,_xlpm.Factor&gt;0),_xlpm.OpenBal/_xlpm.Factor,0),MAX($B$14,_xlpm.Req)))</f>
        <v/>
      </c>
      <c r="L89" t="str">
        <f t="shared" si="8"/>
        <v/>
      </c>
      <c r="M89" t="str">
        <f>IF(I89="","",_xlfn.LET(_xlpm.PT,K89,_xlpm.BR,L89,_xlpm.SS,J89,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f>
        <v/>
      </c>
      <c r="N89" t="str">
        <f>IF(I89="","",LOOKUP(_xlfn.LET(_xlpm.PT,K89,_xlpm.BR,L89,_xlpm.SS,J89,_xlpm.CG,_xlpm.BR*$B$46,_xlpm.Prov,_xlpm.PT+_xlpm.CG+_xlpm.SS*0.5,_xlpm.TSS,_xlpm.SS*IF(AND(Tax!$B$21&lt;=0,Tax!$B$22&lt;=0),IF(_xlpm.SS&gt;0,0.85,0),IF(_xlpm.Prov&lt;Tax!$B$21,0,IF(_xlpm.Prov&lt;Tax!$B$22,0.5,0.85))),_xlpm.PT+_xlpm.TSS+_xlpm.CG),IRMAA!$B$16:$B$21,IRMAA!$A$16:$A$21))</f>
        <v/>
      </c>
      <c r="O89" t="str">
        <f t="shared" si="9"/>
        <v/>
      </c>
      <c r="P89">
        <f t="shared" si="10"/>
        <v>28</v>
      </c>
      <c r="Q89" t="str">
        <f>IF(P89&lt;=MAX(1,Inputs!$B$9-Inputs!$B$8),Inputs!$B$8+P89-1,"")</f>
        <v/>
      </c>
      <c r="R89" t="str">
        <f t="shared" si="11"/>
        <v/>
      </c>
      <c r="S89" t="str">
        <f>IF(Q89="","",_xlfn.LET(_xlpm.OpenBal,IF(P89=1,$B$47,W88),_xlpm.Factor,_xlfn.XLOOKUP(Q89,RMD!$A$21:$A$69,RMD!$B$21:$B$69,0),_xlpm.Req,IF(AND(Q89&gt;=RMD!$B$9,_xlpm.Factor&gt;0),_xlpm.OpenBal/_xlpm.Factor,0),MAX($B$21,_xlpm.Req)))</f>
        <v/>
      </c>
      <c r="T89" t="str">
        <f t="shared" si="12"/>
        <v/>
      </c>
      <c r="U89" t="str">
        <f>IF(Q89="","",_xlfn.LET(_xlpm.PT,S89,_xlpm.BR,T89,_xlpm.SS,R89,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f>
        <v/>
      </c>
      <c r="V89" t="str">
        <f>IF(Q89="","",LOOKUP(_xlfn.LET(_xlpm.PT,S89,_xlpm.BR,T89,_xlpm.SS,R89,_xlpm.CG,_xlpm.BR*$B$46,_xlpm.Prov,_xlpm.PT+_xlpm.CG+_xlpm.SS*0.5,_xlpm.TSS,_xlpm.SS*IF(AND(Tax!$B$21&lt;=0,Tax!$B$22&lt;=0),IF(_xlpm.SS&gt;0,0.85,0),IF(_xlpm.Prov&lt;Tax!$B$21,0,IF(_xlpm.Prov&lt;Tax!$B$22,0.5,0.85))),_xlpm.PT+_xlpm.TSS+_xlpm.CG),IRMAA!$B$16:$B$21,IRMAA!$A$16:$A$21))</f>
        <v/>
      </c>
      <c r="W89" t="str">
        <f t="shared" si="13"/>
        <v/>
      </c>
      <c r="X89">
        <f t="shared" si="14"/>
        <v>28</v>
      </c>
      <c r="Y89" t="str">
        <f>IF(X89&lt;=MAX(1,Inputs!$B$9-Inputs!$B$8),Inputs!$B$8+X89-1,"")</f>
        <v/>
      </c>
      <c r="Z89" t="str">
        <f t="shared" si="15"/>
        <v/>
      </c>
      <c r="AA89" t="str">
        <f>IF(Y89="","",_xlfn.LET(_xlpm.OpenBal,IF(X89=1,$B$47,AE88),_xlpm.Factor,_xlfn.XLOOKUP(Y89,RMD!$A$21:$A$69,RMD!$B$21:$B$69,0),IF(AND(Y89&gt;=RMD!$B$9,_xlpm.Factor&gt;0),_xlpm.OpenBal/_xlpm.Factor,0)))</f>
        <v/>
      </c>
      <c r="AB89" t="str">
        <f t="shared" si="16"/>
        <v/>
      </c>
      <c r="AC89" t="str">
        <f>IF(Y89="","",_xlfn.LET(_xlpm.PT,AA89,_xlpm.BR,AB89,_xlpm.SS,Z89,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f>
        <v/>
      </c>
      <c r="AD89" t="str">
        <f>IF(Y89="","",LOOKUP(_xlfn.LET(_xlpm.PT,AA89,_xlpm.BR,AB89,_xlpm.SS,Z89,_xlpm.CG,_xlpm.BR*$B$46,_xlpm.Prov,_xlpm.PT+_xlpm.CG+_xlpm.SS*0.5,_xlpm.TSS,_xlpm.SS*IF(AND(Tax!$B$21&lt;=0,Tax!$B$22&lt;=0),IF(_xlpm.SS&gt;0,0.85,0),IF(_xlpm.Prov&lt;Tax!$B$21,0,IF(_xlpm.Prov&lt;Tax!$B$22,0.5,0.85))),_xlpm.PT+_xlpm.TSS+_xlpm.CG),IRMAA!$B$16:$B$21,IRMAA!$A$16:$A$21))</f>
        <v/>
      </c>
      <c r="AE89" t="str">
        <f t="shared" si="17"/>
        <v/>
      </c>
      <c r="AG89">
        <f t="shared" si="18"/>
        <v>88</v>
      </c>
      <c r="AH89">
        <f t="shared" si="19"/>
        <v>0.1</v>
      </c>
      <c r="AI89">
        <f t="shared" si="20"/>
        <v>0.3</v>
      </c>
      <c r="AJ89">
        <f t="shared" si="21"/>
        <v>0.6</v>
      </c>
      <c r="AK89">
        <f t="shared" si="22"/>
        <v>43819.321633416483</v>
      </c>
      <c r="AL89">
        <f t="shared" si="23"/>
        <v>6074.4000000000005</v>
      </c>
      <c r="AM89">
        <f>MIN(MAX(0,$B$10-AL89)*AI89,'Retirement Gap'!$B$29)</f>
        <v>10850.278366583516</v>
      </c>
      <c r="AN89">
        <f>IF($E$40="B - Withdrawals + Roth conversions",AJ89*MAX(0,MIN($B$47-AL89,MIN($B$59,IRMAA!$C$16)-(AL89+$B$8*0.85+AK89*$B$46))),0)</f>
        <v>0</v>
      </c>
      <c r="AO89" cm="1">
        <f t="array" ref="AO89">_xlfn.LET(_xlpm.N,$B$49,_xlpm.R,$B$48,_xlpm.Start,$B$47,_xlpm.PlanWD,AL89,_xlpm.PlanRoth,AM89,_xlpm.PlanConv,AN89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12121.000000000002</v>
      </c>
      <c r="AP89" cm="1">
        <f t="array" ref="AP89">_xlfn.LET(_xlpm.N,$B$49,_xlpm.R,$B$48,_xlpm.Start,$B$47,_xlpm.PlanWD,AL89,_xlpm.PlanRoth,AM89,_xlpm.PlanConv,AN89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89" cm="1">
        <f t="array" ref="AQ89">_xlfn.LET(_xlpm.N,$B$49,_xlpm.R,$B$48,_xlpm.Start,$B$47,_xlpm.PlanWD,AL89,_xlpm.PlanRoth,AM89,_xlpm.PlanConv,AN89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997386.80636768113</v>
      </c>
      <c r="AR89" cm="1">
        <f t="array" ref="AR89">_xlfn.LET(_xlpm.N,$B$49,_xlpm.R,$B$48,_xlpm.Start,$B$47,_xlpm.PlanWD,AL89,_xlpm.PlanRoth,AM89,_xlpm.PlanConv,AN89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1217521.0700058746</v>
      </c>
      <c r="AS89">
        <f>--AND(AK89&lt;=SUM('Retirement Gap'!$B$24:$B$25,'Retirement Gap'!$B$27),AL89+AN89&lt;=$B$47,AM89&lt;='Retirement Gap'!$B$29,ABS(AK89+AL89+AM89-$B$10)&lt;1)</f>
        <v>1</v>
      </c>
      <c r="AT89" cm="1">
        <f t="array" ref="AT89">IF(AS89=0,1E+99,_xlfn.SWITCH(LEFT($E$39,1),"1",AO89,"2",AP89*1000000000+AO89,"3",-AQ89,"4",AO89+AP89*25000+AR89*0.005-AQ89*0.0001,AO89))</f>
        <v>-997386.80636768113</v>
      </c>
    </row>
    <row r="90" spans="8:46" x14ac:dyDescent="0.55000000000000004">
      <c r="H90">
        <f t="shared" si="6"/>
        <v>29</v>
      </c>
      <c r="I90" t="str">
        <f>IF(H90&lt;=MAX(1,Inputs!$B$9-Inputs!$B$8),Inputs!$B$8+H90-1,"")</f>
        <v/>
      </c>
      <c r="J90" t="str">
        <f t="shared" si="7"/>
        <v/>
      </c>
      <c r="K90" t="str">
        <f>IF(I90="","",_xlfn.LET(_xlpm.OpenBal,IF(H90=1,$B$47,O89),_xlpm.Factor,_xlfn.XLOOKUP(I90,RMD!$A$21:$A$69,RMD!$B$21:$B$69,0),_xlpm.Req,IF(AND(I90&gt;=RMD!$B$9,_xlpm.Factor&gt;0),_xlpm.OpenBal/_xlpm.Factor,0),MAX($B$14,_xlpm.Req)))</f>
        <v/>
      </c>
      <c r="L90" t="str">
        <f t="shared" si="8"/>
        <v/>
      </c>
      <c r="M90" t="str">
        <f>IF(I90="","",_xlfn.LET(_xlpm.PT,K90,_xlpm.BR,L90,_xlpm.SS,J90,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f>
        <v/>
      </c>
      <c r="N90" t="str">
        <f>IF(I90="","",LOOKUP(_xlfn.LET(_xlpm.PT,K90,_xlpm.BR,L90,_xlpm.SS,J90,_xlpm.CG,_xlpm.BR*$B$46,_xlpm.Prov,_xlpm.PT+_xlpm.CG+_xlpm.SS*0.5,_xlpm.TSS,_xlpm.SS*IF(AND(Tax!$B$21&lt;=0,Tax!$B$22&lt;=0),IF(_xlpm.SS&gt;0,0.85,0),IF(_xlpm.Prov&lt;Tax!$B$21,0,IF(_xlpm.Prov&lt;Tax!$B$22,0.5,0.85))),_xlpm.PT+_xlpm.TSS+_xlpm.CG),IRMAA!$B$16:$B$21,IRMAA!$A$16:$A$21))</f>
        <v/>
      </c>
      <c r="O90" t="str">
        <f t="shared" si="9"/>
        <v/>
      </c>
      <c r="P90">
        <f t="shared" si="10"/>
        <v>29</v>
      </c>
      <c r="Q90" t="str">
        <f>IF(P90&lt;=MAX(1,Inputs!$B$9-Inputs!$B$8),Inputs!$B$8+P90-1,"")</f>
        <v/>
      </c>
      <c r="R90" t="str">
        <f t="shared" si="11"/>
        <v/>
      </c>
      <c r="S90" t="str">
        <f>IF(Q90="","",_xlfn.LET(_xlpm.OpenBal,IF(P90=1,$B$47,W89),_xlpm.Factor,_xlfn.XLOOKUP(Q90,RMD!$A$21:$A$69,RMD!$B$21:$B$69,0),_xlpm.Req,IF(AND(Q90&gt;=RMD!$B$9,_xlpm.Factor&gt;0),_xlpm.OpenBal/_xlpm.Factor,0),MAX($B$21,_xlpm.Req)))</f>
        <v/>
      </c>
      <c r="T90" t="str">
        <f t="shared" si="12"/>
        <v/>
      </c>
      <c r="U90" t="str">
        <f>IF(Q90="","",_xlfn.LET(_xlpm.PT,S90,_xlpm.BR,T90,_xlpm.SS,R90,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f>
        <v/>
      </c>
      <c r="V90" t="str">
        <f>IF(Q90="","",LOOKUP(_xlfn.LET(_xlpm.PT,S90,_xlpm.BR,T90,_xlpm.SS,R90,_xlpm.CG,_xlpm.BR*$B$46,_xlpm.Prov,_xlpm.PT+_xlpm.CG+_xlpm.SS*0.5,_xlpm.TSS,_xlpm.SS*IF(AND(Tax!$B$21&lt;=0,Tax!$B$22&lt;=0),IF(_xlpm.SS&gt;0,0.85,0),IF(_xlpm.Prov&lt;Tax!$B$21,0,IF(_xlpm.Prov&lt;Tax!$B$22,0.5,0.85))),_xlpm.PT+_xlpm.TSS+_xlpm.CG),IRMAA!$B$16:$B$21,IRMAA!$A$16:$A$21))</f>
        <v/>
      </c>
      <c r="W90" t="str">
        <f t="shared" si="13"/>
        <v/>
      </c>
      <c r="X90">
        <f t="shared" si="14"/>
        <v>29</v>
      </c>
      <c r="Y90" t="str">
        <f>IF(X90&lt;=MAX(1,Inputs!$B$9-Inputs!$B$8),Inputs!$B$8+X90-1,"")</f>
        <v/>
      </c>
      <c r="Z90" t="str">
        <f t="shared" si="15"/>
        <v/>
      </c>
      <c r="AA90" t="str">
        <f>IF(Y90="","",_xlfn.LET(_xlpm.OpenBal,IF(X90=1,$B$47,AE89),_xlpm.Factor,_xlfn.XLOOKUP(Y90,RMD!$A$21:$A$69,RMD!$B$21:$B$69,0),IF(AND(Y90&gt;=RMD!$B$9,_xlpm.Factor&gt;0),_xlpm.OpenBal/_xlpm.Factor,0)))</f>
        <v/>
      </c>
      <c r="AB90" t="str">
        <f t="shared" si="16"/>
        <v/>
      </c>
      <c r="AC90" t="str">
        <f>IF(Y90="","",_xlfn.LET(_xlpm.PT,AA90,_xlpm.BR,AB90,_xlpm.SS,Z90,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f>
        <v/>
      </c>
      <c r="AD90" t="str">
        <f>IF(Y90="","",LOOKUP(_xlfn.LET(_xlpm.PT,AA90,_xlpm.BR,AB90,_xlpm.SS,Z90,_xlpm.CG,_xlpm.BR*$B$46,_xlpm.Prov,_xlpm.PT+_xlpm.CG+_xlpm.SS*0.5,_xlpm.TSS,_xlpm.SS*IF(AND(Tax!$B$21&lt;=0,Tax!$B$22&lt;=0),IF(_xlpm.SS&gt;0,0.85,0),IF(_xlpm.Prov&lt;Tax!$B$21,0,IF(_xlpm.Prov&lt;Tax!$B$22,0.5,0.85))),_xlpm.PT+_xlpm.TSS+_xlpm.CG),IRMAA!$B$16:$B$21,IRMAA!$A$16:$A$21))</f>
        <v/>
      </c>
      <c r="AE90" t="str">
        <f t="shared" si="17"/>
        <v/>
      </c>
      <c r="AG90">
        <f t="shared" si="18"/>
        <v>89</v>
      </c>
      <c r="AH90">
        <f t="shared" si="19"/>
        <v>0.1</v>
      </c>
      <c r="AI90">
        <f t="shared" si="20"/>
        <v>0.3</v>
      </c>
      <c r="AJ90">
        <f t="shared" si="21"/>
        <v>0.8</v>
      </c>
      <c r="AK90">
        <f t="shared" si="22"/>
        <v>43819.321633416483</v>
      </c>
      <c r="AL90">
        <f t="shared" si="23"/>
        <v>6074.4000000000005</v>
      </c>
      <c r="AM90">
        <f>MIN(MAX(0,$B$10-AL90)*AI90,'Retirement Gap'!$B$29)</f>
        <v>10850.278366583516</v>
      </c>
      <c r="AN90">
        <f>IF($E$40="B - Withdrawals + Roth conversions",AJ90*MAX(0,MIN($B$47-AL90,MIN($B$59,IRMAA!$C$16)-(AL90+$B$8*0.85+AK90*$B$46))),0)</f>
        <v>0</v>
      </c>
      <c r="AO90" cm="1">
        <f t="array" ref="AO90">_xlfn.LET(_xlpm.N,$B$49,_xlpm.R,$B$48,_xlpm.Start,$B$47,_xlpm.PlanWD,AL90,_xlpm.PlanRoth,AM90,_xlpm.PlanConv,AN90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12121.000000000002</v>
      </c>
      <c r="AP90" cm="1">
        <f t="array" ref="AP90">_xlfn.LET(_xlpm.N,$B$49,_xlpm.R,$B$48,_xlpm.Start,$B$47,_xlpm.PlanWD,AL90,_xlpm.PlanRoth,AM90,_xlpm.PlanConv,AN90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90" cm="1">
        <f t="array" ref="AQ90">_xlfn.LET(_xlpm.N,$B$49,_xlpm.R,$B$48,_xlpm.Start,$B$47,_xlpm.PlanWD,AL90,_xlpm.PlanRoth,AM90,_xlpm.PlanConv,AN90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997386.80636768113</v>
      </c>
      <c r="AR90" cm="1">
        <f t="array" ref="AR90">_xlfn.LET(_xlpm.N,$B$49,_xlpm.R,$B$48,_xlpm.Start,$B$47,_xlpm.PlanWD,AL90,_xlpm.PlanRoth,AM90,_xlpm.PlanConv,AN90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1217521.0700058746</v>
      </c>
      <c r="AS90">
        <f>--AND(AK90&lt;=SUM('Retirement Gap'!$B$24:$B$25,'Retirement Gap'!$B$27),AL90+AN90&lt;=$B$47,AM90&lt;='Retirement Gap'!$B$29,ABS(AK90+AL90+AM90-$B$10)&lt;1)</f>
        <v>1</v>
      </c>
      <c r="AT90" cm="1">
        <f t="array" ref="AT90">IF(AS90=0,1E+99,_xlfn.SWITCH(LEFT($E$39,1),"1",AO90,"2",AP90*1000000000+AO90,"3",-AQ90,"4",AO90+AP90*25000+AR90*0.005-AQ90*0.0001,AO90))</f>
        <v>-997386.80636768113</v>
      </c>
    </row>
    <row r="91" spans="8:46" x14ac:dyDescent="0.55000000000000004">
      <c r="H91">
        <f t="shared" si="6"/>
        <v>30</v>
      </c>
      <c r="I91" t="str">
        <f>IF(H91&lt;=MAX(1,Inputs!$B$9-Inputs!$B$8),Inputs!$B$8+H91-1,"")</f>
        <v/>
      </c>
      <c r="J91" t="str">
        <f t="shared" si="7"/>
        <v/>
      </c>
      <c r="K91" t="str">
        <f>IF(I91="","",_xlfn.LET(_xlpm.OpenBal,IF(H91=1,$B$47,O90),_xlpm.Factor,_xlfn.XLOOKUP(I91,RMD!$A$21:$A$69,RMD!$B$21:$B$69,0),_xlpm.Req,IF(AND(I91&gt;=RMD!$B$9,_xlpm.Factor&gt;0),_xlpm.OpenBal/_xlpm.Factor,0),MAX($B$14,_xlpm.Req)))</f>
        <v/>
      </c>
      <c r="L91" t="str">
        <f t="shared" si="8"/>
        <v/>
      </c>
      <c r="M91" t="str">
        <f>IF(I91="","",_xlfn.LET(_xlpm.PT,K91,_xlpm.BR,L91,_xlpm.SS,J91,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f>
        <v/>
      </c>
      <c r="N91" t="str">
        <f>IF(I91="","",LOOKUP(_xlfn.LET(_xlpm.PT,K91,_xlpm.BR,L91,_xlpm.SS,J91,_xlpm.CG,_xlpm.BR*$B$46,_xlpm.Prov,_xlpm.PT+_xlpm.CG+_xlpm.SS*0.5,_xlpm.TSS,_xlpm.SS*IF(AND(Tax!$B$21&lt;=0,Tax!$B$22&lt;=0),IF(_xlpm.SS&gt;0,0.85,0),IF(_xlpm.Prov&lt;Tax!$B$21,0,IF(_xlpm.Prov&lt;Tax!$B$22,0.5,0.85))),_xlpm.PT+_xlpm.TSS+_xlpm.CG),IRMAA!$B$16:$B$21,IRMAA!$A$16:$A$21))</f>
        <v/>
      </c>
      <c r="O91" t="str">
        <f t="shared" si="9"/>
        <v/>
      </c>
      <c r="P91">
        <f t="shared" si="10"/>
        <v>30</v>
      </c>
      <c r="Q91" t="str">
        <f>IF(P91&lt;=MAX(1,Inputs!$B$9-Inputs!$B$8),Inputs!$B$8+P91-1,"")</f>
        <v/>
      </c>
      <c r="R91" t="str">
        <f t="shared" si="11"/>
        <v/>
      </c>
      <c r="S91" t="str">
        <f>IF(Q91="","",_xlfn.LET(_xlpm.OpenBal,IF(P91=1,$B$47,W90),_xlpm.Factor,_xlfn.XLOOKUP(Q91,RMD!$A$21:$A$69,RMD!$B$21:$B$69,0),_xlpm.Req,IF(AND(Q91&gt;=RMD!$B$9,_xlpm.Factor&gt;0),_xlpm.OpenBal/_xlpm.Factor,0),MAX($B$21,_xlpm.Req)))</f>
        <v/>
      </c>
      <c r="T91" t="str">
        <f t="shared" si="12"/>
        <v/>
      </c>
      <c r="U91" t="str">
        <f>IF(Q91="","",_xlfn.LET(_xlpm.PT,S91,_xlpm.BR,T91,_xlpm.SS,R91,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f>
        <v/>
      </c>
      <c r="V91" t="str">
        <f>IF(Q91="","",LOOKUP(_xlfn.LET(_xlpm.PT,S91,_xlpm.BR,T91,_xlpm.SS,R91,_xlpm.CG,_xlpm.BR*$B$46,_xlpm.Prov,_xlpm.PT+_xlpm.CG+_xlpm.SS*0.5,_xlpm.TSS,_xlpm.SS*IF(AND(Tax!$B$21&lt;=0,Tax!$B$22&lt;=0),IF(_xlpm.SS&gt;0,0.85,0),IF(_xlpm.Prov&lt;Tax!$B$21,0,IF(_xlpm.Prov&lt;Tax!$B$22,0.5,0.85))),_xlpm.PT+_xlpm.TSS+_xlpm.CG),IRMAA!$B$16:$B$21,IRMAA!$A$16:$A$21))</f>
        <v/>
      </c>
      <c r="W91" t="str">
        <f t="shared" si="13"/>
        <v/>
      </c>
      <c r="X91">
        <f t="shared" si="14"/>
        <v>30</v>
      </c>
      <c r="Y91" t="str">
        <f>IF(X91&lt;=MAX(1,Inputs!$B$9-Inputs!$B$8),Inputs!$B$8+X91-1,"")</f>
        <v/>
      </c>
      <c r="Z91" t="str">
        <f t="shared" si="15"/>
        <v/>
      </c>
      <c r="AA91" t="str">
        <f>IF(Y91="","",_xlfn.LET(_xlpm.OpenBal,IF(X91=1,$B$47,AE90),_xlpm.Factor,_xlfn.XLOOKUP(Y91,RMD!$A$21:$A$69,RMD!$B$21:$B$69,0),IF(AND(Y91&gt;=RMD!$B$9,_xlpm.Factor&gt;0),_xlpm.OpenBal/_xlpm.Factor,0)))</f>
        <v/>
      </c>
      <c r="AB91" t="str">
        <f t="shared" si="16"/>
        <v/>
      </c>
      <c r="AC91" t="str">
        <f>IF(Y91="","",_xlfn.LET(_xlpm.PT,AA91,_xlpm.BR,AB91,_xlpm.SS,Z91,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f>
        <v/>
      </c>
      <c r="AD91" t="str">
        <f>IF(Y91="","",LOOKUP(_xlfn.LET(_xlpm.PT,AA91,_xlpm.BR,AB91,_xlpm.SS,Z91,_xlpm.CG,_xlpm.BR*$B$46,_xlpm.Prov,_xlpm.PT+_xlpm.CG+_xlpm.SS*0.5,_xlpm.TSS,_xlpm.SS*IF(AND(Tax!$B$21&lt;=0,Tax!$B$22&lt;=0),IF(_xlpm.SS&gt;0,0.85,0),IF(_xlpm.Prov&lt;Tax!$B$21,0,IF(_xlpm.Prov&lt;Tax!$B$22,0.5,0.85))),_xlpm.PT+_xlpm.TSS+_xlpm.CG),IRMAA!$B$16:$B$21,IRMAA!$A$16:$A$21))</f>
        <v/>
      </c>
      <c r="AE91" t="str">
        <f t="shared" si="17"/>
        <v/>
      </c>
      <c r="AG91">
        <f t="shared" si="18"/>
        <v>90</v>
      </c>
      <c r="AH91">
        <f t="shared" si="19"/>
        <v>0.1</v>
      </c>
      <c r="AI91">
        <f t="shared" si="20"/>
        <v>0.3</v>
      </c>
      <c r="AJ91">
        <f t="shared" si="21"/>
        <v>1</v>
      </c>
      <c r="AK91">
        <f t="shared" si="22"/>
        <v>43819.321633416483</v>
      </c>
      <c r="AL91">
        <f t="shared" si="23"/>
        <v>6074.4000000000005</v>
      </c>
      <c r="AM91">
        <f>MIN(MAX(0,$B$10-AL91)*AI91,'Retirement Gap'!$B$29)</f>
        <v>10850.278366583516</v>
      </c>
      <c r="AN91">
        <f>IF($E$40="B - Withdrawals + Roth conversions",AJ91*MAX(0,MIN($B$47-AL91,MIN($B$59,IRMAA!$C$16)-(AL91+$B$8*0.85+AK91*$B$46))),0)</f>
        <v>0</v>
      </c>
      <c r="AO91" cm="1">
        <f t="array" ref="AO91">_xlfn.LET(_xlpm.N,$B$49,_xlpm.R,$B$48,_xlpm.Start,$B$47,_xlpm.PlanWD,AL91,_xlpm.PlanRoth,AM91,_xlpm.PlanConv,AN91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12121.000000000002</v>
      </c>
      <c r="AP91" cm="1">
        <f t="array" ref="AP91">_xlfn.LET(_xlpm.N,$B$49,_xlpm.R,$B$48,_xlpm.Start,$B$47,_xlpm.PlanWD,AL91,_xlpm.PlanRoth,AM91,_xlpm.PlanConv,AN91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91" cm="1">
        <f t="array" ref="AQ91">_xlfn.LET(_xlpm.N,$B$49,_xlpm.R,$B$48,_xlpm.Start,$B$47,_xlpm.PlanWD,AL91,_xlpm.PlanRoth,AM91,_xlpm.PlanConv,AN91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997386.80636768113</v>
      </c>
      <c r="AR91" cm="1">
        <f t="array" ref="AR91">_xlfn.LET(_xlpm.N,$B$49,_xlpm.R,$B$48,_xlpm.Start,$B$47,_xlpm.PlanWD,AL91,_xlpm.PlanRoth,AM91,_xlpm.PlanConv,AN91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1217521.0700058746</v>
      </c>
      <c r="AS91">
        <f>--AND(AK91&lt;=SUM('Retirement Gap'!$B$24:$B$25,'Retirement Gap'!$B$27),AL91+AN91&lt;=$B$47,AM91&lt;='Retirement Gap'!$B$29,ABS(AK91+AL91+AM91-$B$10)&lt;1)</f>
        <v>1</v>
      </c>
      <c r="AT91" cm="1">
        <f t="array" ref="AT91">IF(AS91=0,1E+99,_xlfn.SWITCH(LEFT($E$39,1),"1",AO91,"2",AP91*1000000000+AO91,"3",-AQ91,"4",AO91+AP91*25000+AR91*0.005-AQ91*0.0001,AO91))</f>
        <v>-997386.80636768113</v>
      </c>
    </row>
    <row r="92" spans="8:46" x14ac:dyDescent="0.55000000000000004">
      <c r="H92">
        <f t="shared" si="6"/>
        <v>31</v>
      </c>
      <c r="I92" t="str">
        <f>IF(H92&lt;=MAX(1,Inputs!$B$9-Inputs!$B$8),Inputs!$B$8+H92-1,"")</f>
        <v/>
      </c>
      <c r="J92" t="str">
        <f t="shared" si="7"/>
        <v/>
      </c>
      <c r="K92" t="str">
        <f>IF(I92="","",_xlfn.LET(_xlpm.OpenBal,IF(H92=1,$B$47,O91),_xlpm.Factor,_xlfn.XLOOKUP(I92,RMD!$A$21:$A$69,RMD!$B$21:$B$69,0),_xlpm.Req,IF(AND(I92&gt;=RMD!$B$9,_xlpm.Factor&gt;0),_xlpm.OpenBal/_xlpm.Factor,0),MAX($B$14,_xlpm.Req)))</f>
        <v/>
      </c>
      <c r="L92" t="str">
        <f t="shared" si="8"/>
        <v/>
      </c>
      <c r="M92" t="str">
        <f>IF(I92="","",_xlfn.LET(_xlpm.PT,K92,_xlpm.BR,L92,_xlpm.SS,J92,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f>
        <v/>
      </c>
      <c r="N92" t="str">
        <f>IF(I92="","",LOOKUP(_xlfn.LET(_xlpm.PT,K92,_xlpm.BR,L92,_xlpm.SS,J92,_xlpm.CG,_xlpm.BR*$B$46,_xlpm.Prov,_xlpm.PT+_xlpm.CG+_xlpm.SS*0.5,_xlpm.TSS,_xlpm.SS*IF(AND(Tax!$B$21&lt;=0,Tax!$B$22&lt;=0),IF(_xlpm.SS&gt;0,0.85,0),IF(_xlpm.Prov&lt;Tax!$B$21,0,IF(_xlpm.Prov&lt;Tax!$B$22,0.5,0.85))),_xlpm.PT+_xlpm.TSS+_xlpm.CG),IRMAA!$B$16:$B$21,IRMAA!$A$16:$A$21))</f>
        <v/>
      </c>
      <c r="O92" t="str">
        <f t="shared" si="9"/>
        <v/>
      </c>
      <c r="P92">
        <f t="shared" si="10"/>
        <v>31</v>
      </c>
      <c r="Q92" t="str">
        <f>IF(P92&lt;=MAX(1,Inputs!$B$9-Inputs!$B$8),Inputs!$B$8+P92-1,"")</f>
        <v/>
      </c>
      <c r="R92" t="str">
        <f t="shared" si="11"/>
        <v/>
      </c>
      <c r="S92" t="str">
        <f>IF(Q92="","",_xlfn.LET(_xlpm.OpenBal,IF(P92=1,$B$47,W91),_xlpm.Factor,_xlfn.XLOOKUP(Q92,RMD!$A$21:$A$69,RMD!$B$21:$B$69,0),_xlpm.Req,IF(AND(Q92&gt;=RMD!$B$9,_xlpm.Factor&gt;0),_xlpm.OpenBal/_xlpm.Factor,0),MAX($B$21,_xlpm.Req)))</f>
        <v/>
      </c>
      <c r="T92" t="str">
        <f t="shared" si="12"/>
        <v/>
      </c>
      <c r="U92" t="str">
        <f>IF(Q92="","",_xlfn.LET(_xlpm.PT,S92,_xlpm.BR,T92,_xlpm.SS,R92,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f>
        <v/>
      </c>
      <c r="V92" t="str">
        <f>IF(Q92="","",LOOKUP(_xlfn.LET(_xlpm.PT,S92,_xlpm.BR,T92,_xlpm.SS,R92,_xlpm.CG,_xlpm.BR*$B$46,_xlpm.Prov,_xlpm.PT+_xlpm.CG+_xlpm.SS*0.5,_xlpm.TSS,_xlpm.SS*IF(AND(Tax!$B$21&lt;=0,Tax!$B$22&lt;=0),IF(_xlpm.SS&gt;0,0.85,0),IF(_xlpm.Prov&lt;Tax!$B$21,0,IF(_xlpm.Prov&lt;Tax!$B$22,0.5,0.85))),_xlpm.PT+_xlpm.TSS+_xlpm.CG),IRMAA!$B$16:$B$21,IRMAA!$A$16:$A$21))</f>
        <v/>
      </c>
      <c r="W92" t="str">
        <f t="shared" si="13"/>
        <v/>
      </c>
      <c r="X92">
        <f t="shared" si="14"/>
        <v>31</v>
      </c>
      <c r="Y92" t="str">
        <f>IF(X92&lt;=MAX(1,Inputs!$B$9-Inputs!$B$8),Inputs!$B$8+X92-1,"")</f>
        <v/>
      </c>
      <c r="Z92" t="str">
        <f t="shared" si="15"/>
        <v/>
      </c>
      <c r="AA92" t="str">
        <f>IF(Y92="","",_xlfn.LET(_xlpm.OpenBal,IF(X92=1,$B$47,AE91),_xlpm.Factor,_xlfn.XLOOKUP(Y92,RMD!$A$21:$A$69,RMD!$B$21:$B$69,0),IF(AND(Y92&gt;=RMD!$B$9,_xlpm.Factor&gt;0),_xlpm.OpenBal/_xlpm.Factor,0)))</f>
        <v/>
      </c>
      <c r="AB92" t="str">
        <f t="shared" si="16"/>
        <v/>
      </c>
      <c r="AC92" t="str">
        <f>IF(Y92="","",_xlfn.LET(_xlpm.PT,AA92,_xlpm.BR,AB92,_xlpm.SS,Z92,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f>
        <v/>
      </c>
      <c r="AD92" t="str">
        <f>IF(Y92="","",LOOKUP(_xlfn.LET(_xlpm.PT,AA92,_xlpm.BR,AB92,_xlpm.SS,Z92,_xlpm.CG,_xlpm.BR*$B$46,_xlpm.Prov,_xlpm.PT+_xlpm.CG+_xlpm.SS*0.5,_xlpm.TSS,_xlpm.SS*IF(AND(Tax!$B$21&lt;=0,Tax!$B$22&lt;=0),IF(_xlpm.SS&gt;0,0.85,0),IF(_xlpm.Prov&lt;Tax!$B$21,0,IF(_xlpm.Prov&lt;Tax!$B$22,0.5,0.85))),_xlpm.PT+_xlpm.TSS+_xlpm.CG),IRMAA!$B$16:$B$21,IRMAA!$A$16:$A$21))</f>
        <v/>
      </c>
      <c r="AE92" t="str">
        <f t="shared" si="17"/>
        <v/>
      </c>
      <c r="AG92">
        <f t="shared" si="18"/>
        <v>91</v>
      </c>
      <c r="AH92">
        <f t="shared" si="19"/>
        <v>0.1</v>
      </c>
      <c r="AI92">
        <f t="shared" si="20"/>
        <v>0.4</v>
      </c>
      <c r="AJ92">
        <f t="shared" si="21"/>
        <v>0</v>
      </c>
      <c r="AK92">
        <f t="shared" si="22"/>
        <v>43819.321633416483</v>
      </c>
      <c r="AL92">
        <f t="shared" si="23"/>
        <v>6074.4000000000005</v>
      </c>
      <c r="AM92">
        <f>MIN(MAX(0,$B$10-AL92)*AI92,'Retirement Gap'!$B$29)</f>
        <v>10850.278366583516</v>
      </c>
      <c r="AN92">
        <f>IF($E$40="B - Withdrawals + Roth conversions",AJ92*MAX(0,MIN($B$47-AL92,MIN($B$59,IRMAA!$C$16)-(AL92+$B$8*0.85+AK92*$B$46))),0)</f>
        <v>0</v>
      </c>
      <c r="AO92" cm="1">
        <f t="array" ref="AO92">_xlfn.LET(_xlpm.N,$B$49,_xlpm.R,$B$48,_xlpm.Start,$B$47,_xlpm.PlanWD,AL92,_xlpm.PlanRoth,AM92,_xlpm.PlanConv,AN92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12121.000000000002</v>
      </c>
      <c r="AP92" cm="1">
        <f t="array" ref="AP92">_xlfn.LET(_xlpm.N,$B$49,_xlpm.R,$B$48,_xlpm.Start,$B$47,_xlpm.PlanWD,AL92,_xlpm.PlanRoth,AM92,_xlpm.PlanConv,AN92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92" cm="1">
        <f t="array" ref="AQ92">_xlfn.LET(_xlpm.N,$B$49,_xlpm.R,$B$48,_xlpm.Start,$B$47,_xlpm.PlanWD,AL92,_xlpm.PlanRoth,AM92,_xlpm.PlanConv,AN92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997386.80636768113</v>
      </c>
      <c r="AR92" cm="1">
        <f t="array" ref="AR92">_xlfn.LET(_xlpm.N,$B$49,_xlpm.R,$B$48,_xlpm.Start,$B$47,_xlpm.PlanWD,AL92,_xlpm.PlanRoth,AM92,_xlpm.PlanConv,AN92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1217521.0700058746</v>
      </c>
      <c r="AS92">
        <f>--AND(AK92&lt;=SUM('Retirement Gap'!$B$24:$B$25,'Retirement Gap'!$B$27),AL92+AN92&lt;=$B$47,AM92&lt;='Retirement Gap'!$B$29,ABS(AK92+AL92+AM92-$B$10)&lt;1)</f>
        <v>1</v>
      </c>
      <c r="AT92" cm="1">
        <f t="array" ref="AT92">IF(AS92=0,1E+99,_xlfn.SWITCH(LEFT($E$39,1),"1",AO92,"2",AP92*1000000000+AO92,"3",-AQ92,"4",AO92+AP92*25000+AR92*0.005-AQ92*0.0001,AO92))</f>
        <v>-997386.80636768113</v>
      </c>
    </row>
    <row r="93" spans="8:46" x14ac:dyDescent="0.55000000000000004">
      <c r="H93">
        <f t="shared" si="6"/>
        <v>32</v>
      </c>
      <c r="I93" t="str">
        <f>IF(H93&lt;=MAX(1,Inputs!$B$9-Inputs!$B$8),Inputs!$B$8+H93-1,"")</f>
        <v/>
      </c>
      <c r="J93" t="str">
        <f t="shared" si="7"/>
        <v/>
      </c>
      <c r="K93" t="str">
        <f>IF(I93="","",_xlfn.LET(_xlpm.OpenBal,IF(H93=1,$B$47,O92),_xlpm.Factor,_xlfn.XLOOKUP(I93,RMD!$A$21:$A$69,RMD!$B$21:$B$69,0),_xlpm.Req,IF(AND(I93&gt;=RMD!$B$9,_xlpm.Factor&gt;0),_xlpm.OpenBal/_xlpm.Factor,0),MAX($B$14,_xlpm.Req)))</f>
        <v/>
      </c>
      <c r="L93" t="str">
        <f t="shared" si="8"/>
        <v/>
      </c>
      <c r="M93" t="str">
        <f>IF(I93="","",_xlfn.LET(_xlpm.PT,K93,_xlpm.BR,L93,_xlpm.SS,J93,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f>
        <v/>
      </c>
      <c r="N93" t="str">
        <f>IF(I93="","",LOOKUP(_xlfn.LET(_xlpm.PT,K93,_xlpm.BR,L93,_xlpm.SS,J93,_xlpm.CG,_xlpm.BR*$B$46,_xlpm.Prov,_xlpm.PT+_xlpm.CG+_xlpm.SS*0.5,_xlpm.TSS,_xlpm.SS*IF(AND(Tax!$B$21&lt;=0,Tax!$B$22&lt;=0),IF(_xlpm.SS&gt;0,0.85,0),IF(_xlpm.Prov&lt;Tax!$B$21,0,IF(_xlpm.Prov&lt;Tax!$B$22,0.5,0.85))),_xlpm.PT+_xlpm.TSS+_xlpm.CG),IRMAA!$B$16:$B$21,IRMAA!$A$16:$A$21))</f>
        <v/>
      </c>
      <c r="O93" t="str">
        <f t="shared" si="9"/>
        <v/>
      </c>
      <c r="P93">
        <f t="shared" si="10"/>
        <v>32</v>
      </c>
      <c r="Q93" t="str">
        <f>IF(P93&lt;=MAX(1,Inputs!$B$9-Inputs!$B$8),Inputs!$B$8+P93-1,"")</f>
        <v/>
      </c>
      <c r="R93" t="str">
        <f t="shared" si="11"/>
        <v/>
      </c>
      <c r="S93" t="str">
        <f>IF(Q93="","",_xlfn.LET(_xlpm.OpenBal,IF(P93=1,$B$47,W92),_xlpm.Factor,_xlfn.XLOOKUP(Q93,RMD!$A$21:$A$69,RMD!$B$21:$B$69,0),_xlpm.Req,IF(AND(Q93&gt;=RMD!$B$9,_xlpm.Factor&gt;0),_xlpm.OpenBal/_xlpm.Factor,0),MAX($B$21,_xlpm.Req)))</f>
        <v/>
      </c>
      <c r="T93" t="str">
        <f t="shared" si="12"/>
        <v/>
      </c>
      <c r="U93" t="str">
        <f>IF(Q93="","",_xlfn.LET(_xlpm.PT,S93,_xlpm.BR,T93,_xlpm.SS,R93,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f>
        <v/>
      </c>
      <c r="V93" t="str">
        <f>IF(Q93="","",LOOKUP(_xlfn.LET(_xlpm.PT,S93,_xlpm.BR,T93,_xlpm.SS,R93,_xlpm.CG,_xlpm.BR*$B$46,_xlpm.Prov,_xlpm.PT+_xlpm.CG+_xlpm.SS*0.5,_xlpm.TSS,_xlpm.SS*IF(AND(Tax!$B$21&lt;=0,Tax!$B$22&lt;=0),IF(_xlpm.SS&gt;0,0.85,0),IF(_xlpm.Prov&lt;Tax!$B$21,0,IF(_xlpm.Prov&lt;Tax!$B$22,0.5,0.85))),_xlpm.PT+_xlpm.TSS+_xlpm.CG),IRMAA!$B$16:$B$21,IRMAA!$A$16:$A$21))</f>
        <v/>
      </c>
      <c r="W93" t="str">
        <f t="shared" si="13"/>
        <v/>
      </c>
      <c r="X93">
        <f t="shared" si="14"/>
        <v>32</v>
      </c>
      <c r="Y93" t="str">
        <f>IF(X93&lt;=MAX(1,Inputs!$B$9-Inputs!$B$8),Inputs!$B$8+X93-1,"")</f>
        <v/>
      </c>
      <c r="Z93" t="str">
        <f t="shared" si="15"/>
        <v/>
      </c>
      <c r="AA93" t="str">
        <f>IF(Y93="","",_xlfn.LET(_xlpm.OpenBal,IF(X93=1,$B$47,AE92),_xlpm.Factor,_xlfn.XLOOKUP(Y93,RMD!$A$21:$A$69,RMD!$B$21:$B$69,0),IF(AND(Y93&gt;=RMD!$B$9,_xlpm.Factor&gt;0),_xlpm.OpenBal/_xlpm.Factor,0)))</f>
        <v/>
      </c>
      <c r="AB93" t="str">
        <f t="shared" si="16"/>
        <v/>
      </c>
      <c r="AC93" t="str">
        <f>IF(Y93="","",_xlfn.LET(_xlpm.PT,AA93,_xlpm.BR,AB93,_xlpm.SS,Z93,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f>
        <v/>
      </c>
      <c r="AD93" t="str">
        <f>IF(Y93="","",LOOKUP(_xlfn.LET(_xlpm.PT,AA93,_xlpm.BR,AB93,_xlpm.SS,Z93,_xlpm.CG,_xlpm.BR*$B$46,_xlpm.Prov,_xlpm.PT+_xlpm.CG+_xlpm.SS*0.5,_xlpm.TSS,_xlpm.SS*IF(AND(Tax!$B$21&lt;=0,Tax!$B$22&lt;=0),IF(_xlpm.SS&gt;0,0.85,0),IF(_xlpm.Prov&lt;Tax!$B$21,0,IF(_xlpm.Prov&lt;Tax!$B$22,0.5,0.85))),_xlpm.PT+_xlpm.TSS+_xlpm.CG),IRMAA!$B$16:$B$21,IRMAA!$A$16:$A$21))</f>
        <v/>
      </c>
      <c r="AE93" t="str">
        <f t="shared" si="17"/>
        <v/>
      </c>
      <c r="AG93">
        <f t="shared" si="18"/>
        <v>92</v>
      </c>
      <c r="AH93">
        <f t="shared" si="19"/>
        <v>0.1</v>
      </c>
      <c r="AI93">
        <f t="shared" si="20"/>
        <v>0.4</v>
      </c>
      <c r="AJ93">
        <f t="shared" si="21"/>
        <v>0.2</v>
      </c>
      <c r="AK93">
        <f t="shared" si="22"/>
        <v>43819.321633416483</v>
      </c>
      <c r="AL93">
        <f t="shared" si="23"/>
        <v>6074.4000000000005</v>
      </c>
      <c r="AM93">
        <f>MIN(MAX(0,$B$10-AL93)*AI93,'Retirement Gap'!$B$29)</f>
        <v>10850.278366583516</v>
      </c>
      <c r="AN93">
        <f>IF($E$40="B - Withdrawals + Roth conversions",AJ93*MAX(0,MIN($B$47-AL93,MIN($B$59,IRMAA!$C$16)-(AL93+$B$8*0.85+AK93*$B$46))),0)</f>
        <v>0</v>
      </c>
      <c r="AO93" cm="1">
        <f t="array" ref="AO93">_xlfn.LET(_xlpm.N,$B$49,_xlpm.R,$B$48,_xlpm.Start,$B$47,_xlpm.PlanWD,AL93,_xlpm.PlanRoth,AM93,_xlpm.PlanConv,AN93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12121.000000000002</v>
      </c>
      <c r="AP93" cm="1">
        <f t="array" ref="AP93">_xlfn.LET(_xlpm.N,$B$49,_xlpm.R,$B$48,_xlpm.Start,$B$47,_xlpm.PlanWD,AL93,_xlpm.PlanRoth,AM93,_xlpm.PlanConv,AN93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93" cm="1">
        <f t="array" ref="AQ93">_xlfn.LET(_xlpm.N,$B$49,_xlpm.R,$B$48,_xlpm.Start,$B$47,_xlpm.PlanWD,AL93,_xlpm.PlanRoth,AM93,_xlpm.PlanConv,AN93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997386.80636768113</v>
      </c>
      <c r="AR93" cm="1">
        <f t="array" ref="AR93">_xlfn.LET(_xlpm.N,$B$49,_xlpm.R,$B$48,_xlpm.Start,$B$47,_xlpm.PlanWD,AL93,_xlpm.PlanRoth,AM93,_xlpm.PlanConv,AN93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1217521.0700058746</v>
      </c>
      <c r="AS93">
        <f>--AND(AK93&lt;=SUM('Retirement Gap'!$B$24:$B$25,'Retirement Gap'!$B$27),AL93+AN93&lt;=$B$47,AM93&lt;='Retirement Gap'!$B$29,ABS(AK93+AL93+AM93-$B$10)&lt;1)</f>
        <v>1</v>
      </c>
      <c r="AT93" cm="1">
        <f t="array" ref="AT93">IF(AS93=0,1E+99,_xlfn.SWITCH(LEFT($E$39,1),"1",AO93,"2",AP93*1000000000+AO93,"3",-AQ93,"4",AO93+AP93*25000+AR93*0.005-AQ93*0.0001,AO93))</f>
        <v>-997386.80636768113</v>
      </c>
    </row>
    <row r="94" spans="8:46" x14ac:dyDescent="0.55000000000000004">
      <c r="H94">
        <f t="shared" si="6"/>
        <v>33</v>
      </c>
      <c r="I94" t="str">
        <f>IF(H94&lt;=MAX(1,Inputs!$B$9-Inputs!$B$8),Inputs!$B$8+H94-1,"")</f>
        <v/>
      </c>
      <c r="J94" t="str">
        <f t="shared" si="7"/>
        <v/>
      </c>
      <c r="K94" t="str">
        <f>IF(I94="","",_xlfn.LET(_xlpm.OpenBal,IF(H94=1,$B$47,O93),_xlpm.Factor,_xlfn.XLOOKUP(I94,RMD!$A$21:$A$69,RMD!$B$21:$B$69,0),_xlpm.Req,IF(AND(I94&gt;=RMD!$B$9,_xlpm.Factor&gt;0),_xlpm.OpenBal/_xlpm.Factor,0),MAX($B$14,_xlpm.Req)))</f>
        <v/>
      </c>
      <c r="L94" t="str">
        <f t="shared" si="8"/>
        <v/>
      </c>
      <c r="M94" t="str">
        <f>IF(I94="","",_xlfn.LET(_xlpm.PT,K94,_xlpm.BR,L94,_xlpm.SS,J94,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f>
        <v/>
      </c>
      <c r="N94" t="str">
        <f>IF(I94="","",LOOKUP(_xlfn.LET(_xlpm.PT,K94,_xlpm.BR,L94,_xlpm.SS,J94,_xlpm.CG,_xlpm.BR*$B$46,_xlpm.Prov,_xlpm.PT+_xlpm.CG+_xlpm.SS*0.5,_xlpm.TSS,_xlpm.SS*IF(AND(Tax!$B$21&lt;=0,Tax!$B$22&lt;=0),IF(_xlpm.SS&gt;0,0.85,0),IF(_xlpm.Prov&lt;Tax!$B$21,0,IF(_xlpm.Prov&lt;Tax!$B$22,0.5,0.85))),_xlpm.PT+_xlpm.TSS+_xlpm.CG),IRMAA!$B$16:$B$21,IRMAA!$A$16:$A$21))</f>
        <v/>
      </c>
      <c r="O94" t="str">
        <f t="shared" si="9"/>
        <v/>
      </c>
      <c r="P94">
        <f t="shared" si="10"/>
        <v>33</v>
      </c>
      <c r="Q94" t="str">
        <f>IF(P94&lt;=MAX(1,Inputs!$B$9-Inputs!$B$8),Inputs!$B$8+P94-1,"")</f>
        <v/>
      </c>
      <c r="R94" t="str">
        <f t="shared" si="11"/>
        <v/>
      </c>
      <c r="S94" t="str">
        <f>IF(Q94="","",_xlfn.LET(_xlpm.OpenBal,IF(P94=1,$B$47,W93),_xlpm.Factor,_xlfn.XLOOKUP(Q94,RMD!$A$21:$A$69,RMD!$B$21:$B$69,0),_xlpm.Req,IF(AND(Q94&gt;=RMD!$B$9,_xlpm.Factor&gt;0),_xlpm.OpenBal/_xlpm.Factor,0),MAX($B$21,_xlpm.Req)))</f>
        <v/>
      </c>
      <c r="T94" t="str">
        <f t="shared" si="12"/>
        <v/>
      </c>
      <c r="U94" t="str">
        <f>IF(Q94="","",_xlfn.LET(_xlpm.PT,S94,_xlpm.BR,T94,_xlpm.SS,R94,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f>
        <v/>
      </c>
      <c r="V94" t="str">
        <f>IF(Q94="","",LOOKUP(_xlfn.LET(_xlpm.PT,S94,_xlpm.BR,T94,_xlpm.SS,R94,_xlpm.CG,_xlpm.BR*$B$46,_xlpm.Prov,_xlpm.PT+_xlpm.CG+_xlpm.SS*0.5,_xlpm.TSS,_xlpm.SS*IF(AND(Tax!$B$21&lt;=0,Tax!$B$22&lt;=0),IF(_xlpm.SS&gt;0,0.85,0),IF(_xlpm.Prov&lt;Tax!$B$21,0,IF(_xlpm.Prov&lt;Tax!$B$22,0.5,0.85))),_xlpm.PT+_xlpm.TSS+_xlpm.CG),IRMAA!$B$16:$B$21,IRMAA!$A$16:$A$21))</f>
        <v/>
      </c>
      <c r="W94" t="str">
        <f t="shared" si="13"/>
        <v/>
      </c>
      <c r="X94">
        <f t="shared" si="14"/>
        <v>33</v>
      </c>
      <c r="Y94" t="str">
        <f>IF(X94&lt;=MAX(1,Inputs!$B$9-Inputs!$B$8),Inputs!$B$8+X94-1,"")</f>
        <v/>
      </c>
      <c r="Z94" t="str">
        <f t="shared" si="15"/>
        <v/>
      </c>
      <c r="AA94" t="str">
        <f>IF(Y94="","",_xlfn.LET(_xlpm.OpenBal,IF(X94=1,$B$47,AE93),_xlpm.Factor,_xlfn.XLOOKUP(Y94,RMD!$A$21:$A$69,RMD!$B$21:$B$69,0),IF(AND(Y94&gt;=RMD!$B$9,_xlpm.Factor&gt;0),_xlpm.OpenBal/_xlpm.Factor,0)))</f>
        <v/>
      </c>
      <c r="AB94" t="str">
        <f t="shared" si="16"/>
        <v/>
      </c>
      <c r="AC94" t="str">
        <f>IF(Y94="","",_xlfn.LET(_xlpm.PT,AA94,_xlpm.BR,AB94,_xlpm.SS,Z94,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f>
        <v/>
      </c>
      <c r="AD94" t="str">
        <f>IF(Y94="","",LOOKUP(_xlfn.LET(_xlpm.PT,AA94,_xlpm.BR,AB94,_xlpm.SS,Z94,_xlpm.CG,_xlpm.BR*$B$46,_xlpm.Prov,_xlpm.PT+_xlpm.CG+_xlpm.SS*0.5,_xlpm.TSS,_xlpm.SS*IF(AND(Tax!$B$21&lt;=0,Tax!$B$22&lt;=0),IF(_xlpm.SS&gt;0,0.85,0),IF(_xlpm.Prov&lt;Tax!$B$21,0,IF(_xlpm.Prov&lt;Tax!$B$22,0.5,0.85))),_xlpm.PT+_xlpm.TSS+_xlpm.CG),IRMAA!$B$16:$B$21,IRMAA!$A$16:$A$21))</f>
        <v/>
      </c>
      <c r="AE94" t="str">
        <f t="shared" si="17"/>
        <v/>
      </c>
      <c r="AG94">
        <f t="shared" si="18"/>
        <v>93</v>
      </c>
      <c r="AH94">
        <f t="shared" si="19"/>
        <v>0.1</v>
      </c>
      <c r="AI94">
        <f t="shared" si="20"/>
        <v>0.4</v>
      </c>
      <c r="AJ94">
        <f t="shared" si="21"/>
        <v>0.4</v>
      </c>
      <c r="AK94">
        <f t="shared" si="22"/>
        <v>43819.321633416483</v>
      </c>
      <c r="AL94">
        <f t="shared" si="23"/>
        <v>6074.4000000000005</v>
      </c>
      <c r="AM94">
        <f>MIN(MAX(0,$B$10-AL94)*AI94,'Retirement Gap'!$B$29)</f>
        <v>10850.278366583516</v>
      </c>
      <c r="AN94">
        <f>IF($E$40="B - Withdrawals + Roth conversions",AJ94*MAX(0,MIN($B$47-AL94,MIN($B$59,IRMAA!$C$16)-(AL94+$B$8*0.85+AK94*$B$46))),0)</f>
        <v>0</v>
      </c>
      <c r="AO94" cm="1">
        <f t="array" ref="AO94">_xlfn.LET(_xlpm.N,$B$49,_xlpm.R,$B$48,_xlpm.Start,$B$47,_xlpm.PlanWD,AL94,_xlpm.PlanRoth,AM94,_xlpm.PlanConv,AN94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12121.000000000002</v>
      </c>
      <c r="AP94" cm="1">
        <f t="array" ref="AP94">_xlfn.LET(_xlpm.N,$B$49,_xlpm.R,$B$48,_xlpm.Start,$B$47,_xlpm.PlanWD,AL94,_xlpm.PlanRoth,AM94,_xlpm.PlanConv,AN94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94" cm="1">
        <f t="array" ref="AQ94">_xlfn.LET(_xlpm.N,$B$49,_xlpm.R,$B$48,_xlpm.Start,$B$47,_xlpm.PlanWD,AL94,_xlpm.PlanRoth,AM94,_xlpm.PlanConv,AN94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997386.80636768113</v>
      </c>
      <c r="AR94" cm="1">
        <f t="array" ref="AR94">_xlfn.LET(_xlpm.N,$B$49,_xlpm.R,$B$48,_xlpm.Start,$B$47,_xlpm.PlanWD,AL94,_xlpm.PlanRoth,AM94,_xlpm.PlanConv,AN94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1217521.0700058746</v>
      </c>
      <c r="AS94">
        <f>--AND(AK94&lt;=SUM('Retirement Gap'!$B$24:$B$25,'Retirement Gap'!$B$27),AL94+AN94&lt;=$B$47,AM94&lt;='Retirement Gap'!$B$29,ABS(AK94+AL94+AM94-$B$10)&lt;1)</f>
        <v>1</v>
      </c>
      <c r="AT94" cm="1">
        <f t="array" ref="AT94">IF(AS94=0,1E+99,_xlfn.SWITCH(LEFT($E$39,1),"1",AO94,"2",AP94*1000000000+AO94,"3",-AQ94,"4",AO94+AP94*25000+AR94*0.005-AQ94*0.0001,AO94))</f>
        <v>-997386.80636768113</v>
      </c>
    </row>
    <row r="95" spans="8:46" x14ac:dyDescent="0.55000000000000004">
      <c r="H95">
        <f t="shared" si="6"/>
        <v>34</v>
      </c>
      <c r="I95" t="str">
        <f>IF(H95&lt;=MAX(1,Inputs!$B$9-Inputs!$B$8),Inputs!$B$8+H95-1,"")</f>
        <v/>
      </c>
      <c r="J95" t="str">
        <f t="shared" si="7"/>
        <v/>
      </c>
      <c r="K95" t="str">
        <f>IF(I95="","",_xlfn.LET(_xlpm.OpenBal,IF(H95=1,$B$47,O94),_xlpm.Factor,_xlfn.XLOOKUP(I95,RMD!$A$21:$A$69,RMD!$B$21:$B$69,0),_xlpm.Req,IF(AND(I95&gt;=RMD!$B$9,_xlpm.Factor&gt;0),_xlpm.OpenBal/_xlpm.Factor,0),MAX($B$14,_xlpm.Req)))</f>
        <v/>
      </c>
      <c r="L95" t="str">
        <f t="shared" si="8"/>
        <v/>
      </c>
      <c r="M95" t="str">
        <f>IF(I95="","",_xlfn.LET(_xlpm.PT,K95,_xlpm.BR,L95,_xlpm.SS,J95,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f>
        <v/>
      </c>
      <c r="N95" t="str">
        <f>IF(I95="","",LOOKUP(_xlfn.LET(_xlpm.PT,K95,_xlpm.BR,L95,_xlpm.SS,J95,_xlpm.CG,_xlpm.BR*$B$46,_xlpm.Prov,_xlpm.PT+_xlpm.CG+_xlpm.SS*0.5,_xlpm.TSS,_xlpm.SS*IF(AND(Tax!$B$21&lt;=0,Tax!$B$22&lt;=0),IF(_xlpm.SS&gt;0,0.85,0),IF(_xlpm.Prov&lt;Tax!$B$21,0,IF(_xlpm.Prov&lt;Tax!$B$22,0.5,0.85))),_xlpm.PT+_xlpm.TSS+_xlpm.CG),IRMAA!$B$16:$B$21,IRMAA!$A$16:$A$21))</f>
        <v/>
      </c>
      <c r="O95" t="str">
        <f t="shared" si="9"/>
        <v/>
      </c>
      <c r="P95">
        <f t="shared" si="10"/>
        <v>34</v>
      </c>
      <c r="Q95" t="str">
        <f>IF(P95&lt;=MAX(1,Inputs!$B$9-Inputs!$B$8),Inputs!$B$8+P95-1,"")</f>
        <v/>
      </c>
      <c r="R95" t="str">
        <f t="shared" si="11"/>
        <v/>
      </c>
      <c r="S95" t="str">
        <f>IF(Q95="","",_xlfn.LET(_xlpm.OpenBal,IF(P95=1,$B$47,W94),_xlpm.Factor,_xlfn.XLOOKUP(Q95,RMD!$A$21:$A$69,RMD!$B$21:$B$69,0),_xlpm.Req,IF(AND(Q95&gt;=RMD!$B$9,_xlpm.Factor&gt;0),_xlpm.OpenBal/_xlpm.Factor,0),MAX($B$21,_xlpm.Req)))</f>
        <v/>
      </c>
      <c r="T95" t="str">
        <f t="shared" si="12"/>
        <v/>
      </c>
      <c r="U95" t="str">
        <f>IF(Q95="","",_xlfn.LET(_xlpm.PT,S95,_xlpm.BR,T95,_xlpm.SS,R95,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f>
        <v/>
      </c>
      <c r="V95" t="str">
        <f>IF(Q95="","",LOOKUP(_xlfn.LET(_xlpm.PT,S95,_xlpm.BR,T95,_xlpm.SS,R95,_xlpm.CG,_xlpm.BR*$B$46,_xlpm.Prov,_xlpm.PT+_xlpm.CG+_xlpm.SS*0.5,_xlpm.TSS,_xlpm.SS*IF(AND(Tax!$B$21&lt;=0,Tax!$B$22&lt;=0),IF(_xlpm.SS&gt;0,0.85,0),IF(_xlpm.Prov&lt;Tax!$B$21,0,IF(_xlpm.Prov&lt;Tax!$B$22,0.5,0.85))),_xlpm.PT+_xlpm.TSS+_xlpm.CG),IRMAA!$B$16:$B$21,IRMAA!$A$16:$A$21))</f>
        <v/>
      </c>
      <c r="W95" t="str">
        <f t="shared" si="13"/>
        <v/>
      </c>
      <c r="X95">
        <f t="shared" si="14"/>
        <v>34</v>
      </c>
      <c r="Y95" t="str">
        <f>IF(X95&lt;=MAX(1,Inputs!$B$9-Inputs!$B$8),Inputs!$B$8+X95-1,"")</f>
        <v/>
      </c>
      <c r="Z95" t="str">
        <f t="shared" si="15"/>
        <v/>
      </c>
      <c r="AA95" t="str">
        <f>IF(Y95="","",_xlfn.LET(_xlpm.OpenBal,IF(X95=1,$B$47,AE94),_xlpm.Factor,_xlfn.XLOOKUP(Y95,RMD!$A$21:$A$69,RMD!$B$21:$B$69,0),IF(AND(Y95&gt;=RMD!$B$9,_xlpm.Factor&gt;0),_xlpm.OpenBal/_xlpm.Factor,0)))</f>
        <v/>
      </c>
      <c r="AB95" t="str">
        <f t="shared" si="16"/>
        <v/>
      </c>
      <c r="AC95" t="str">
        <f>IF(Y95="","",_xlfn.LET(_xlpm.PT,AA95,_xlpm.BR,AB95,_xlpm.SS,Z95,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f>
        <v/>
      </c>
      <c r="AD95" t="str">
        <f>IF(Y95="","",LOOKUP(_xlfn.LET(_xlpm.PT,AA95,_xlpm.BR,AB95,_xlpm.SS,Z95,_xlpm.CG,_xlpm.BR*$B$46,_xlpm.Prov,_xlpm.PT+_xlpm.CG+_xlpm.SS*0.5,_xlpm.TSS,_xlpm.SS*IF(AND(Tax!$B$21&lt;=0,Tax!$B$22&lt;=0),IF(_xlpm.SS&gt;0,0.85,0),IF(_xlpm.Prov&lt;Tax!$B$21,0,IF(_xlpm.Prov&lt;Tax!$B$22,0.5,0.85))),_xlpm.PT+_xlpm.TSS+_xlpm.CG),IRMAA!$B$16:$B$21,IRMAA!$A$16:$A$21))</f>
        <v/>
      </c>
      <c r="AE95" t="str">
        <f t="shared" si="17"/>
        <v/>
      </c>
      <c r="AG95">
        <f t="shared" si="18"/>
        <v>94</v>
      </c>
      <c r="AH95">
        <f t="shared" si="19"/>
        <v>0.1</v>
      </c>
      <c r="AI95">
        <f t="shared" si="20"/>
        <v>0.4</v>
      </c>
      <c r="AJ95">
        <f t="shared" si="21"/>
        <v>0.6</v>
      </c>
      <c r="AK95">
        <f t="shared" si="22"/>
        <v>43819.321633416483</v>
      </c>
      <c r="AL95">
        <f t="shared" si="23"/>
        <v>6074.4000000000005</v>
      </c>
      <c r="AM95">
        <f>MIN(MAX(0,$B$10-AL95)*AI95,'Retirement Gap'!$B$29)</f>
        <v>10850.278366583516</v>
      </c>
      <c r="AN95">
        <f>IF($E$40="B - Withdrawals + Roth conversions",AJ95*MAX(0,MIN($B$47-AL95,MIN($B$59,IRMAA!$C$16)-(AL95+$B$8*0.85+AK95*$B$46))),0)</f>
        <v>0</v>
      </c>
      <c r="AO95" cm="1">
        <f t="array" ref="AO95">_xlfn.LET(_xlpm.N,$B$49,_xlpm.R,$B$48,_xlpm.Start,$B$47,_xlpm.PlanWD,AL95,_xlpm.PlanRoth,AM95,_xlpm.PlanConv,AN95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12121.000000000002</v>
      </c>
      <c r="AP95" cm="1">
        <f t="array" ref="AP95">_xlfn.LET(_xlpm.N,$B$49,_xlpm.R,$B$48,_xlpm.Start,$B$47,_xlpm.PlanWD,AL95,_xlpm.PlanRoth,AM95,_xlpm.PlanConv,AN95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95" cm="1">
        <f t="array" ref="AQ95">_xlfn.LET(_xlpm.N,$B$49,_xlpm.R,$B$48,_xlpm.Start,$B$47,_xlpm.PlanWD,AL95,_xlpm.PlanRoth,AM95,_xlpm.PlanConv,AN95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997386.80636768113</v>
      </c>
      <c r="AR95" cm="1">
        <f t="array" ref="AR95">_xlfn.LET(_xlpm.N,$B$49,_xlpm.R,$B$48,_xlpm.Start,$B$47,_xlpm.PlanWD,AL95,_xlpm.PlanRoth,AM95,_xlpm.PlanConv,AN95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1217521.0700058746</v>
      </c>
      <c r="AS95">
        <f>--AND(AK95&lt;=SUM('Retirement Gap'!$B$24:$B$25,'Retirement Gap'!$B$27),AL95+AN95&lt;=$B$47,AM95&lt;='Retirement Gap'!$B$29,ABS(AK95+AL95+AM95-$B$10)&lt;1)</f>
        <v>1</v>
      </c>
      <c r="AT95" cm="1">
        <f t="array" ref="AT95">IF(AS95=0,1E+99,_xlfn.SWITCH(LEFT($E$39,1),"1",AO95,"2",AP95*1000000000+AO95,"3",-AQ95,"4",AO95+AP95*25000+AR95*0.005-AQ95*0.0001,AO95))</f>
        <v>-997386.80636768113</v>
      </c>
    </row>
    <row r="96" spans="8:46" x14ac:dyDescent="0.55000000000000004">
      <c r="H96">
        <f t="shared" si="6"/>
        <v>35</v>
      </c>
      <c r="I96" t="str">
        <f>IF(H96&lt;=MAX(1,Inputs!$B$9-Inputs!$B$8),Inputs!$B$8+H96-1,"")</f>
        <v/>
      </c>
      <c r="J96" t="str">
        <f t="shared" si="7"/>
        <v/>
      </c>
      <c r="K96" t="str">
        <f>IF(I96="","",_xlfn.LET(_xlpm.OpenBal,IF(H96=1,$B$47,O95),_xlpm.Factor,_xlfn.XLOOKUP(I96,RMD!$A$21:$A$69,RMD!$B$21:$B$69,0),_xlpm.Req,IF(AND(I96&gt;=RMD!$B$9,_xlpm.Factor&gt;0),_xlpm.OpenBal/_xlpm.Factor,0),MAX($B$14,_xlpm.Req)))</f>
        <v/>
      </c>
      <c r="L96" t="str">
        <f t="shared" si="8"/>
        <v/>
      </c>
      <c r="M96" t="str">
        <f>IF(I96="","",_xlfn.LET(_xlpm.PT,K96,_xlpm.BR,L96,_xlpm.SS,J96,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f>
        <v/>
      </c>
      <c r="N96" t="str">
        <f>IF(I96="","",LOOKUP(_xlfn.LET(_xlpm.PT,K96,_xlpm.BR,L96,_xlpm.SS,J96,_xlpm.CG,_xlpm.BR*$B$46,_xlpm.Prov,_xlpm.PT+_xlpm.CG+_xlpm.SS*0.5,_xlpm.TSS,_xlpm.SS*IF(AND(Tax!$B$21&lt;=0,Tax!$B$22&lt;=0),IF(_xlpm.SS&gt;0,0.85,0),IF(_xlpm.Prov&lt;Tax!$B$21,0,IF(_xlpm.Prov&lt;Tax!$B$22,0.5,0.85))),_xlpm.PT+_xlpm.TSS+_xlpm.CG),IRMAA!$B$16:$B$21,IRMAA!$A$16:$A$21))</f>
        <v/>
      </c>
      <c r="O96" t="str">
        <f t="shared" si="9"/>
        <v/>
      </c>
      <c r="P96">
        <f t="shared" si="10"/>
        <v>35</v>
      </c>
      <c r="Q96" t="str">
        <f>IF(P96&lt;=MAX(1,Inputs!$B$9-Inputs!$B$8),Inputs!$B$8+P96-1,"")</f>
        <v/>
      </c>
      <c r="R96" t="str">
        <f t="shared" si="11"/>
        <v/>
      </c>
      <c r="S96" t="str">
        <f>IF(Q96="","",_xlfn.LET(_xlpm.OpenBal,IF(P96=1,$B$47,W95),_xlpm.Factor,_xlfn.XLOOKUP(Q96,RMD!$A$21:$A$69,RMD!$B$21:$B$69,0),_xlpm.Req,IF(AND(Q96&gt;=RMD!$B$9,_xlpm.Factor&gt;0),_xlpm.OpenBal/_xlpm.Factor,0),MAX($B$21,_xlpm.Req)))</f>
        <v/>
      </c>
      <c r="T96" t="str">
        <f t="shared" si="12"/>
        <v/>
      </c>
      <c r="U96" t="str">
        <f>IF(Q96="","",_xlfn.LET(_xlpm.PT,S96,_xlpm.BR,T96,_xlpm.SS,R96,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f>
        <v/>
      </c>
      <c r="V96" t="str">
        <f>IF(Q96="","",LOOKUP(_xlfn.LET(_xlpm.PT,S96,_xlpm.BR,T96,_xlpm.SS,R96,_xlpm.CG,_xlpm.BR*$B$46,_xlpm.Prov,_xlpm.PT+_xlpm.CG+_xlpm.SS*0.5,_xlpm.TSS,_xlpm.SS*IF(AND(Tax!$B$21&lt;=0,Tax!$B$22&lt;=0),IF(_xlpm.SS&gt;0,0.85,0),IF(_xlpm.Prov&lt;Tax!$B$21,0,IF(_xlpm.Prov&lt;Tax!$B$22,0.5,0.85))),_xlpm.PT+_xlpm.TSS+_xlpm.CG),IRMAA!$B$16:$B$21,IRMAA!$A$16:$A$21))</f>
        <v/>
      </c>
      <c r="W96" t="str">
        <f t="shared" si="13"/>
        <v/>
      </c>
      <c r="X96">
        <f t="shared" si="14"/>
        <v>35</v>
      </c>
      <c r="Y96" t="str">
        <f>IF(X96&lt;=MAX(1,Inputs!$B$9-Inputs!$B$8),Inputs!$B$8+X96-1,"")</f>
        <v/>
      </c>
      <c r="Z96" t="str">
        <f t="shared" si="15"/>
        <v/>
      </c>
      <c r="AA96" t="str">
        <f>IF(Y96="","",_xlfn.LET(_xlpm.OpenBal,IF(X96=1,$B$47,AE95),_xlpm.Factor,_xlfn.XLOOKUP(Y96,RMD!$A$21:$A$69,RMD!$B$21:$B$69,0),IF(AND(Y96&gt;=RMD!$B$9,_xlpm.Factor&gt;0),_xlpm.OpenBal/_xlpm.Factor,0)))</f>
        <v/>
      </c>
      <c r="AB96" t="str">
        <f t="shared" si="16"/>
        <v/>
      </c>
      <c r="AC96" t="str">
        <f>IF(Y96="","",_xlfn.LET(_xlpm.PT,AA96,_xlpm.BR,AB96,_xlpm.SS,Z96,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f>
        <v/>
      </c>
      <c r="AD96" t="str">
        <f>IF(Y96="","",LOOKUP(_xlfn.LET(_xlpm.PT,AA96,_xlpm.BR,AB96,_xlpm.SS,Z96,_xlpm.CG,_xlpm.BR*$B$46,_xlpm.Prov,_xlpm.PT+_xlpm.CG+_xlpm.SS*0.5,_xlpm.TSS,_xlpm.SS*IF(AND(Tax!$B$21&lt;=0,Tax!$B$22&lt;=0),IF(_xlpm.SS&gt;0,0.85,0),IF(_xlpm.Prov&lt;Tax!$B$21,0,IF(_xlpm.Prov&lt;Tax!$B$22,0.5,0.85))),_xlpm.PT+_xlpm.TSS+_xlpm.CG),IRMAA!$B$16:$B$21,IRMAA!$A$16:$A$21))</f>
        <v/>
      </c>
      <c r="AE96" t="str">
        <f t="shared" si="17"/>
        <v/>
      </c>
      <c r="AG96">
        <f t="shared" si="18"/>
        <v>95</v>
      </c>
      <c r="AH96">
        <f t="shared" si="19"/>
        <v>0.1</v>
      </c>
      <c r="AI96">
        <f t="shared" si="20"/>
        <v>0.4</v>
      </c>
      <c r="AJ96">
        <f t="shared" si="21"/>
        <v>0.8</v>
      </c>
      <c r="AK96">
        <f t="shared" si="22"/>
        <v>43819.321633416483</v>
      </c>
      <c r="AL96">
        <f t="shared" si="23"/>
        <v>6074.4000000000005</v>
      </c>
      <c r="AM96">
        <f>MIN(MAX(0,$B$10-AL96)*AI96,'Retirement Gap'!$B$29)</f>
        <v>10850.278366583516</v>
      </c>
      <c r="AN96">
        <f>IF($E$40="B - Withdrawals + Roth conversions",AJ96*MAX(0,MIN($B$47-AL96,MIN($B$59,IRMAA!$C$16)-(AL96+$B$8*0.85+AK96*$B$46))),0)</f>
        <v>0</v>
      </c>
      <c r="AO96" cm="1">
        <f t="array" ref="AO96">_xlfn.LET(_xlpm.N,$B$49,_xlpm.R,$B$48,_xlpm.Start,$B$47,_xlpm.PlanWD,AL96,_xlpm.PlanRoth,AM96,_xlpm.PlanConv,AN96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12121.000000000002</v>
      </c>
      <c r="AP96" cm="1">
        <f t="array" ref="AP96">_xlfn.LET(_xlpm.N,$B$49,_xlpm.R,$B$48,_xlpm.Start,$B$47,_xlpm.PlanWD,AL96,_xlpm.PlanRoth,AM96,_xlpm.PlanConv,AN96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96" cm="1">
        <f t="array" ref="AQ96">_xlfn.LET(_xlpm.N,$B$49,_xlpm.R,$B$48,_xlpm.Start,$B$47,_xlpm.PlanWD,AL96,_xlpm.PlanRoth,AM96,_xlpm.PlanConv,AN96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997386.80636768113</v>
      </c>
      <c r="AR96" cm="1">
        <f t="array" ref="AR96">_xlfn.LET(_xlpm.N,$B$49,_xlpm.R,$B$48,_xlpm.Start,$B$47,_xlpm.PlanWD,AL96,_xlpm.PlanRoth,AM96,_xlpm.PlanConv,AN96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1217521.0700058746</v>
      </c>
      <c r="AS96">
        <f>--AND(AK96&lt;=SUM('Retirement Gap'!$B$24:$B$25,'Retirement Gap'!$B$27),AL96+AN96&lt;=$B$47,AM96&lt;='Retirement Gap'!$B$29,ABS(AK96+AL96+AM96-$B$10)&lt;1)</f>
        <v>1</v>
      </c>
      <c r="AT96" cm="1">
        <f t="array" ref="AT96">IF(AS96=0,1E+99,_xlfn.SWITCH(LEFT($E$39,1),"1",AO96,"2",AP96*1000000000+AO96,"3",-AQ96,"4",AO96+AP96*25000+AR96*0.005-AQ96*0.0001,AO96))</f>
        <v>-997386.80636768113</v>
      </c>
    </row>
    <row r="97" spans="8:46" x14ac:dyDescent="0.55000000000000004">
      <c r="H97">
        <f t="shared" si="6"/>
        <v>36</v>
      </c>
      <c r="I97" t="str">
        <f>IF(H97&lt;=MAX(1,Inputs!$B$9-Inputs!$B$8),Inputs!$B$8+H97-1,"")</f>
        <v/>
      </c>
      <c r="J97" t="str">
        <f t="shared" si="7"/>
        <v/>
      </c>
      <c r="K97" t="str">
        <f>IF(I97="","",_xlfn.LET(_xlpm.OpenBal,IF(H97=1,$B$47,O96),_xlpm.Factor,_xlfn.XLOOKUP(I97,RMD!$A$21:$A$69,RMD!$B$21:$B$69,0),_xlpm.Req,IF(AND(I97&gt;=RMD!$B$9,_xlpm.Factor&gt;0),_xlpm.OpenBal/_xlpm.Factor,0),MAX($B$14,_xlpm.Req)))</f>
        <v/>
      </c>
      <c r="L97" t="str">
        <f t="shared" si="8"/>
        <v/>
      </c>
      <c r="M97" t="str">
        <f>IF(I97="","",_xlfn.LET(_xlpm.PT,K97,_xlpm.BR,L97,_xlpm.SS,J97,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f>
        <v/>
      </c>
      <c r="N97" t="str">
        <f>IF(I97="","",LOOKUP(_xlfn.LET(_xlpm.PT,K97,_xlpm.BR,L97,_xlpm.SS,J97,_xlpm.CG,_xlpm.BR*$B$46,_xlpm.Prov,_xlpm.PT+_xlpm.CG+_xlpm.SS*0.5,_xlpm.TSS,_xlpm.SS*IF(AND(Tax!$B$21&lt;=0,Tax!$B$22&lt;=0),IF(_xlpm.SS&gt;0,0.85,0),IF(_xlpm.Prov&lt;Tax!$B$21,0,IF(_xlpm.Prov&lt;Tax!$B$22,0.5,0.85))),_xlpm.PT+_xlpm.TSS+_xlpm.CG),IRMAA!$B$16:$B$21,IRMAA!$A$16:$A$21))</f>
        <v/>
      </c>
      <c r="O97" t="str">
        <f t="shared" si="9"/>
        <v/>
      </c>
      <c r="P97">
        <f t="shared" si="10"/>
        <v>36</v>
      </c>
      <c r="Q97" t="str">
        <f>IF(P97&lt;=MAX(1,Inputs!$B$9-Inputs!$B$8),Inputs!$B$8+P97-1,"")</f>
        <v/>
      </c>
      <c r="R97" t="str">
        <f t="shared" si="11"/>
        <v/>
      </c>
      <c r="S97" t="str">
        <f>IF(Q97="","",_xlfn.LET(_xlpm.OpenBal,IF(P97=1,$B$47,W96),_xlpm.Factor,_xlfn.XLOOKUP(Q97,RMD!$A$21:$A$69,RMD!$B$21:$B$69,0),_xlpm.Req,IF(AND(Q97&gt;=RMD!$B$9,_xlpm.Factor&gt;0),_xlpm.OpenBal/_xlpm.Factor,0),MAX($B$21,_xlpm.Req)))</f>
        <v/>
      </c>
      <c r="T97" t="str">
        <f t="shared" si="12"/>
        <v/>
      </c>
      <c r="U97" t="str">
        <f>IF(Q97="","",_xlfn.LET(_xlpm.PT,S97,_xlpm.BR,T97,_xlpm.SS,R97,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f>
        <v/>
      </c>
      <c r="V97" t="str">
        <f>IF(Q97="","",LOOKUP(_xlfn.LET(_xlpm.PT,S97,_xlpm.BR,T97,_xlpm.SS,R97,_xlpm.CG,_xlpm.BR*$B$46,_xlpm.Prov,_xlpm.PT+_xlpm.CG+_xlpm.SS*0.5,_xlpm.TSS,_xlpm.SS*IF(AND(Tax!$B$21&lt;=0,Tax!$B$22&lt;=0),IF(_xlpm.SS&gt;0,0.85,0),IF(_xlpm.Prov&lt;Tax!$B$21,0,IF(_xlpm.Prov&lt;Tax!$B$22,0.5,0.85))),_xlpm.PT+_xlpm.TSS+_xlpm.CG),IRMAA!$B$16:$B$21,IRMAA!$A$16:$A$21))</f>
        <v/>
      </c>
      <c r="W97" t="str">
        <f t="shared" si="13"/>
        <v/>
      </c>
      <c r="X97">
        <f t="shared" si="14"/>
        <v>36</v>
      </c>
      <c r="Y97" t="str">
        <f>IF(X97&lt;=MAX(1,Inputs!$B$9-Inputs!$B$8),Inputs!$B$8+X97-1,"")</f>
        <v/>
      </c>
      <c r="Z97" t="str">
        <f t="shared" si="15"/>
        <v/>
      </c>
      <c r="AA97" t="str">
        <f>IF(Y97="","",_xlfn.LET(_xlpm.OpenBal,IF(X97=1,$B$47,AE96),_xlpm.Factor,_xlfn.XLOOKUP(Y97,RMD!$A$21:$A$69,RMD!$B$21:$B$69,0),IF(AND(Y97&gt;=RMD!$B$9,_xlpm.Factor&gt;0),_xlpm.OpenBal/_xlpm.Factor,0)))</f>
        <v/>
      </c>
      <c r="AB97" t="str">
        <f t="shared" si="16"/>
        <v/>
      </c>
      <c r="AC97" t="str">
        <f>IF(Y97="","",_xlfn.LET(_xlpm.PT,AA97,_xlpm.BR,AB97,_xlpm.SS,Z97,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f>
        <v/>
      </c>
      <c r="AD97" t="str">
        <f>IF(Y97="","",LOOKUP(_xlfn.LET(_xlpm.PT,AA97,_xlpm.BR,AB97,_xlpm.SS,Z97,_xlpm.CG,_xlpm.BR*$B$46,_xlpm.Prov,_xlpm.PT+_xlpm.CG+_xlpm.SS*0.5,_xlpm.TSS,_xlpm.SS*IF(AND(Tax!$B$21&lt;=0,Tax!$B$22&lt;=0),IF(_xlpm.SS&gt;0,0.85,0),IF(_xlpm.Prov&lt;Tax!$B$21,0,IF(_xlpm.Prov&lt;Tax!$B$22,0.5,0.85))),_xlpm.PT+_xlpm.TSS+_xlpm.CG),IRMAA!$B$16:$B$21,IRMAA!$A$16:$A$21))</f>
        <v/>
      </c>
      <c r="AE97" t="str">
        <f t="shared" si="17"/>
        <v/>
      </c>
      <c r="AG97">
        <f t="shared" si="18"/>
        <v>96</v>
      </c>
      <c r="AH97">
        <f t="shared" si="19"/>
        <v>0.1</v>
      </c>
      <c r="AI97">
        <f t="shared" si="20"/>
        <v>0.4</v>
      </c>
      <c r="AJ97">
        <f t="shared" si="21"/>
        <v>1</v>
      </c>
      <c r="AK97">
        <f t="shared" si="22"/>
        <v>43819.321633416483</v>
      </c>
      <c r="AL97">
        <f t="shared" si="23"/>
        <v>6074.4000000000005</v>
      </c>
      <c r="AM97">
        <f>MIN(MAX(0,$B$10-AL97)*AI97,'Retirement Gap'!$B$29)</f>
        <v>10850.278366583516</v>
      </c>
      <c r="AN97">
        <f>IF($E$40="B - Withdrawals + Roth conversions",AJ97*MAX(0,MIN($B$47-AL97,MIN($B$59,IRMAA!$C$16)-(AL97+$B$8*0.85+AK97*$B$46))),0)</f>
        <v>0</v>
      </c>
      <c r="AO97" cm="1">
        <f t="array" ref="AO97">_xlfn.LET(_xlpm.N,$B$49,_xlpm.R,$B$48,_xlpm.Start,$B$47,_xlpm.PlanWD,AL97,_xlpm.PlanRoth,AM97,_xlpm.PlanConv,AN97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12121.000000000002</v>
      </c>
      <c r="AP97" cm="1">
        <f t="array" ref="AP97">_xlfn.LET(_xlpm.N,$B$49,_xlpm.R,$B$48,_xlpm.Start,$B$47,_xlpm.PlanWD,AL97,_xlpm.PlanRoth,AM97,_xlpm.PlanConv,AN97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97" cm="1">
        <f t="array" ref="AQ97">_xlfn.LET(_xlpm.N,$B$49,_xlpm.R,$B$48,_xlpm.Start,$B$47,_xlpm.PlanWD,AL97,_xlpm.PlanRoth,AM97,_xlpm.PlanConv,AN97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997386.80636768113</v>
      </c>
      <c r="AR97" cm="1">
        <f t="array" ref="AR97">_xlfn.LET(_xlpm.N,$B$49,_xlpm.R,$B$48,_xlpm.Start,$B$47,_xlpm.PlanWD,AL97,_xlpm.PlanRoth,AM97,_xlpm.PlanConv,AN97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1217521.0700058746</v>
      </c>
      <c r="AS97">
        <f>--AND(AK97&lt;=SUM('Retirement Gap'!$B$24:$B$25,'Retirement Gap'!$B$27),AL97+AN97&lt;=$B$47,AM97&lt;='Retirement Gap'!$B$29,ABS(AK97+AL97+AM97-$B$10)&lt;1)</f>
        <v>1</v>
      </c>
      <c r="AT97" cm="1">
        <f t="array" ref="AT97">IF(AS97=0,1E+99,_xlfn.SWITCH(LEFT($E$39,1),"1",AO97,"2",AP97*1000000000+AO97,"3",-AQ97,"4",AO97+AP97*25000+AR97*0.005-AQ97*0.0001,AO97))</f>
        <v>-997386.80636768113</v>
      </c>
    </row>
    <row r="98" spans="8:46" x14ac:dyDescent="0.55000000000000004">
      <c r="H98">
        <f t="shared" si="6"/>
        <v>37</v>
      </c>
      <c r="I98" t="str">
        <f>IF(H98&lt;=MAX(1,Inputs!$B$9-Inputs!$B$8),Inputs!$B$8+H98-1,"")</f>
        <v/>
      </c>
      <c r="J98" t="str">
        <f t="shared" si="7"/>
        <v/>
      </c>
      <c r="K98" t="str">
        <f>IF(I98="","",_xlfn.LET(_xlpm.OpenBal,IF(H98=1,$B$47,O97),_xlpm.Factor,_xlfn.XLOOKUP(I98,RMD!$A$21:$A$69,RMD!$B$21:$B$69,0),_xlpm.Req,IF(AND(I98&gt;=RMD!$B$9,_xlpm.Factor&gt;0),_xlpm.OpenBal/_xlpm.Factor,0),MAX($B$14,_xlpm.Req)))</f>
        <v/>
      </c>
      <c r="L98" t="str">
        <f t="shared" si="8"/>
        <v/>
      </c>
      <c r="M98" t="str">
        <f>IF(I98="","",_xlfn.LET(_xlpm.PT,K98,_xlpm.BR,L98,_xlpm.SS,J98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f>
        <v/>
      </c>
      <c r="N98" t="str">
        <f>IF(I98="","",LOOKUP(_xlfn.LET(_xlpm.PT,K98,_xlpm.BR,L98,_xlpm.SS,J98,_xlpm.CG,_xlpm.BR*$B$46,_xlpm.Prov,_xlpm.PT+_xlpm.CG+_xlpm.SS*0.5,_xlpm.TSS,_xlpm.SS*IF(AND(Tax!$B$21&lt;=0,Tax!$B$22&lt;=0),IF(_xlpm.SS&gt;0,0.85,0),IF(_xlpm.Prov&lt;Tax!$B$21,0,IF(_xlpm.Prov&lt;Tax!$B$22,0.5,0.85))),_xlpm.PT+_xlpm.TSS+_xlpm.CG),IRMAA!$B$16:$B$21,IRMAA!$A$16:$A$21))</f>
        <v/>
      </c>
      <c r="O98" t="str">
        <f t="shared" si="9"/>
        <v/>
      </c>
      <c r="P98">
        <f t="shared" si="10"/>
        <v>37</v>
      </c>
      <c r="Q98" t="str">
        <f>IF(P98&lt;=MAX(1,Inputs!$B$9-Inputs!$B$8),Inputs!$B$8+P98-1,"")</f>
        <v/>
      </c>
      <c r="R98" t="str">
        <f t="shared" si="11"/>
        <v/>
      </c>
      <c r="S98" t="str">
        <f>IF(Q98="","",_xlfn.LET(_xlpm.OpenBal,IF(P98=1,$B$47,W97),_xlpm.Factor,_xlfn.XLOOKUP(Q98,RMD!$A$21:$A$69,RMD!$B$21:$B$69,0),_xlpm.Req,IF(AND(Q98&gt;=RMD!$B$9,_xlpm.Factor&gt;0),_xlpm.OpenBal/_xlpm.Factor,0),MAX($B$21,_xlpm.Req)))</f>
        <v/>
      </c>
      <c r="T98" t="str">
        <f t="shared" si="12"/>
        <v/>
      </c>
      <c r="U98" t="str">
        <f>IF(Q98="","",_xlfn.LET(_xlpm.PT,S98,_xlpm.BR,T98,_xlpm.SS,R98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f>
        <v/>
      </c>
      <c r="V98" t="str">
        <f>IF(Q98="","",LOOKUP(_xlfn.LET(_xlpm.PT,S98,_xlpm.BR,T98,_xlpm.SS,R98,_xlpm.CG,_xlpm.BR*$B$46,_xlpm.Prov,_xlpm.PT+_xlpm.CG+_xlpm.SS*0.5,_xlpm.TSS,_xlpm.SS*IF(AND(Tax!$B$21&lt;=0,Tax!$B$22&lt;=0),IF(_xlpm.SS&gt;0,0.85,0),IF(_xlpm.Prov&lt;Tax!$B$21,0,IF(_xlpm.Prov&lt;Tax!$B$22,0.5,0.85))),_xlpm.PT+_xlpm.TSS+_xlpm.CG),IRMAA!$B$16:$B$21,IRMAA!$A$16:$A$21))</f>
        <v/>
      </c>
      <c r="W98" t="str">
        <f t="shared" si="13"/>
        <v/>
      </c>
      <c r="X98">
        <f t="shared" si="14"/>
        <v>37</v>
      </c>
      <c r="Y98" t="str">
        <f>IF(X98&lt;=MAX(1,Inputs!$B$9-Inputs!$B$8),Inputs!$B$8+X98-1,"")</f>
        <v/>
      </c>
      <c r="Z98" t="str">
        <f t="shared" si="15"/>
        <v/>
      </c>
      <c r="AA98" t="str">
        <f>IF(Y98="","",_xlfn.LET(_xlpm.OpenBal,IF(X98=1,$B$47,AE97),_xlpm.Factor,_xlfn.XLOOKUP(Y98,RMD!$A$21:$A$69,RMD!$B$21:$B$69,0),IF(AND(Y98&gt;=RMD!$B$9,_xlpm.Factor&gt;0),_xlpm.OpenBal/_xlpm.Factor,0)))</f>
        <v/>
      </c>
      <c r="AB98" t="str">
        <f t="shared" si="16"/>
        <v/>
      </c>
      <c r="AC98" t="str">
        <f>IF(Y98="","",_xlfn.LET(_xlpm.PT,AA98,_xlpm.BR,AB98,_xlpm.SS,Z98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f>
        <v/>
      </c>
      <c r="AD98" t="str">
        <f>IF(Y98="","",LOOKUP(_xlfn.LET(_xlpm.PT,AA98,_xlpm.BR,AB98,_xlpm.SS,Z98,_xlpm.CG,_xlpm.BR*$B$46,_xlpm.Prov,_xlpm.PT+_xlpm.CG+_xlpm.SS*0.5,_xlpm.TSS,_xlpm.SS*IF(AND(Tax!$B$21&lt;=0,Tax!$B$22&lt;=0),IF(_xlpm.SS&gt;0,0.85,0),IF(_xlpm.Prov&lt;Tax!$B$21,0,IF(_xlpm.Prov&lt;Tax!$B$22,0.5,0.85))),_xlpm.PT+_xlpm.TSS+_xlpm.CG),IRMAA!$B$16:$B$21,IRMAA!$A$16:$A$21))</f>
        <v/>
      </c>
      <c r="AE98" t="str">
        <f t="shared" si="17"/>
        <v/>
      </c>
      <c r="AG98">
        <f t="shared" si="18"/>
        <v>97</v>
      </c>
      <c r="AH98">
        <f t="shared" si="19"/>
        <v>0.1</v>
      </c>
      <c r="AI98">
        <f t="shared" si="20"/>
        <v>0.5</v>
      </c>
      <c r="AJ98">
        <f t="shared" si="21"/>
        <v>0</v>
      </c>
      <c r="AK98">
        <f t="shared" si="22"/>
        <v>43819.321633416483</v>
      </c>
      <c r="AL98">
        <f t="shared" si="23"/>
        <v>6074.4000000000005</v>
      </c>
      <c r="AM98">
        <f>MIN(MAX(0,$B$10-AL98)*AI98,'Retirement Gap'!$B$29)</f>
        <v>10850.278366583516</v>
      </c>
      <c r="AN98">
        <f>IF($E$40="B - Withdrawals + Roth conversions",AJ98*MAX(0,MIN($B$47-AL98,MIN($B$59,IRMAA!$C$16)-(AL98+$B$8*0.85+AK98*$B$46))),0)</f>
        <v>0</v>
      </c>
      <c r="AO98" cm="1">
        <f t="array" ref="AO98">_xlfn.LET(_xlpm.N,$B$49,_xlpm.R,$B$48,_xlpm.Start,$B$47,_xlpm.PlanWD,AL98,_xlpm.PlanRoth,AM98,_xlpm.PlanConv,AN98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12121.000000000002</v>
      </c>
      <c r="AP98" cm="1">
        <f t="array" ref="AP98">_xlfn.LET(_xlpm.N,$B$49,_xlpm.R,$B$48,_xlpm.Start,$B$47,_xlpm.PlanWD,AL98,_xlpm.PlanRoth,AM98,_xlpm.PlanConv,AN98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98" cm="1">
        <f t="array" ref="AQ98">_xlfn.LET(_xlpm.N,$B$49,_xlpm.R,$B$48,_xlpm.Start,$B$47,_xlpm.PlanWD,AL98,_xlpm.PlanRoth,AM98,_xlpm.PlanConv,AN98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997386.80636768113</v>
      </c>
      <c r="AR98" cm="1">
        <f t="array" ref="AR98">_xlfn.LET(_xlpm.N,$B$49,_xlpm.R,$B$48,_xlpm.Start,$B$47,_xlpm.PlanWD,AL98,_xlpm.PlanRoth,AM98,_xlpm.PlanConv,AN98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1217521.0700058746</v>
      </c>
      <c r="AS98">
        <f>--AND(AK98&lt;=SUM('Retirement Gap'!$B$24:$B$25,'Retirement Gap'!$B$27),AL98+AN98&lt;=$B$47,AM98&lt;='Retirement Gap'!$B$29,ABS(AK98+AL98+AM98-$B$10)&lt;1)</f>
        <v>1</v>
      </c>
      <c r="AT98" cm="1">
        <f t="array" ref="AT98">IF(AS98=0,1E+99,_xlfn.SWITCH(LEFT($E$39,1),"1",AO98,"2",AP98*1000000000+AO98,"3",-AQ98,"4",AO98+AP98*25000+AR98*0.005-AQ98*0.0001,AO98))</f>
        <v>-997386.80636768113</v>
      </c>
    </row>
    <row r="99" spans="8:46" x14ac:dyDescent="0.55000000000000004">
      <c r="H99">
        <f t="shared" si="6"/>
        <v>38</v>
      </c>
      <c r="I99" t="str">
        <f>IF(H99&lt;=MAX(1,Inputs!$B$9-Inputs!$B$8),Inputs!$B$8+H99-1,"")</f>
        <v/>
      </c>
      <c r="J99" t="str">
        <f t="shared" si="7"/>
        <v/>
      </c>
      <c r="K99" t="str">
        <f>IF(I99="","",_xlfn.LET(_xlpm.OpenBal,IF(H99=1,$B$47,O98),_xlpm.Factor,_xlfn.XLOOKUP(I99,RMD!$A$21:$A$69,RMD!$B$21:$B$69,0),_xlpm.Req,IF(AND(I99&gt;=RMD!$B$9,_xlpm.Factor&gt;0),_xlpm.OpenBal/_xlpm.Factor,0),MAX($B$14,_xlpm.Req)))</f>
        <v/>
      </c>
      <c r="L99" t="str">
        <f t="shared" si="8"/>
        <v/>
      </c>
      <c r="M99" t="str">
        <f>IF(I99="","",_xlfn.LET(_xlpm.PT,K99,_xlpm.BR,L99,_xlpm.SS,J99,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f>
        <v/>
      </c>
      <c r="N99" t="str">
        <f>IF(I99="","",LOOKUP(_xlfn.LET(_xlpm.PT,K99,_xlpm.BR,L99,_xlpm.SS,J99,_xlpm.CG,_xlpm.BR*$B$46,_xlpm.Prov,_xlpm.PT+_xlpm.CG+_xlpm.SS*0.5,_xlpm.TSS,_xlpm.SS*IF(AND(Tax!$B$21&lt;=0,Tax!$B$22&lt;=0),IF(_xlpm.SS&gt;0,0.85,0),IF(_xlpm.Prov&lt;Tax!$B$21,0,IF(_xlpm.Prov&lt;Tax!$B$22,0.5,0.85))),_xlpm.PT+_xlpm.TSS+_xlpm.CG),IRMAA!$B$16:$B$21,IRMAA!$A$16:$A$21))</f>
        <v/>
      </c>
      <c r="O99" t="str">
        <f t="shared" si="9"/>
        <v/>
      </c>
      <c r="P99">
        <f t="shared" si="10"/>
        <v>38</v>
      </c>
      <c r="Q99" t="str">
        <f>IF(P99&lt;=MAX(1,Inputs!$B$9-Inputs!$B$8),Inputs!$B$8+P99-1,"")</f>
        <v/>
      </c>
      <c r="R99" t="str">
        <f t="shared" si="11"/>
        <v/>
      </c>
      <c r="S99" t="str">
        <f>IF(Q99="","",_xlfn.LET(_xlpm.OpenBal,IF(P99=1,$B$47,W98),_xlpm.Factor,_xlfn.XLOOKUP(Q99,RMD!$A$21:$A$69,RMD!$B$21:$B$69,0),_xlpm.Req,IF(AND(Q99&gt;=RMD!$B$9,_xlpm.Factor&gt;0),_xlpm.OpenBal/_xlpm.Factor,0),MAX($B$21,_xlpm.Req)))</f>
        <v/>
      </c>
      <c r="T99" t="str">
        <f t="shared" si="12"/>
        <v/>
      </c>
      <c r="U99" t="str">
        <f>IF(Q99="","",_xlfn.LET(_xlpm.PT,S99,_xlpm.BR,T99,_xlpm.SS,R99,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f>
        <v/>
      </c>
      <c r="V99" t="str">
        <f>IF(Q99="","",LOOKUP(_xlfn.LET(_xlpm.PT,S99,_xlpm.BR,T99,_xlpm.SS,R99,_xlpm.CG,_xlpm.BR*$B$46,_xlpm.Prov,_xlpm.PT+_xlpm.CG+_xlpm.SS*0.5,_xlpm.TSS,_xlpm.SS*IF(AND(Tax!$B$21&lt;=0,Tax!$B$22&lt;=0),IF(_xlpm.SS&gt;0,0.85,0),IF(_xlpm.Prov&lt;Tax!$B$21,0,IF(_xlpm.Prov&lt;Tax!$B$22,0.5,0.85))),_xlpm.PT+_xlpm.TSS+_xlpm.CG),IRMAA!$B$16:$B$21,IRMAA!$A$16:$A$21))</f>
        <v/>
      </c>
      <c r="W99" t="str">
        <f t="shared" si="13"/>
        <v/>
      </c>
      <c r="X99">
        <f t="shared" si="14"/>
        <v>38</v>
      </c>
      <c r="Y99" t="str">
        <f>IF(X99&lt;=MAX(1,Inputs!$B$9-Inputs!$B$8),Inputs!$B$8+X99-1,"")</f>
        <v/>
      </c>
      <c r="Z99" t="str">
        <f t="shared" si="15"/>
        <v/>
      </c>
      <c r="AA99" t="str">
        <f>IF(Y99="","",_xlfn.LET(_xlpm.OpenBal,IF(X99=1,$B$47,AE98),_xlpm.Factor,_xlfn.XLOOKUP(Y99,RMD!$A$21:$A$69,RMD!$B$21:$B$69,0),IF(AND(Y99&gt;=RMD!$B$9,_xlpm.Factor&gt;0),_xlpm.OpenBal/_xlpm.Factor,0)))</f>
        <v/>
      </c>
      <c r="AB99" t="str">
        <f t="shared" si="16"/>
        <v/>
      </c>
      <c r="AC99" t="str">
        <f>IF(Y99="","",_xlfn.LET(_xlpm.PT,AA99,_xlpm.BR,AB99,_xlpm.SS,Z99,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f>
        <v/>
      </c>
      <c r="AD99" t="str">
        <f>IF(Y99="","",LOOKUP(_xlfn.LET(_xlpm.PT,AA99,_xlpm.BR,AB99,_xlpm.SS,Z99,_xlpm.CG,_xlpm.BR*$B$46,_xlpm.Prov,_xlpm.PT+_xlpm.CG+_xlpm.SS*0.5,_xlpm.TSS,_xlpm.SS*IF(AND(Tax!$B$21&lt;=0,Tax!$B$22&lt;=0),IF(_xlpm.SS&gt;0,0.85,0),IF(_xlpm.Prov&lt;Tax!$B$21,0,IF(_xlpm.Prov&lt;Tax!$B$22,0.5,0.85))),_xlpm.PT+_xlpm.TSS+_xlpm.CG),IRMAA!$B$16:$B$21,IRMAA!$A$16:$A$21))</f>
        <v/>
      </c>
      <c r="AE99" t="str">
        <f t="shared" si="17"/>
        <v/>
      </c>
      <c r="AG99">
        <f t="shared" si="18"/>
        <v>98</v>
      </c>
      <c r="AH99">
        <f t="shared" si="19"/>
        <v>0.1</v>
      </c>
      <c r="AI99">
        <f t="shared" si="20"/>
        <v>0.5</v>
      </c>
      <c r="AJ99">
        <f t="shared" si="21"/>
        <v>0.2</v>
      </c>
      <c r="AK99">
        <f t="shared" si="22"/>
        <v>43819.321633416483</v>
      </c>
      <c r="AL99">
        <f t="shared" si="23"/>
        <v>6074.4000000000005</v>
      </c>
      <c r="AM99">
        <f>MIN(MAX(0,$B$10-AL99)*AI99,'Retirement Gap'!$B$29)</f>
        <v>10850.278366583516</v>
      </c>
      <c r="AN99">
        <f>IF($E$40="B - Withdrawals + Roth conversions",AJ99*MAX(0,MIN($B$47-AL99,MIN($B$59,IRMAA!$C$16)-(AL99+$B$8*0.85+AK99*$B$46))),0)</f>
        <v>0</v>
      </c>
      <c r="AO99" cm="1">
        <f t="array" ref="AO99">_xlfn.LET(_xlpm.N,$B$49,_xlpm.R,$B$48,_xlpm.Start,$B$47,_xlpm.PlanWD,AL99,_xlpm.PlanRoth,AM99,_xlpm.PlanConv,AN99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12121.000000000002</v>
      </c>
      <c r="AP99" cm="1">
        <f t="array" ref="AP99">_xlfn.LET(_xlpm.N,$B$49,_xlpm.R,$B$48,_xlpm.Start,$B$47,_xlpm.PlanWD,AL99,_xlpm.PlanRoth,AM99,_xlpm.PlanConv,AN99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99" cm="1">
        <f t="array" ref="AQ99">_xlfn.LET(_xlpm.N,$B$49,_xlpm.R,$B$48,_xlpm.Start,$B$47,_xlpm.PlanWD,AL99,_xlpm.PlanRoth,AM99,_xlpm.PlanConv,AN99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997386.80636768113</v>
      </c>
      <c r="AR99" cm="1">
        <f t="array" ref="AR99">_xlfn.LET(_xlpm.N,$B$49,_xlpm.R,$B$48,_xlpm.Start,$B$47,_xlpm.PlanWD,AL99,_xlpm.PlanRoth,AM99,_xlpm.PlanConv,AN99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1217521.0700058746</v>
      </c>
      <c r="AS99">
        <f>--AND(AK99&lt;=SUM('Retirement Gap'!$B$24:$B$25,'Retirement Gap'!$B$27),AL99+AN99&lt;=$B$47,AM99&lt;='Retirement Gap'!$B$29,ABS(AK99+AL99+AM99-$B$10)&lt;1)</f>
        <v>1</v>
      </c>
      <c r="AT99" cm="1">
        <f t="array" ref="AT99">IF(AS99=0,1E+99,_xlfn.SWITCH(LEFT($E$39,1),"1",AO99,"2",AP99*1000000000+AO99,"3",-AQ99,"4",AO99+AP99*25000+AR99*0.005-AQ99*0.0001,AO99))</f>
        <v>-997386.80636768113</v>
      </c>
    </row>
    <row r="100" spans="8:46" x14ac:dyDescent="0.55000000000000004">
      <c r="H100">
        <f t="shared" si="6"/>
        <v>39</v>
      </c>
      <c r="I100" t="str">
        <f>IF(H100&lt;=MAX(1,Inputs!$B$9-Inputs!$B$8),Inputs!$B$8+H100-1,"")</f>
        <v/>
      </c>
      <c r="J100" t="str">
        <f t="shared" si="7"/>
        <v/>
      </c>
      <c r="K100" t="str">
        <f>IF(I100="","",_xlfn.LET(_xlpm.OpenBal,IF(H100=1,$B$47,O99),_xlpm.Factor,_xlfn.XLOOKUP(I100,RMD!$A$21:$A$69,RMD!$B$21:$B$69,0),_xlpm.Req,IF(AND(I100&gt;=RMD!$B$9,_xlpm.Factor&gt;0),_xlpm.OpenBal/_xlpm.Factor,0),MAX($B$14,_xlpm.Req)))</f>
        <v/>
      </c>
      <c r="L100" t="str">
        <f t="shared" si="8"/>
        <v/>
      </c>
      <c r="M100" t="str">
        <f>IF(I100="","",_xlfn.LET(_xlpm.PT,K100,_xlpm.BR,L100,_xlpm.SS,J100,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f>
        <v/>
      </c>
      <c r="N100" t="str">
        <f>IF(I100="","",LOOKUP(_xlfn.LET(_xlpm.PT,K100,_xlpm.BR,L100,_xlpm.SS,J100,_xlpm.CG,_xlpm.BR*$B$46,_xlpm.Prov,_xlpm.PT+_xlpm.CG+_xlpm.SS*0.5,_xlpm.TSS,_xlpm.SS*IF(AND(Tax!$B$21&lt;=0,Tax!$B$22&lt;=0),IF(_xlpm.SS&gt;0,0.85,0),IF(_xlpm.Prov&lt;Tax!$B$21,0,IF(_xlpm.Prov&lt;Tax!$B$22,0.5,0.85))),_xlpm.PT+_xlpm.TSS+_xlpm.CG),IRMAA!$B$16:$B$21,IRMAA!$A$16:$A$21))</f>
        <v/>
      </c>
      <c r="O100" t="str">
        <f t="shared" si="9"/>
        <v/>
      </c>
      <c r="P100">
        <f t="shared" si="10"/>
        <v>39</v>
      </c>
      <c r="Q100" t="str">
        <f>IF(P100&lt;=MAX(1,Inputs!$B$9-Inputs!$B$8),Inputs!$B$8+P100-1,"")</f>
        <v/>
      </c>
      <c r="R100" t="str">
        <f t="shared" si="11"/>
        <v/>
      </c>
      <c r="S100" t="str">
        <f>IF(Q100="","",_xlfn.LET(_xlpm.OpenBal,IF(P100=1,$B$47,W99),_xlpm.Factor,_xlfn.XLOOKUP(Q100,RMD!$A$21:$A$69,RMD!$B$21:$B$69,0),_xlpm.Req,IF(AND(Q100&gt;=RMD!$B$9,_xlpm.Factor&gt;0),_xlpm.OpenBal/_xlpm.Factor,0),MAX($B$21,_xlpm.Req)))</f>
        <v/>
      </c>
      <c r="T100" t="str">
        <f t="shared" si="12"/>
        <v/>
      </c>
      <c r="U100" t="str">
        <f>IF(Q100="","",_xlfn.LET(_xlpm.PT,S100,_xlpm.BR,T100,_xlpm.SS,R100,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f>
        <v/>
      </c>
      <c r="V100" t="str">
        <f>IF(Q100="","",LOOKUP(_xlfn.LET(_xlpm.PT,S100,_xlpm.BR,T100,_xlpm.SS,R100,_xlpm.CG,_xlpm.BR*$B$46,_xlpm.Prov,_xlpm.PT+_xlpm.CG+_xlpm.SS*0.5,_xlpm.TSS,_xlpm.SS*IF(AND(Tax!$B$21&lt;=0,Tax!$B$22&lt;=0),IF(_xlpm.SS&gt;0,0.85,0),IF(_xlpm.Prov&lt;Tax!$B$21,0,IF(_xlpm.Prov&lt;Tax!$B$22,0.5,0.85))),_xlpm.PT+_xlpm.TSS+_xlpm.CG),IRMAA!$B$16:$B$21,IRMAA!$A$16:$A$21))</f>
        <v/>
      </c>
      <c r="W100" t="str">
        <f t="shared" si="13"/>
        <v/>
      </c>
      <c r="X100">
        <f t="shared" si="14"/>
        <v>39</v>
      </c>
      <c r="Y100" t="str">
        <f>IF(X100&lt;=MAX(1,Inputs!$B$9-Inputs!$B$8),Inputs!$B$8+X100-1,"")</f>
        <v/>
      </c>
      <c r="Z100" t="str">
        <f t="shared" si="15"/>
        <v/>
      </c>
      <c r="AA100" t="str">
        <f>IF(Y100="","",_xlfn.LET(_xlpm.OpenBal,IF(X100=1,$B$47,AE99),_xlpm.Factor,_xlfn.XLOOKUP(Y100,RMD!$A$21:$A$69,RMD!$B$21:$B$69,0),IF(AND(Y100&gt;=RMD!$B$9,_xlpm.Factor&gt;0),_xlpm.OpenBal/_xlpm.Factor,0)))</f>
        <v/>
      </c>
      <c r="AB100" t="str">
        <f t="shared" si="16"/>
        <v/>
      </c>
      <c r="AC100" t="str">
        <f>IF(Y100="","",_xlfn.LET(_xlpm.PT,AA100,_xlpm.BR,AB100,_xlpm.SS,Z100,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f>
        <v/>
      </c>
      <c r="AD100" t="str">
        <f>IF(Y100="","",LOOKUP(_xlfn.LET(_xlpm.PT,AA100,_xlpm.BR,AB100,_xlpm.SS,Z100,_xlpm.CG,_xlpm.BR*$B$46,_xlpm.Prov,_xlpm.PT+_xlpm.CG+_xlpm.SS*0.5,_xlpm.TSS,_xlpm.SS*IF(AND(Tax!$B$21&lt;=0,Tax!$B$22&lt;=0),IF(_xlpm.SS&gt;0,0.85,0),IF(_xlpm.Prov&lt;Tax!$B$21,0,IF(_xlpm.Prov&lt;Tax!$B$22,0.5,0.85))),_xlpm.PT+_xlpm.TSS+_xlpm.CG),IRMAA!$B$16:$B$21,IRMAA!$A$16:$A$21))</f>
        <v/>
      </c>
      <c r="AE100" t="str">
        <f t="shared" si="17"/>
        <v/>
      </c>
      <c r="AG100">
        <f t="shared" si="18"/>
        <v>99</v>
      </c>
      <c r="AH100">
        <f t="shared" si="19"/>
        <v>0.1</v>
      </c>
      <c r="AI100">
        <f t="shared" si="20"/>
        <v>0.5</v>
      </c>
      <c r="AJ100">
        <f t="shared" si="21"/>
        <v>0.4</v>
      </c>
      <c r="AK100">
        <f t="shared" si="22"/>
        <v>43819.321633416483</v>
      </c>
      <c r="AL100">
        <f t="shared" si="23"/>
        <v>6074.4000000000005</v>
      </c>
      <c r="AM100">
        <f>MIN(MAX(0,$B$10-AL100)*AI100,'Retirement Gap'!$B$29)</f>
        <v>10850.278366583516</v>
      </c>
      <c r="AN100">
        <f>IF($E$40="B - Withdrawals + Roth conversions",AJ100*MAX(0,MIN($B$47-AL100,MIN($B$59,IRMAA!$C$16)-(AL100+$B$8*0.85+AK100*$B$46))),0)</f>
        <v>0</v>
      </c>
      <c r="AO100" cm="1">
        <f t="array" ref="AO100">_xlfn.LET(_xlpm.N,$B$49,_xlpm.R,$B$48,_xlpm.Start,$B$47,_xlpm.PlanWD,AL100,_xlpm.PlanRoth,AM100,_xlpm.PlanConv,AN100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12121.000000000002</v>
      </c>
      <c r="AP100" cm="1">
        <f t="array" ref="AP100">_xlfn.LET(_xlpm.N,$B$49,_xlpm.R,$B$48,_xlpm.Start,$B$47,_xlpm.PlanWD,AL100,_xlpm.PlanRoth,AM100,_xlpm.PlanConv,AN100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100" cm="1">
        <f t="array" ref="AQ100">_xlfn.LET(_xlpm.N,$B$49,_xlpm.R,$B$48,_xlpm.Start,$B$47,_xlpm.PlanWD,AL100,_xlpm.PlanRoth,AM100,_xlpm.PlanConv,AN100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997386.80636768113</v>
      </c>
      <c r="AR100" cm="1">
        <f t="array" ref="AR100">_xlfn.LET(_xlpm.N,$B$49,_xlpm.R,$B$48,_xlpm.Start,$B$47,_xlpm.PlanWD,AL100,_xlpm.PlanRoth,AM100,_xlpm.PlanConv,AN100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1217521.0700058746</v>
      </c>
      <c r="AS100">
        <f>--AND(AK100&lt;=SUM('Retirement Gap'!$B$24:$B$25,'Retirement Gap'!$B$27),AL100+AN100&lt;=$B$47,AM100&lt;='Retirement Gap'!$B$29,ABS(AK100+AL100+AM100-$B$10)&lt;1)</f>
        <v>1</v>
      </c>
      <c r="AT100" cm="1">
        <f t="array" ref="AT100">IF(AS100=0,1E+99,_xlfn.SWITCH(LEFT($E$39,1),"1",AO100,"2",AP100*1000000000+AO100,"3",-AQ100,"4",AO100+AP100*25000+AR100*0.005-AQ100*0.0001,AO100))</f>
        <v>-997386.80636768113</v>
      </c>
    </row>
    <row r="101" spans="8:46" x14ac:dyDescent="0.55000000000000004">
      <c r="H101">
        <f t="shared" si="6"/>
        <v>40</v>
      </c>
      <c r="I101" t="str">
        <f>IF(H101&lt;=MAX(1,Inputs!$B$9-Inputs!$B$8),Inputs!$B$8+H101-1,"")</f>
        <v/>
      </c>
      <c r="J101" t="str">
        <f t="shared" si="7"/>
        <v/>
      </c>
      <c r="K101" t="str">
        <f>IF(I101="","",_xlfn.LET(_xlpm.OpenBal,IF(H101=1,$B$47,O100),_xlpm.Factor,_xlfn.XLOOKUP(I101,RMD!$A$21:$A$69,RMD!$B$21:$B$69,0),_xlpm.Req,IF(AND(I101&gt;=RMD!$B$9,_xlpm.Factor&gt;0),_xlpm.OpenBal/_xlpm.Factor,0),MAX($B$14,_xlpm.Req)))</f>
        <v/>
      </c>
      <c r="L101" t="str">
        <f t="shared" si="8"/>
        <v/>
      </c>
      <c r="M101" t="str">
        <f>IF(I101="","",_xlfn.LET(_xlpm.PT,K101,_xlpm.BR,L101,_xlpm.SS,J101,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f>
        <v/>
      </c>
      <c r="N101" t="str">
        <f>IF(I101="","",LOOKUP(_xlfn.LET(_xlpm.PT,K101,_xlpm.BR,L101,_xlpm.SS,J101,_xlpm.CG,_xlpm.BR*$B$46,_xlpm.Prov,_xlpm.PT+_xlpm.CG+_xlpm.SS*0.5,_xlpm.TSS,_xlpm.SS*IF(AND(Tax!$B$21&lt;=0,Tax!$B$22&lt;=0),IF(_xlpm.SS&gt;0,0.85,0),IF(_xlpm.Prov&lt;Tax!$B$21,0,IF(_xlpm.Prov&lt;Tax!$B$22,0.5,0.85))),_xlpm.PT+_xlpm.TSS+_xlpm.CG),IRMAA!$B$16:$B$21,IRMAA!$A$16:$A$21))</f>
        <v/>
      </c>
      <c r="O101" t="str">
        <f t="shared" si="9"/>
        <v/>
      </c>
      <c r="P101">
        <f t="shared" si="10"/>
        <v>40</v>
      </c>
      <c r="Q101" t="str">
        <f>IF(P101&lt;=MAX(1,Inputs!$B$9-Inputs!$B$8),Inputs!$B$8+P101-1,"")</f>
        <v/>
      </c>
      <c r="R101" t="str">
        <f t="shared" si="11"/>
        <v/>
      </c>
      <c r="S101" t="str">
        <f>IF(Q101="","",_xlfn.LET(_xlpm.OpenBal,IF(P101=1,$B$47,W100),_xlpm.Factor,_xlfn.XLOOKUP(Q101,RMD!$A$21:$A$69,RMD!$B$21:$B$69,0),_xlpm.Req,IF(AND(Q101&gt;=RMD!$B$9,_xlpm.Factor&gt;0),_xlpm.OpenBal/_xlpm.Factor,0),MAX($B$21,_xlpm.Req)))</f>
        <v/>
      </c>
      <c r="T101" t="str">
        <f t="shared" si="12"/>
        <v/>
      </c>
      <c r="U101" t="str">
        <f>IF(Q101="","",_xlfn.LET(_xlpm.PT,S101,_xlpm.BR,T101,_xlpm.SS,R101,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f>
        <v/>
      </c>
      <c r="V101" t="str">
        <f>IF(Q101="","",LOOKUP(_xlfn.LET(_xlpm.PT,S101,_xlpm.BR,T101,_xlpm.SS,R101,_xlpm.CG,_xlpm.BR*$B$46,_xlpm.Prov,_xlpm.PT+_xlpm.CG+_xlpm.SS*0.5,_xlpm.TSS,_xlpm.SS*IF(AND(Tax!$B$21&lt;=0,Tax!$B$22&lt;=0),IF(_xlpm.SS&gt;0,0.85,0),IF(_xlpm.Prov&lt;Tax!$B$21,0,IF(_xlpm.Prov&lt;Tax!$B$22,0.5,0.85))),_xlpm.PT+_xlpm.TSS+_xlpm.CG),IRMAA!$B$16:$B$21,IRMAA!$A$16:$A$21))</f>
        <v/>
      </c>
      <c r="W101" t="str">
        <f t="shared" si="13"/>
        <v/>
      </c>
      <c r="X101">
        <f t="shared" si="14"/>
        <v>40</v>
      </c>
      <c r="Y101" t="str">
        <f>IF(X101&lt;=MAX(1,Inputs!$B$9-Inputs!$B$8),Inputs!$B$8+X101-1,"")</f>
        <v/>
      </c>
      <c r="Z101" t="str">
        <f t="shared" si="15"/>
        <v/>
      </c>
      <c r="AA101" t="str">
        <f>IF(Y101="","",_xlfn.LET(_xlpm.OpenBal,IF(X101=1,$B$47,AE100),_xlpm.Factor,_xlfn.XLOOKUP(Y101,RMD!$A$21:$A$69,RMD!$B$21:$B$69,0),IF(AND(Y101&gt;=RMD!$B$9,_xlpm.Factor&gt;0),_xlpm.OpenBal/_xlpm.Factor,0)))</f>
        <v/>
      </c>
      <c r="AB101" t="str">
        <f t="shared" si="16"/>
        <v/>
      </c>
      <c r="AC101" t="str">
        <f>IF(Y101="","",_xlfn.LET(_xlpm.PT,AA101,_xlpm.BR,AB101,_xlpm.SS,Z101,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f>
        <v/>
      </c>
      <c r="AD101" t="str">
        <f>IF(Y101="","",LOOKUP(_xlfn.LET(_xlpm.PT,AA101,_xlpm.BR,AB101,_xlpm.SS,Z101,_xlpm.CG,_xlpm.BR*$B$46,_xlpm.Prov,_xlpm.PT+_xlpm.CG+_xlpm.SS*0.5,_xlpm.TSS,_xlpm.SS*IF(AND(Tax!$B$21&lt;=0,Tax!$B$22&lt;=0),IF(_xlpm.SS&gt;0,0.85,0),IF(_xlpm.Prov&lt;Tax!$B$21,0,IF(_xlpm.Prov&lt;Tax!$B$22,0.5,0.85))),_xlpm.PT+_xlpm.TSS+_xlpm.CG),IRMAA!$B$16:$B$21,IRMAA!$A$16:$A$21))</f>
        <v/>
      </c>
      <c r="AE101" t="str">
        <f t="shared" si="17"/>
        <v/>
      </c>
      <c r="AG101">
        <f t="shared" si="18"/>
        <v>100</v>
      </c>
      <c r="AH101">
        <f t="shared" si="19"/>
        <v>0.1</v>
      </c>
      <c r="AI101">
        <f t="shared" si="20"/>
        <v>0.5</v>
      </c>
      <c r="AJ101">
        <f t="shared" si="21"/>
        <v>0.6</v>
      </c>
      <c r="AK101">
        <f t="shared" si="22"/>
        <v>43819.321633416483</v>
      </c>
      <c r="AL101">
        <f t="shared" si="23"/>
        <v>6074.4000000000005</v>
      </c>
      <c r="AM101">
        <f>MIN(MAX(0,$B$10-AL101)*AI101,'Retirement Gap'!$B$29)</f>
        <v>10850.278366583516</v>
      </c>
      <c r="AN101">
        <f>IF($E$40="B - Withdrawals + Roth conversions",AJ101*MAX(0,MIN($B$47-AL101,MIN($B$59,IRMAA!$C$16)-(AL101+$B$8*0.85+AK101*$B$46))),0)</f>
        <v>0</v>
      </c>
      <c r="AO101" cm="1">
        <f t="array" ref="AO101">_xlfn.LET(_xlpm.N,$B$49,_xlpm.R,$B$48,_xlpm.Start,$B$47,_xlpm.PlanWD,AL101,_xlpm.PlanRoth,AM101,_xlpm.PlanConv,AN101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12121.000000000002</v>
      </c>
      <c r="AP101" cm="1">
        <f t="array" ref="AP101">_xlfn.LET(_xlpm.N,$B$49,_xlpm.R,$B$48,_xlpm.Start,$B$47,_xlpm.PlanWD,AL101,_xlpm.PlanRoth,AM101,_xlpm.PlanConv,AN101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101" cm="1">
        <f t="array" ref="AQ101">_xlfn.LET(_xlpm.N,$B$49,_xlpm.R,$B$48,_xlpm.Start,$B$47,_xlpm.PlanWD,AL101,_xlpm.PlanRoth,AM101,_xlpm.PlanConv,AN101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997386.80636768113</v>
      </c>
      <c r="AR101" cm="1">
        <f t="array" ref="AR101">_xlfn.LET(_xlpm.N,$B$49,_xlpm.R,$B$48,_xlpm.Start,$B$47,_xlpm.PlanWD,AL101,_xlpm.PlanRoth,AM101,_xlpm.PlanConv,AN101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1217521.0700058746</v>
      </c>
      <c r="AS101">
        <f>--AND(AK101&lt;=SUM('Retirement Gap'!$B$24:$B$25,'Retirement Gap'!$B$27),AL101+AN101&lt;=$B$47,AM101&lt;='Retirement Gap'!$B$29,ABS(AK101+AL101+AM101-$B$10)&lt;1)</f>
        <v>1</v>
      </c>
      <c r="AT101" cm="1">
        <f t="array" ref="AT101">IF(AS101=0,1E+99,_xlfn.SWITCH(LEFT($E$39,1),"1",AO101,"2",AP101*1000000000+AO101,"3",-AQ101,"4",AO101+AP101*25000+AR101*0.005-AQ101*0.0001,AO101))</f>
        <v>-997386.80636768113</v>
      </c>
    </row>
    <row r="102" spans="8:46" x14ac:dyDescent="0.55000000000000004">
      <c r="AG102">
        <f t="shared" si="18"/>
        <v>101</v>
      </c>
      <c r="AH102">
        <f t="shared" si="19"/>
        <v>0.1</v>
      </c>
      <c r="AI102">
        <f t="shared" si="20"/>
        <v>0.5</v>
      </c>
      <c r="AJ102">
        <f t="shared" si="21"/>
        <v>0.8</v>
      </c>
      <c r="AK102">
        <f t="shared" si="22"/>
        <v>43819.321633416483</v>
      </c>
      <c r="AL102">
        <f t="shared" si="23"/>
        <v>6074.4000000000005</v>
      </c>
      <c r="AM102">
        <f>MIN(MAX(0,$B$10-AL102)*AI102,'Retirement Gap'!$B$29)</f>
        <v>10850.278366583516</v>
      </c>
      <c r="AN102">
        <f>IF($E$40="B - Withdrawals + Roth conversions",AJ102*MAX(0,MIN($B$47-AL102,MIN($B$59,IRMAA!$C$16)-(AL102+$B$8*0.85+AK102*$B$46))),0)</f>
        <v>0</v>
      </c>
      <c r="AO102" cm="1">
        <f t="array" ref="AO102">_xlfn.LET(_xlpm.N,$B$49,_xlpm.R,$B$48,_xlpm.Start,$B$47,_xlpm.PlanWD,AL102,_xlpm.PlanRoth,AM102,_xlpm.PlanConv,AN102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12121.000000000002</v>
      </c>
      <c r="AP102" cm="1">
        <f t="array" ref="AP102">_xlfn.LET(_xlpm.N,$B$49,_xlpm.R,$B$48,_xlpm.Start,$B$47,_xlpm.PlanWD,AL102,_xlpm.PlanRoth,AM102,_xlpm.PlanConv,AN102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102" cm="1">
        <f t="array" ref="AQ102">_xlfn.LET(_xlpm.N,$B$49,_xlpm.R,$B$48,_xlpm.Start,$B$47,_xlpm.PlanWD,AL102,_xlpm.PlanRoth,AM102,_xlpm.PlanConv,AN102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997386.80636768113</v>
      </c>
      <c r="AR102" cm="1">
        <f t="array" ref="AR102">_xlfn.LET(_xlpm.N,$B$49,_xlpm.R,$B$48,_xlpm.Start,$B$47,_xlpm.PlanWD,AL102,_xlpm.PlanRoth,AM102,_xlpm.PlanConv,AN102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1217521.0700058746</v>
      </c>
      <c r="AS102">
        <f>--AND(AK102&lt;=SUM('Retirement Gap'!$B$24:$B$25,'Retirement Gap'!$B$27),AL102+AN102&lt;=$B$47,AM102&lt;='Retirement Gap'!$B$29,ABS(AK102+AL102+AM102-$B$10)&lt;1)</f>
        <v>1</v>
      </c>
      <c r="AT102" cm="1">
        <f t="array" ref="AT102">IF(AS102=0,1E+99,_xlfn.SWITCH(LEFT($E$39,1),"1",AO102,"2",AP102*1000000000+AO102,"3",-AQ102,"4",AO102+AP102*25000+AR102*0.005-AQ102*0.0001,AO102))</f>
        <v>-997386.80636768113</v>
      </c>
    </row>
    <row r="103" spans="8:46" x14ac:dyDescent="0.55000000000000004">
      <c r="AG103">
        <f t="shared" si="18"/>
        <v>102</v>
      </c>
      <c r="AH103">
        <f t="shared" si="19"/>
        <v>0.1</v>
      </c>
      <c r="AI103">
        <f t="shared" si="20"/>
        <v>0.5</v>
      </c>
      <c r="AJ103">
        <f t="shared" si="21"/>
        <v>1</v>
      </c>
      <c r="AK103">
        <f t="shared" si="22"/>
        <v>43819.321633416483</v>
      </c>
      <c r="AL103">
        <f t="shared" si="23"/>
        <v>6074.4000000000005</v>
      </c>
      <c r="AM103">
        <f>MIN(MAX(0,$B$10-AL103)*AI103,'Retirement Gap'!$B$29)</f>
        <v>10850.278366583516</v>
      </c>
      <c r="AN103">
        <f>IF($E$40="B - Withdrawals + Roth conversions",AJ103*MAX(0,MIN($B$47-AL103,MIN($B$59,IRMAA!$C$16)-(AL103+$B$8*0.85+AK103*$B$46))),0)</f>
        <v>0</v>
      </c>
      <c r="AO103" cm="1">
        <f t="array" ref="AO103">_xlfn.LET(_xlpm.N,$B$49,_xlpm.R,$B$48,_xlpm.Start,$B$47,_xlpm.PlanWD,AL103,_xlpm.PlanRoth,AM103,_xlpm.PlanConv,AN103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12121.000000000002</v>
      </c>
      <c r="AP103" cm="1">
        <f t="array" ref="AP103">_xlfn.LET(_xlpm.N,$B$49,_xlpm.R,$B$48,_xlpm.Start,$B$47,_xlpm.PlanWD,AL103,_xlpm.PlanRoth,AM103,_xlpm.PlanConv,AN103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103" cm="1">
        <f t="array" ref="AQ103">_xlfn.LET(_xlpm.N,$B$49,_xlpm.R,$B$48,_xlpm.Start,$B$47,_xlpm.PlanWD,AL103,_xlpm.PlanRoth,AM103,_xlpm.PlanConv,AN103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997386.80636768113</v>
      </c>
      <c r="AR103" cm="1">
        <f t="array" ref="AR103">_xlfn.LET(_xlpm.N,$B$49,_xlpm.R,$B$48,_xlpm.Start,$B$47,_xlpm.PlanWD,AL103,_xlpm.PlanRoth,AM103,_xlpm.PlanConv,AN103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1217521.0700058746</v>
      </c>
      <c r="AS103">
        <f>--AND(AK103&lt;=SUM('Retirement Gap'!$B$24:$B$25,'Retirement Gap'!$B$27),AL103+AN103&lt;=$B$47,AM103&lt;='Retirement Gap'!$B$29,ABS(AK103+AL103+AM103-$B$10)&lt;1)</f>
        <v>1</v>
      </c>
      <c r="AT103" cm="1">
        <f t="array" ref="AT103">IF(AS103=0,1E+99,_xlfn.SWITCH(LEFT($E$39,1),"1",AO103,"2",AP103*1000000000+AO103,"3",-AQ103,"4",AO103+AP103*25000+AR103*0.005-AQ103*0.0001,AO103))</f>
        <v>-997386.80636768113</v>
      </c>
    </row>
    <row r="104" spans="8:46" x14ac:dyDescent="0.55000000000000004">
      <c r="AG104">
        <f t="shared" si="18"/>
        <v>103</v>
      </c>
      <c r="AH104">
        <f t="shared" si="19"/>
        <v>0.1</v>
      </c>
      <c r="AI104">
        <f t="shared" si="20"/>
        <v>0.6</v>
      </c>
      <c r="AJ104">
        <f t="shared" si="21"/>
        <v>0</v>
      </c>
      <c r="AK104">
        <f t="shared" si="22"/>
        <v>43819.321633416483</v>
      </c>
      <c r="AL104">
        <f t="shared" si="23"/>
        <v>6074.4000000000005</v>
      </c>
      <c r="AM104">
        <f>MIN(MAX(0,$B$10-AL104)*AI104,'Retirement Gap'!$B$29)</f>
        <v>10850.278366583516</v>
      </c>
      <c r="AN104">
        <f>IF($E$40="B - Withdrawals + Roth conversions",AJ104*MAX(0,MIN($B$47-AL104,MIN($B$59,IRMAA!$C$16)-(AL104+$B$8*0.85+AK104*$B$46))),0)</f>
        <v>0</v>
      </c>
      <c r="AO104" cm="1">
        <f t="array" ref="AO104">_xlfn.LET(_xlpm.N,$B$49,_xlpm.R,$B$48,_xlpm.Start,$B$47,_xlpm.PlanWD,AL104,_xlpm.PlanRoth,AM104,_xlpm.PlanConv,AN104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12121.000000000002</v>
      </c>
      <c r="AP104" cm="1">
        <f t="array" ref="AP104">_xlfn.LET(_xlpm.N,$B$49,_xlpm.R,$B$48,_xlpm.Start,$B$47,_xlpm.PlanWD,AL104,_xlpm.PlanRoth,AM104,_xlpm.PlanConv,AN104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104" cm="1">
        <f t="array" ref="AQ104">_xlfn.LET(_xlpm.N,$B$49,_xlpm.R,$B$48,_xlpm.Start,$B$47,_xlpm.PlanWD,AL104,_xlpm.PlanRoth,AM104,_xlpm.PlanConv,AN104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997386.80636768113</v>
      </c>
      <c r="AR104" cm="1">
        <f t="array" ref="AR104">_xlfn.LET(_xlpm.N,$B$49,_xlpm.R,$B$48,_xlpm.Start,$B$47,_xlpm.PlanWD,AL104,_xlpm.PlanRoth,AM104,_xlpm.PlanConv,AN104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1217521.0700058746</v>
      </c>
      <c r="AS104">
        <f>--AND(AK104&lt;=SUM('Retirement Gap'!$B$24:$B$25,'Retirement Gap'!$B$27),AL104+AN104&lt;=$B$47,AM104&lt;='Retirement Gap'!$B$29,ABS(AK104+AL104+AM104-$B$10)&lt;1)</f>
        <v>1</v>
      </c>
      <c r="AT104" cm="1">
        <f t="array" ref="AT104">IF(AS104=0,1E+99,_xlfn.SWITCH(LEFT($E$39,1),"1",AO104,"2",AP104*1000000000+AO104,"3",-AQ104,"4",AO104+AP104*25000+AR104*0.005-AQ104*0.0001,AO104))</f>
        <v>-997386.80636768113</v>
      </c>
    </row>
    <row r="105" spans="8:46" x14ac:dyDescent="0.55000000000000004">
      <c r="AG105">
        <f t="shared" si="18"/>
        <v>104</v>
      </c>
      <c r="AH105">
        <f t="shared" si="19"/>
        <v>0.1</v>
      </c>
      <c r="AI105">
        <f t="shared" si="20"/>
        <v>0.6</v>
      </c>
      <c r="AJ105">
        <f t="shared" si="21"/>
        <v>0.2</v>
      </c>
      <c r="AK105">
        <f t="shared" si="22"/>
        <v>43819.321633416483</v>
      </c>
      <c r="AL105">
        <f t="shared" si="23"/>
        <v>6074.4000000000005</v>
      </c>
      <c r="AM105">
        <f>MIN(MAX(0,$B$10-AL105)*AI105,'Retirement Gap'!$B$29)</f>
        <v>10850.278366583516</v>
      </c>
      <c r="AN105">
        <f>IF($E$40="B - Withdrawals + Roth conversions",AJ105*MAX(0,MIN($B$47-AL105,MIN($B$59,IRMAA!$C$16)-(AL105+$B$8*0.85+AK105*$B$46))),0)</f>
        <v>0</v>
      </c>
      <c r="AO105" cm="1">
        <f t="array" ref="AO105">_xlfn.LET(_xlpm.N,$B$49,_xlpm.R,$B$48,_xlpm.Start,$B$47,_xlpm.PlanWD,AL105,_xlpm.PlanRoth,AM105,_xlpm.PlanConv,AN105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12121.000000000002</v>
      </c>
      <c r="AP105" cm="1">
        <f t="array" ref="AP105">_xlfn.LET(_xlpm.N,$B$49,_xlpm.R,$B$48,_xlpm.Start,$B$47,_xlpm.PlanWD,AL105,_xlpm.PlanRoth,AM105,_xlpm.PlanConv,AN105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105" cm="1">
        <f t="array" ref="AQ105">_xlfn.LET(_xlpm.N,$B$49,_xlpm.R,$B$48,_xlpm.Start,$B$47,_xlpm.PlanWD,AL105,_xlpm.PlanRoth,AM105,_xlpm.PlanConv,AN105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997386.80636768113</v>
      </c>
      <c r="AR105" cm="1">
        <f t="array" ref="AR105">_xlfn.LET(_xlpm.N,$B$49,_xlpm.R,$B$48,_xlpm.Start,$B$47,_xlpm.PlanWD,AL105,_xlpm.PlanRoth,AM105,_xlpm.PlanConv,AN105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1217521.0700058746</v>
      </c>
      <c r="AS105">
        <f>--AND(AK105&lt;=SUM('Retirement Gap'!$B$24:$B$25,'Retirement Gap'!$B$27),AL105+AN105&lt;=$B$47,AM105&lt;='Retirement Gap'!$B$29,ABS(AK105+AL105+AM105-$B$10)&lt;1)</f>
        <v>1</v>
      </c>
      <c r="AT105" cm="1">
        <f t="array" ref="AT105">IF(AS105=0,1E+99,_xlfn.SWITCH(LEFT($E$39,1),"1",AO105,"2",AP105*1000000000+AO105,"3",-AQ105,"4",AO105+AP105*25000+AR105*0.005-AQ105*0.0001,AO105))</f>
        <v>-997386.80636768113</v>
      </c>
    </row>
    <row r="106" spans="8:46" x14ac:dyDescent="0.55000000000000004">
      <c r="AG106">
        <f t="shared" si="18"/>
        <v>105</v>
      </c>
      <c r="AH106">
        <f t="shared" si="19"/>
        <v>0.1</v>
      </c>
      <c r="AI106">
        <f t="shared" si="20"/>
        <v>0.6</v>
      </c>
      <c r="AJ106">
        <f t="shared" si="21"/>
        <v>0.4</v>
      </c>
      <c r="AK106">
        <f t="shared" si="22"/>
        <v>43819.321633416483</v>
      </c>
      <c r="AL106">
        <f t="shared" si="23"/>
        <v>6074.4000000000005</v>
      </c>
      <c r="AM106">
        <f>MIN(MAX(0,$B$10-AL106)*AI106,'Retirement Gap'!$B$29)</f>
        <v>10850.278366583516</v>
      </c>
      <c r="AN106">
        <f>IF($E$40="B - Withdrawals + Roth conversions",AJ106*MAX(0,MIN($B$47-AL106,MIN($B$59,IRMAA!$C$16)-(AL106+$B$8*0.85+AK106*$B$46))),0)</f>
        <v>0</v>
      </c>
      <c r="AO106" cm="1">
        <f t="array" ref="AO106">_xlfn.LET(_xlpm.N,$B$49,_xlpm.R,$B$48,_xlpm.Start,$B$47,_xlpm.PlanWD,AL106,_xlpm.PlanRoth,AM106,_xlpm.PlanConv,AN106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12121.000000000002</v>
      </c>
      <c r="AP106" cm="1">
        <f t="array" ref="AP106">_xlfn.LET(_xlpm.N,$B$49,_xlpm.R,$B$48,_xlpm.Start,$B$47,_xlpm.PlanWD,AL106,_xlpm.PlanRoth,AM106,_xlpm.PlanConv,AN106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106" cm="1">
        <f t="array" ref="AQ106">_xlfn.LET(_xlpm.N,$B$49,_xlpm.R,$B$48,_xlpm.Start,$B$47,_xlpm.PlanWD,AL106,_xlpm.PlanRoth,AM106,_xlpm.PlanConv,AN106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997386.80636768113</v>
      </c>
      <c r="AR106" cm="1">
        <f t="array" ref="AR106">_xlfn.LET(_xlpm.N,$B$49,_xlpm.R,$B$48,_xlpm.Start,$B$47,_xlpm.PlanWD,AL106,_xlpm.PlanRoth,AM106,_xlpm.PlanConv,AN106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1217521.0700058746</v>
      </c>
      <c r="AS106">
        <f>--AND(AK106&lt;=SUM('Retirement Gap'!$B$24:$B$25,'Retirement Gap'!$B$27),AL106+AN106&lt;=$B$47,AM106&lt;='Retirement Gap'!$B$29,ABS(AK106+AL106+AM106-$B$10)&lt;1)</f>
        <v>1</v>
      </c>
      <c r="AT106" cm="1">
        <f t="array" ref="AT106">IF(AS106=0,1E+99,_xlfn.SWITCH(LEFT($E$39,1),"1",AO106,"2",AP106*1000000000+AO106,"3",-AQ106,"4",AO106+AP106*25000+AR106*0.005-AQ106*0.0001,AO106))</f>
        <v>-997386.80636768113</v>
      </c>
    </row>
    <row r="107" spans="8:46" x14ac:dyDescent="0.55000000000000004">
      <c r="AG107">
        <f t="shared" si="18"/>
        <v>106</v>
      </c>
      <c r="AH107">
        <f t="shared" si="19"/>
        <v>0.1</v>
      </c>
      <c r="AI107">
        <f t="shared" si="20"/>
        <v>0.6</v>
      </c>
      <c r="AJ107">
        <f t="shared" si="21"/>
        <v>0.6</v>
      </c>
      <c r="AK107">
        <f t="shared" si="22"/>
        <v>43819.321633416483</v>
      </c>
      <c r="AL107">
        <f t="shared" si="23"/>
        <v>6074.4000000000005</v>
      </c>
      <c r="AM107">
        <f>MIN(MAX(0,$B$10-AL107)*AI107,'Retirement Gap'!$B$29)</f>
        <v>10850.278366583516</v>
      </c>
      <c r="AN107">
        <f>IF($E$40="B - Withdrawals + Roth conversions",AJ107*MAX(0,MIN($B$47-AL107,MIN($B$59,IRMAA!$C$16)-(AL107+$B$8*0.85+AK107*$B$46))),0)</f>
        <v>0</v>
      </c>
      <c r="AO107" cm="1">
        <f t="array" ref="AO107">_xlfn.LET(_xlpm.N,$B$49,_xlpm.R,$B$48,_xlpm.Start,$B$47,_xlpm.PlanWD,AL107,_xlpm.PlanRoth,AM107,_xlpm.PlanConv,AN107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12121.000000000002</v>
      </c>
      <c r="AP107" cm="1">
        <f t="array" ref="AP107">_xlfn.LET(_xlpm.N,$B$49,_xlpm.R,$B$48,_xlpm.Start,$B$47,_xlpm.PlanWD,AL107,_xlpm.PlanRoth,AM107,_xlpm.PlanConv,AN107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107" cm="1">
        <f t="array" ref="AQ107">_xlfn.LET(_xlpm.N,$B$49,_xlpm.R,$B$48,_xlpm.Start,$B$47,_xlpm.PlanWD,AL107,_xlpm.PlanRoth,AM107,_xlpm.PlanConv,AN107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997386.80636768113</v>
      </c>
      <c r="AR107" cm="1">
        <f t="array" ref="AR107">_xlfn.LET(_xlpm.N,$B$49,_xlpm.R,$B$48,_xlpm.Start,$B$47,_xlpm.PlanWD,AL107,_xlpm.PlanRoth,AM107,_xlpm.PlanConv,AN107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1217521.0700058746</v>
      </c>
      <c r="AS107">
        <f>--AND(AK107&lt;=SUM('Retirement Gap'!$B$24:$B$25,'Retirement Gap'!$B$27),AL107+AN107&lt;=$B$47,AM107&lt;='Retirement Gap'!$B$29,ABS(AK107+AL107+AM107-$B$10)&lt;1)</f>
        <v>1</v>
      </c>
      <c r="AT107" cm="1">
        <f t="array" ref="AT107">IF(AS107=0,1E+99,_xlfn.SWITCH(LEFT($E$39,1),"1",AO107,"2",AP107*1000000000+AO107,"3",-AQ107,"4",AO107+AP107*25000+AR107*0.005-AQ107*0.0001,AO107))</f>
        <v>-997386.80636768113</v>
      </c>
    </row>
    <row r="108" spans="8:46" x14ac:dyDescent="0.55000000000000004">
      <c r="AG108">
        <f t="shared" si="18"/>
        <v>107</v>
      </c>
      <c r="AH108">
        <f t="shared" si="19"/>
        <v>0.1</v>
      </c>
      <c r="AI108">
        <f t="shared" si="20"/>
        <v>0.6</v>
      </c>
      <c r="AJ108">
        <f t="shared" si="21"/>
        <v>0.8</v>
      </c>
      <c r="AK108">
        <f t="shared" si="22"/>
        <v>43819.321633416483</v>
      </c>
      <c r="AL108">
        <f t="shared" si="23"/>
        <v>6074.4000000000005</v>
      </c>
      <c r="AM108">
        <f>MIN(MAX(0,$B$10-AL108)*AI108,'Retirement Gap'!$B$29)</f>
        <v>10850.278366583516</v>
      </c>
      <c r="AN108">
        <f>IF($E$40="B - Withdrawals + Roth conversions",AJ108*MAX(0,MIN($B$47-AL108,MIN($B$59,IRMAA!$C$16)-(AL108+$B$8*0.85+AK108*$B$46))),0)</f>
        <v>0</v>
      </c>
      <c r="AO108" cm="1">
        <f t="array" ref="AO108">_xlfn.LET(_xlpm.N,$B$49,_xlpm.R,$B$48,_xlpm.Start,$B$47,_xlpm.PlanWD,AL108,_xlpm.PlanRoth,AM108,_xlpm.PlanConv,AN108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12121.000000000002</v>
      </c>
      <c r="AP108" cm="1">
        <f t="array" ref="AP108">_xlfn.LET(_xlpm.N,$B$49,_xlpm.R,$B$48,_xlpm.Start,$B$47,_xlpm.PlanWD,AL108,_xlpm.PlanRoth,AM108,_xlpm.PlanConv,AN108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108" cm="1">
        <f t="array" ref="AQ108">_xlfn.LET(_xlpm.N,$B$49,_xlpm.R,$B$48,_xlpm.Start,$B$47,_xlpm.PlanWD,AL108,_xlpm.PlanRoth,AM108,_xlpm.PlanConv,AN108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997386.80636768113</v>
      </c>
      <c r="AR108" cm="1">
        <f t="array" ref="AR108">_xlfn.LET(_xlpm.N,$B$49,_xlpm.R,$B$48,_xlpm.Start,$B$47,_xlpm.PlanWD,AL108,_xlpm.PlanRoth,AM108,_xlpm.PlanConv,AN108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1217521.0700058746</v>
      </c>
      <c r="AS108">
        <f>--AND(AK108&lt;=SUM('Retirement Gap'!$B$24:$B$25,'Retirement Gap'!$B$27),AL108+AN108&lt;=$B$47,AM108&lt;='Retirement Gap'!$B$29,ABS(AK108+AL108+AM108-$B$10)&lt;1)</f>
        <v>1</v>
      </c>
      <c r="AT108" cm="1">
        <f t="array" ref="AT108">IF(AS108=0,1E+99,_xlfn.SWITCH(LEFT($E$39,1),"1",AO108,"2",AP108*1000000000+AO108,"3",-AQ108,"4",AO108+AP108*25000+AR108*0.005-AQ108*0.0001,AO108))</f>
        <v>-997386.80636768113</v>
      </c>
    </row>
    <row r="109" spans="8:46" x14ac:dyDescent="0.55000000000000004">
      <c r="AG109">
        <f t="shared" si="18"/>
        <v>108</v>
      </c>
      <c r="AH109">
        <f t="shared" si="19"/>
        <v>0.1</v>
      </c>
      <c r="AI109">
        <f t="shared" si="20"/>
        <v>0.6</v>
      </c>
      <c r="AJ109">
        <f t="shared" si="21"/>
        <v>1</v>
      </c>
      <c r="AK109">
        <f t="shared" si="22"/>
        <v>43819.321633416483</v>
      </c>
      <c r="AL109">
        <f t="shared" si="23"/>
        <v>6074.4000000000005</v>
      </c>
      <c r="AM109">
        <f>MIN(MAX(0,$B$10-AL109)*AI109,'Retirement Gap'!$B$29)</f>
        <v>10850.278366583516</v>
      </c>
      <c r="AN109">
        <f>IF($E$40="B - Withdrawals + Roth conversions",AJ109*MAX(0,MIN($B$47-AL109,MIN($B$59,IRMAA!$C$16)-(AL109+$B$8*0.85+AK109*$B$46))),0)</f>
        <v>0</v>
      </c>
      <c r="AO109" cm="1">
        <f t="array" ref="AO109">_xlfn.LET(_xlpm.N,$B$49,_xlpm.R,$B$48,_xlpm.Start,$B$47,_xlpm.PlanWD,AL109,_xlpm.PlanRoth,AM109,_xlpm.PlanConv,AN109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12121.000000000002</v>
      </c>
      <c r="AP109" cm="1">
        <f t="array" ref="AP109">_xlfn.LET(_xlpm.N,$B$49,_xlpm.R,$B$48,_xlpm.Start,$B$47,_xlpm.PlanWD,AL109,_xlpm.PlanRoth,AM109,_xlpm.PlanConv,AN109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109" cm="1">
        <f t="array" ref="AQ109">_xlfn.LET(_xlpm.N,$B$49,_xlpm.R,$B$48,_xlpm.Start,$B$47,_xlpm.PlanWD,AL109,_xlpm.PlanRoth,AM109,_xlpm.PlanConv,AN109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997386.80636768113</v>
      </c>
      <c r="AR109" cm="1">
        <f t="array" ref="AR109">_xlfn.LET(_xlpm.N,$B$49,_xlpm.R,$B$48,_xlpm.Start,$B$47,_xlpm.PlanWD,AL109,_xlpm.PlanRoth,AM109,_xlpm.PlanConv,AN109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1217521.0700058746</v>
      </c>
      <c r="AS109">
        <f>--AND(AK109&lt;=SUM('Retirement Gap'!$B$24:$B$25,'Retirement Gap'!$B$27),AL109+AN109&lt;=$B$47,AM109&lt;='Retirement Gap'!$B$29,ABS(AK109+AL109+AM109-$B$10)&lt;1)</f>
        <v>1</v>
      </c>
      <c r="AT109" cm="1">
        <f t="array" ref="AT109">IF(AS109=0,1E+99,_xlfn.SWITCH(LEFT($E$39,1),"1",AO109,"2",AP109*1000000000+AO109,"3",-AQ109,"4",AO109+AP109*25000+AR109*0.005-AQ109*0.0001,AO109))</f>
        <v>-997386.80636768113</v>
      </c>
    </row>
    <row r="110" spans="8:46" x14ac:dyDescent="0.55000000000000004">
      <c r="AG110">
        <f t="shared" si="18"/>
        <v>109</v>
      </c>
      <c r="AH110">
        <f t="shared" si="19"/>
        <v>0.1</v>
      </c>
      <c r="AI110">
        <f t="shared" si="20"/>
        <v>0.7</v>
      </c>
      <c r="AJ110">
        <f t="shared" si="21"/>
        <v>0</v>
      </c>
      <c r="AK110">
        <f t="shared" si="22"/>
        <v>43819.321633416483</v>
      </c>
      <c r="AL110">
        <f t="shared" si="23"/>
        <v>6074.4000000000005</v>
      </c>
      <c r="AM110">
        <f>MIN(MAX(0,$B$10-AL110)*AI110,'Retirement Gap'!$B$29)</f>
        <v>10850.278366583516</v>
      </c>
      <c r="AN110">
        <f>IF($E$40="B - Withdrawals + Roth conversions",AJ110*MAX(0,MIN($B$47-AL110,MIN($B$59,IRMAA!$C$16)-(AL110+$B$8*0.85+AK110*$B$46))),0)</f>
        <v>0</v>
      </c>
      <c r="AO110" cm="1">
        <f t="array" ref="AO110">_xlfn.LET(_xlpm.N,$B$49,_xlpm.R,$B$48,_xlpm.Start,$B$47,_xlpm.PlanWD,AL110,_xlpm.PlanRoth,AM110,_xlpm.PlanConv,AN110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12121.000000000002</v>
      </c>
      <c r="AP110" cm="1">
        <f t="array" ref="AP110">_xlfn.LET(_xlpm.N,$B$49,_xlpm.R,$B$48,_xlpm.Start,$B$47,_xlpm.PlanWD,AL110,_xlpm.PlanRoth,AM110,_xlpm.PlanConv,AN110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110" cm="1">
        <f t="array" ref="AQ110">_xlfn.LET(_xlpm.N,$B$49,_xlpm.R,$B$48,_xlpm.Start,$B$47,_xlpm.PlanWD,AL110,_xlpm.PlanRoth,AM110,_xlpm.PlanConv,AN110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997386.80636768113</v>
      </c>
      <c r="AR110" cm="1">
        <f t="array" ref="AR110">_xlfn.LET(_xlpm.N,$B$49,_xlpm.R,$B$48,_xlpm.Start,$B$47,_xlpm.PlanWD,AL110,_xlpm.PlanRoth,AM110,_xlpm.PlanConv,AN110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1217521.0700058746</v>
      </c>
      <c r="AS110">
        <f>--AND(AK110&lt;=SUM('Retirement Gap'!$B$24:$B$25,'Retirement Gap'!$B$27),AL110+AN110&lt;=$B$47,AM110&lt;='Retirement Gap'!$B$29,ABS(AK110+AL110+AM110-$B$10)&lt;1)</f>
        <v>1</v>
      </c>
      <c r="AT110" cm="1">
        <f t="array" ref="AT110">IF(AS110=0,1E+99,_xlfn.SWITCH(LEFT($E$39,1),"1",AO110,"2",AP110*1000000000+AO110,"3",-AQ110,"4",AO110+AP110*25000+AR110*0.005-AQ110*0.0001,AO110))</f>
        <v>-997386.80636768113</v>
      </c>
    </row>
    <row r="111" spans="8:46" x14ac:dyDescent="0.55000000000000004">
      <c r="AG111">
        <f t="shared" si="18"/>
        <v>110</v>
      </c>
      <c r="AH111">
        <f t="shared" si="19"/>
        <v>0.1</v>
      </c>
      <c r="AI111">
        <f t="shared" si="20"/>
        <v>0.7</v>
      </c>
      <c r="AJ111">
        <f t="shared" si="21"/>
        <v>0.2</v>
      </c>
      <c r="AK111">
        <f t="shared" si="22"/>
        <v>43819.321633416483</v>
      </c>
      <c r="AL111">
        <f t="shared" si="23"/>
        <v>6074.4000000000005</v>
      </c>
      <c r="AM111">
        <f>MIN(MAX(0,$B$10-AL111)*AI111,'Retirement Gap'!$B$29)</f>
        <v>10850.278366583516</v>
      </c>
      <c r="AN111">
        <f>IF($E$40="B - Withdrawals + Roth conversions",AJ111*MAX(0,MIN($B$47-AL111,MIN($B$59,IRMAA!$C$16)-(AL111+$B$8*0.85+AK111*$B$46))),0)</f>
        <v>0</v>
      </c>
      <c r="AO111" cm="1">
        <f t="array" ref="AO111">_xlfn.LET(_xlpm.N,$B$49,_xlpm.R,$B$48,_xlpm.Start,$B$47,_xlpm.PlanWD,AL111,_xlpm.PlanRoth,AM111,_xlpm.PlanConv,AN111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12121.000000000002</v>
      </c>
      <c r="AP111" cm="1">
        <f t="array" ref="AP111">_xlfn.LET(_xlpm.N,$B$49,_xlpm.R,$B$48,_xlpm.Start,$B$47,_xlpm.PlanWD,AL111,_xlpm.PlanRoth,AM111,_xlpm.PlanConv,AN111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111" cm="1">
        <f t="array" ref="AQ111">_xlfn.LET(_xlpm.N,$B$49,_xlpm.R,$B$48,_xlpm.Start,$B$47,_xlpm.PlanWD,AL111,_xlpm.PlanRoth,AM111,_xlpm.PlanConv,AN111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997386.80636768113</v>
      </c>
      <c r="AR111" cm="1">
        <f t="array" ref="AR111">_xlfn.LET(_xlpm.N,$B$49,_xlpm.R,$B$48,_xlpm.Start,$B$47,_xlpm.PlanWD,AL111,_xlpm.PlanRoth,AM111,_xlpm.PlanConv,AN111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1217521.0700058746</v>
      </c>
      <c r="AS111">
        <f>--AND(AK111&lt;=SUM('Retirement Gap'!$B$24:$B$25,'Retirement Gap'!$B$27),AL111+AN111&lt;=$B$47,AM111&lt;='Retirement Gap'!$B$29,ABS(AK111+AL111+AM111-$B$10)&lt;1)</f>
        <v>1</v>
      </c>
      <c r="AT111" cm="1">
        <f t="array" ref="AT111">IF(AS111=0,1E+99,_xlfn.SWITCH(LEFT($E$39,1),"1",AO111,"2",AP111*1000000000+AO111,"3",-AQ111,"4",AO111+AP111*25000+AR111*0.005-AQ111*0.0001,AO111))</f>
        <v>-997386.80636768113</v>
      </c>
    </row>
    <row r="112" spans="8:46" x14ac:dyDescent="0.55000000000000004">
      <c r="AG112">
        <f t="shared" si="18"/>
        <v>111</v>
      </c>
      <c r="AH112">
        <f t="shared" si="19"/>
        <v>0.1</v>
      </c>
      <c r="AI112">
        <f t="shared" si="20"/>
        <v>0.7</v>
      </c>
      <c r="AJ112">
        <f t="shared" si="21"/>
        <v>0.4</v>
      </c>
      <c r="AK112">
        <f t="shared" si="22"/>
        <v>43819.321633416483</v>
      </c>
      <c r="AL112">
        <f t="shared" si="23"/>
        <v>6074.4000000000005</v>
      </c>
      <c r="AM112">
        <f>MIN(MAX(0,$B$10-AL112)*AI112,'Retirement Gap'!$B$29)</f>
        <v>10850.278366583516</v>
      </c>
      <c r="AN112">
        <f>IF($E$40="B - Withdrawals + Roth conversions",AJ112*MAX(0,MIN($B$47-AL112,MIN($B$59,IRMAA!$C$16)-(AL112+$B$8*0.85+AK112*$B$46))),0)</f>
        <v>0</v>
      </c>
      <c r="AO112" cm="1">
        <f t="array" ref="AO112">_xlfn.LET(_xlpm.N,$B$49,_xlpm.R,$B$48,_xlpm.Start,$B$47,_xlpm.PlanWD,AL112,_xlpm.PlanRoth,AM112,_xlpm.PlanConv,AN112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12121.000000000002</v>
      </c>
      <c r="AP112" cm="1">
        <f t="array" ref="AP112">_xlfn.LET(_xlpm.N,$B$49,_xlpm.R,$B$48,_xlpm.Start,$B$47,_xlpm.PlanWD,AL112,_xlpm.PlanRoth,AM112,_xlpm.PlanConv,AN112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112" cm="1">
        <f t="array" ref="AQ112">_xlfn.LET(_xlpm.N,$B$49,_xlpm.R,$B$48,_xlpm.Start,$B$47,_xlpm.PlanWD,AL112,_xlpm.PlanRoth,AM112,_xlpm.PlanConv,AN112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997386.80636768113</v>
      </c>
      <c r="AR112" cm="1">
        <f t="array" ref="AR112">_xlfn.LET(_xlpm.N,$B$49,_xlpm.R,$B$48,_xlpm.Start,$B$47,_xlpm.PlanWD,AL112,_xlpm.PlanRoth,AM112,_xlpm.PlanConv,AN112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1217521.0700058746</v>
      </c>
      <c r="AS112">
        <f>--AND(AK112&lt;=SUM('Retirement Gap'!$B$24:$B$25,'Retirement Gap'!$B$27),AL112+AN112&lt;=$B$47,AM112&lt;='Retirement Gap'!$B$29,ABS(AK112+AL112+AM112-$B$10)&lt;1)</f>
        <v>1</v>
      </c>
      <c r="AT112" cm="1">
        <f t="array" ref="AT112">IF(AS112=0,1E+99,_xlfn.SWITCH(LEFT($E$39,1),"1",AO112,"2",AP112*1000000000+AO112,"3",-AQ112,"4",AO112+AP112*25000+AR112*0.005-AQ112*0.0001,AO112))</f>
        <v>-997386.80636768113</v>
      </c>
    </row>
    <row r="113" spans="33:46" x14ac:dyDescent="0.55000000000000004">
      <c r="AG113">
        <f t="shared" si="18"/>
        <v>112</v>
      </c>
      <c r="AH113">
        <f t="shared" si="19"/>
        <v>0.1</v>
      </c>
      <c r="AI113">
        <f t="shared" si="20"/>
        <v>0.7</v>
      </c>
      <c r="AJ113">
        <f t="shared" si="21"/>
        <v>0.6</v>
      </c>
      <c r="AK113">
        <f t="shared" si="22"/>
        <v>43819.321633416483</v>
      </c>
      <c r="AL113">
        <f t="shared" si="23"/>
        <v>6074.4000000000005</v>
      </c>
      <c r="AM113">
        <f>MIN(MAX(0,$B$10-AL113)*AI113,'Retirement Gap'!$B$29)</f>
        <v>10850.278366583516</v>
      </c>
      <c r="AN113">
        <f>IF($E$40="B - Withdrawals + Roth conversions",AJ113*MAX(0,MIN($B$47-AL113,MIN($B$59,IRMAA!$C$16)-(AL113+$B$8*0.85+AK113*$B$46))),0)</f>
        <v>0</v>
      </c>
      <c r="AO113" cm="1">
        <f t="array" ref="AO113">_xlfn.LET(_xlpm.N,$B$49,_xlpm.R,$B$48,_xlpm.Start,$B$47,_xlpm.PlanWD,AL113,_xlpm.PlanRoth,AM113,_xlpm.PlanConv,AN113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12121.000000000002</v>
      </c>
      <c r="AP113" cm="1">
        <f t="array" ref="AP113">_xlfn.LET(_xlpm.N,$B$49,_xlpm.R,$B$48,_xlpm.Start,$B$47,_xlpm.PlanWD,AL113,_xlpm.PlanRoth,AM113,_xlpm.PlanConv,AN113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113" cm="1">
        <f t="array" ref="AQ113">_xlfn.LET(_xlpm.N,$B$49,_xlpm.R,$B$48,_xlpm.Start,$B$47,_xlpm.PlanWD,AL113,_xlpm.PlanRoth,AM113,_xlpm.PlanConv,AN113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997386.80636768113</v>
      </c>
      <c r="AR113" cm="1">
        <f t="array" ref="AR113">_xlfn.LET(_xlpm.N,$B$49,_xlpm.R,$B$48,_xlpm.Start,$B$47,_xlpm.PlanWD,AL113,_xlpm.PlanRoth,AM113,_xlpm.PlanConv,AN113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1217521.0700058746</v>
      </c>
      <c r="AS113">
        <f>--AND(AK113&lt;=SUM('Retirement Gap'!$B$24:$B$25,'Retirement Gap'!$B$27),AL113+AN113&lt;=$B$47,AM113&lt;='Retirement Gap'!$B$29,ABS(AK113+AL113+AM113-$B$10)&lt;1)</f>
        <v>1</v>
      </c>
      <c r="AT113" cm="1">
        <f t="array" ref="AT113">IF(AS113=0,1E+99,_xlfn.SWITCH(LEFT($E$39,1),"1",AO113,"2",AP113*1000000000+AO113,"3",-AQ113,"4",AO113+AP113*25000+AR113*0.005-AQ113*0.0001,AO113))</f>
        <v>-997386.80636768113</v>
      </c>
    </row>
    <row r="114" spans="33:46" x14ac:dyDescent="0.55000000000000004">
      <c r="AG114">
        <f t="shared" si="18"/>
        <v>113</v>
      </c>
      <c r="AH114">
        <f t="shared" si="19"/>
        <v>0.1</v>
      </c>
      <c r="AI114">
        <f t="shared" si="20"/>
        <v>0.7</v>
      </c>
      <c r="AJ114">
        <f t="shared" si="21"/>
        <v>0.8</v>
      </c>
      <c r="AK114">
        <f t="shared" si="22"/>
        <v>43819.321633416483</v>
      </c>
      <c r="AL114">
        <f t="shared" si="23"/>
        <v>6074.4000000000005</v>
      </c>
      <c r="AM114">
        <f>MIN(MAX(0,$B$10-AL114)*AI114,'Retirement Gap'!$B$29)</f>
        <v>10850.278366583516</v>
      </c>
      <c r="AN114">
        <f>IF($E$40="B - Withdrawals + Roth conversions",AJ114*MAX(0,MIN($B$47-AL114,MIN($B$59,IRMAA!$C$16)-(AL114+$B$8*0.85+AK114*$B$46))),0)</f>
        <v>0</v>
      </c>
      <c r="AO114" cm="1">
        <f t="array" ref="AO114">_xlfn.LET(_xlpm.N,$B$49,_xlpm.R,$B$48,_xlpm.Start,$B$47,_xlpm.PlanWD,AL114,_xlpm.PlanRoth,AM114,_xlpm.PlanConv,AN114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12121.000000000002</v>
      </c>
      <c r="AP114" cm="1">
        <f t="array" ref="AP114">_xlfn.LET(_xlpm.N,$B$49,_xlpm.R,$B$48,_xlpm.Start,$B$47,_xlpm.PlanWD,AL114,_xlpm.PlanRoth,AM114,_xlpm.PlanConv,AN114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114" cm="1">
        <f t="array" ref="AQ114">_xlfn.LET(_xlpm.N,$B$49,_xlpm.R,$B$48,_xlpm.Start,$B$47,_xlpm.PlanWD,AL114,_xlpm.PlanRoth,AM114,_xlpm.PlanConv,AN114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997386.80636768113</v>
      </c>
      <c r="AR114" cm="1">
        <f t="array" ref="AR114">_xlfn.LET(_xlpm.N,$B$49,_xlpm.R,$B$48,_xlpm.Start,$B$47,_xlpm.PlanWD,AL114,_xlpm.PlanRoth,AM114,_xlpm.PlanConv,AN114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1217521.0700058746</v>
      </c>
      <c r="AS114">
        <f>--AND(AK114&lt;=SUM('Retirement Gap'!$B$24:$B$25,'Retirement Gap'!$B$27),AL114+AN114&lt;=$B$47,AM114&lt;='Retirement Gap'!$B$29,ABS(AK114+AL114+AM114-$B$10)&lt;1)</f>
        <v>1</v>
      </c>
      <c r="AT114" cm="1">
        <f t="array" ref="AT114">IF(AS114=0,1E+99,_xlfn.SWITCH(LEFT($E$39,1),"1",AO114,"2",AP114*1000000000+AO114,"3",-AQ114,"4",AO114+AP114*25000+AR114*0.005-AQ114*0.0001,AO114))</f>
        <v>-997386.80636768113</v>
      </c>
    </row>
    <row r="115" spans="33:46" x14ac:dyDescent="0.55000000000000004">
      <c r="AG115">
        <f t="shared" si="18"/>
        <v>114</v>
      </c>
      <c r="AH115">
        <f t="shared" si="19"/>
        <v>0.1</v>
      </c>
      <c r="AI115">
        <f t="shared" si="20"/>
        <v>0.7</v>
      </c>
      <c r="AJ115">
        <f t="shared" si="21"/>
        <v>1</v>
      </c>
      <c r="AK115">
        <f t="shared" si="22"/>
        <v>43819.321633416483</v>
      </c>
      <c r="AL115">
        <f t="shared" si="23"/>
        <v>6074.4000000000005</v>
      </c>
      <c r="AM115">
        <f>MIN(MAX(0,$B$10-AL115)*AI115,'Retirement Gap'!$B$29)</f>
        <v>10850.278366583516</v>
      </c>
      <c r="AN115">
        <f>IF($E$40="B - Withdrawals + Roth conversions",AJ115*MAX(0,MIN($B$47-AL115,MIN($B$59,IRMAA!$C$16)-(AL115+$B$8*0.85+AK115*$B$46))),0)</f>
        <v>0</v>
      </c>
      <c r="AO115" cm="1">
        <f t="array" ref="AO115">_xlfn.LET(_xlpm.N,$B$49,_xlpm.R,$B$48,_xlpm.Start,$B$47,_xlpm.PlanWD,AL115,_xlpm.PlanRoth,AM115,_xlpm.PlanConv,AN115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12121.000000000002</v>
      </c>
      <c r="AP115" cm="1">
        <f t="array" ref="AP115">_xlfn.LET(_xlpm.N,$B$49,_xlpm.R,$B$48,_xlpm.Start,$B$47,_xlpm.PlanWD,AL115,_xlpm.PlanRoth,AM115,_xlpm.PlanConv,AN115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115" cm="1">
        <f t="array" ref="AQ115">_xlfn.LET(_xlpm.N,$B$49,_xlpm.R,$B$48,_xlpm.Start,$B$47,_xlpm.PlanWD,AL115,_xlpm.PlanRoth,AM115,_xlpm.PlanConv,AN115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997386.80636768113</v>
      </c>
      <c r="AR115" cm="1">
        <f t="array" ref="AR115">_xlfn.LET(_xlpm.N,$B$49,_xlpm.R,$B$48,_xlpm.Start,$B$47,_xlpm.PlanWD,AL115,_xlpm.PlanRoth,AM115,_xlpm.PlanConv,AN115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1217521.0700058746</v>
      </c>
      <c r="AS115">
        <f>--AND(AK115&lt;=SUM('Retirement Gap'!$B$24:$B$25,'Retirement Gap'!$B$27),AL115+AN115&lt;=$B$47,AM115&lt;='Retirement Gap'!$B$29,ABS(AK115+AL115+AM115-$B$10)&lt;1)</f>
        <v>1</v>
      </c>
      <c r="AT115" cm="1">
        <f t="array" ref="AT115">IF(AS115=0,1E+99,_xlfn.SWITCH(LEFT($E$39,1),"1",AO115,"2",AP115*1000000000+AO115,"3",-AQ115,"4",AO115+AP115*25000+AR115*0.005-AQ115*0.0001,AO115))</f>
        <v>-997386.80636768113</v>
      </c>
    </row>
    <row r="116" spans="33:46" x14ac:dyDescent="0.55000000000000004">
      <c r="AG116">
        <f t="shared" si="18"/>
        <v>115</v>
      </c>
      <c r="AH116">
        <f t="shared" si="19"/>
        <v>0.1</v>
      </c>
      <c r="AI116">
        <f t="shared" si="20"/>
        <v>0.8</v>
      </c>
      <c r="AJ116">
        <f t="shared" si="21"/>
        <v>0</v>
      </c>
      <c r="AK116">
        <f t="shared" si="22"/>
        <v>43819.321633416483</v>
      </c>
      <c r="AL116">
        <f t="shared" si="23"/>
        <v>6074.4000000000005</v>
      </c>
      <c r="AM116">
        <f>MIN(MAX(0,$B$10-AL116)*AI116,'Retirement Gap'!$B$29)</f>
        <v>10850.278366583516</v>
      </c>
      <c r="AN116">
        <f>IF($E$40="B - Withdrawals + Roth conversions",AJ116*MAX(0,MIN($B$47-AL116,MIN($B$59,IRMAA!$C$16)-(AL116+$B$8*0.85+AK116*$B$46))),0)</f>
        <v>0</v>
      </c>
      <c r="AO116" cm="1">
        <f t="array" ref="AO116">_xlfn.LET(_xlpm.N,$B$49,_xlpm.R,$B$48,_xlpm.Start,$B$47,_xlpm.PlanWD,AL116,_xlpm.PlanRoth,AM116,_xlpm.PlanConv,AN116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12121.000000000002</v>
      </c>
      <c r="AP116" cm="1">
        <f t="array" ref="AP116">_xlfn.LET(_xlpm.N,$B$49,_xlpm.R,$B$48,_xlpm.Start,$B$47,_xlpm.PlanWD,AL116,_xlpm.PlanRoth,AM116,_xlpm.PlanConv,AN116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116" cm="1">
        <f t="array" ref="AQ116">_xlfn.LET(_xlpm.N,$B$49,_xlpm.R,$B$48,_xlpm.Start,$B$47,_xlpm.PlanWD,AL116,_xlpm.PlanRoth,AM116,_xlpm.PlanConv,AN116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997386.80636768113</v>
      </c>
      <c r="AR116" cm="1">
        <f t="array" ref="AR116">_xlfn.LET(_xlpm.N,$B$49,_xlpm.R,$B$48,_xlpm.Start,$B$47,_xlpm.PlanWD,AL116,_xlpm.PlanRoth,AM116,_xlpm.PlanConv,AN116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1217521.0700058746</v>
      </c>
      <c r="AS116">
        <f>--AND(AK116&lt;=SUM('Retirement Gap'!$B$24:$B$25,'Retirement Gap'!$B$27),AL116+AN116&lt;=$B$47,AM116&lt;='Retirement Gap'!$B$29,ABS(AK116+AL116+AM116-$B$10)&lt;1)</f>
        <v>1</v>
      </c>
      <c r="AT116" cm="1">
        <f t="array" ref="AT116">IF(AS116=0,1E+99,_xlfn.SWITCH(LEFT($E$39,1),"1",AO116,"2",AP116*1000000000+AO116,"3",-AQ116,"4",AO116+AP116*25000+AR116*0.005-AQ116*0.0001,AO116))</f>
        <v>-997386.80636768113</v>
      </c>
    </row>
    <row r="117" spans="33:46" x14ac:dyDescent="0.55000000000000004">
      <c r="AG117">
        <f t="shared" si="18"/>
        <v>116</v>
      </c>
      <c r="AH117">
        <f t="shared" si="19"/>
        <v>0.1</v>
      </c>
      <c r="AI117">
        <f t="shared" si="20"/>
        <v>0.8</v>
      </c>
      <c r="AJ117">
        <f t="shared" si="21"/>
        <v>0.2</v>
      </c>
      <c r="AK117">
        <f t="shared" si="22"/>
        <v>43819.321633416483</v>
      </c>
      <c r="AL117">
        <f t="shared" si="23"/>
        <v>6074.4000000000005</v>
      </c>
      <c r="AM117">
        <f>MIN(MAX(0,$B$10-AL117)*AI117,'Retirement Gap'!$B$29)</f>
        <v>10850.278366583516</v>
      </c>
      <c r="AN117">
        <f>IF($E$40="B - Withdrawals + Roth conversions",AJ117*MAX(0,MIN($B$47-AL117,MIN($B$59,IRMAA!$C$16)-(AL117+$B$8*0.85+AK117*$B$46))),0)</f>
        <v>0</v>
      </c>
      <c r="AO117" cm="1">
        <f t="array" ref="AO117">_xlfn.LET(_xlpm.N,$B$49,_xlpm.R,$B$48,_xlpm.Start,$B$47,_xlpm.PlanWD,AL117,_xlpm.PlanRoth,AM117,_xlpm.PlanConv,AN117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12121.000000000002</v>
      </c>
      <c r="AP117" cm="1">
        <f t="array" ref="AP117">_xlfn.LET(_xlpm.N,$B$49,_xlpm.R,$B$48,_xlpm.Start,$B$47,_xlpm.PlanWD,AL117,_xlpm.PlanRoth,AM117,_xlpm.PlanConv,AN117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117" cm="1">
        <f t="array" ref="AQ117">_xlfn.LET(_xlpm.N,$B$49,_xlpm.R,$B$48,_xlpm.Start,$B$47,_xlpm.PlanWD,AL117,_xlpm.PlanRoth,AM117,_xlpm.PlanConv,AN117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997386.80636768113</v>
      </c>
      <c r="AR117" cm="1">
        <f t="array" ref="AR117">_xlfn.LET(_xlpm.N,$B$49,_xlpm.R,$B$48,_xlpm.Start,$B$47,_xlpm.PlanWD,AL117,_xlpm.PlanRoth,AM117,_xlpm.PlanConv,AN117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1217521.0700058746</v>
      </c>
      <c r="AS117">
        <f>--AND(AK117&lt;=SUM('Retirement Gap'!$B$24:$B$25,'Retirement Gap'!$B$27),AL117+AN117&lt;=$B$47,AM117&lt;='Retirement Gap'!$B$29,ABS(AK117+AL117+AM117-$B$10)&lt;1)</f>
        <v>1</v>
      </c>
      <c r="AT117" cm="1">
        <f t="array" ref="AT117">IF(AS117=0,1E+99,_xlfn.SWITCH(LEFT($E$39,1),"1",AO117,"2",AP117*1000000000+AO117,"3",-AQ117,"4",AO117+AP117*25000+AR117*0.005-AQ117*0.0001,AO117))</f>
        <v>-997386.80636768113</v>
      </c>
    </row>
    <row r="118" spans="33:46" x14ac:dyDescent="0.55000000000000004">
      <c r="AG118">
        <f t="shared" si="18"/>
        <v>117</v>
      </c>
      <c r="AH118">
        <f t="shared" si="19"/>
        <v>0.1</v>
      </c>
      <c r="AI118">
        <f t="shared" si="20"/>
        <v>0.8</v>
      </c>
      <c r="AJ118">
        <f t="shared" si="21"/>
        <v>0.4</v>
      </c>
      <c r="AK118">
        <f t="shared" si="22"/>
        <v>43819.321633416483</v>
      </c>
      <c r="AL118">
        <f t="shared" si="23"/>
        <v>6074.4000000000005</v>
      </c>
      <c r="AM118">
        <f>MIN(MAX(0,$B$10-AL118)*AI118,'Retirement Gap'!$B$29)</f>
        <v>10850.278366583516</v>
      </c>
      <c r="AN118">
        <f>IF($E$40="B - Withdrawals + Roth conversions",AJ118*MAX(0,MIN($B$47-AL118,MIN($B$59,IRMAA!$C$16)-(AL118+$B$8*0.85+AK118*$B$46))),0)</f>
        <v>0</v>
      </c>
      <c r="AO118" cm="1">
        <f t="array" ref="AO118">_xlfn.LET(_xlpm.N,$B$49,_xlpm.R,$B$48,_xlpm.Start,$B$47,_xlpm.PlanWD,AL118,_xlpm.PlanRoth,AM118,_xlpm.PlanConv,AN118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12121.000000000002</v>
      </c>
      <c r="AP118" cm="1">
        <f t="array" ref="AP118">_xlfn.LET(_xlpm.N,$B$49,_xlpm.R,$B$48,_xlpm.Start,$B$47,_xlpm.PlanWD,AL118,_xlpm.PlanRoth,AM118,_xlpm.PlanConv,AN118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118" cm="1">
        <f t="array" ref="AQ118">_xlfn.LET(_xlpm.N,$B$49,_xlpm.R,$B$48,_xlpm.Start,$B$47,_xlpm.PlanWD,AL118,_xlpm.PlanRoth,AM118,_xlpm.PlanConv,AN118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997386.80636768113</v>
      </c>
      <c r="AR118" cm="1">
        <f t="array" ref="AR118">_xlfn.LET(_xlpm.N,$B$49,_xlpm.R,$B$48,_xlpm.Start,$B$47,_xlpm.PlanWD,AL118,_xlpm.PlanRoth,AM118,_xlpm.PlanConv,AN118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1217521.0700058746</v>
      </c>
      <c r="AS118">
        <f>--AND(AK118&lt;=SUM('Retirement Gap'!$B$24:$B$25,'Retirement Gap'!$B$27),AL118+AN118&lt;=$B$47,AM118&lt;='Retirement Gap'!$B$29,ABS(AK118+AL118+AM118-$B$10)&lt;1)</f>
        <v>1</v>
      </c>
      <c r="AT118" cm="1">
        <f t="array" ref="AT118">IF(AS118=0,1E+99,_xlfn.SWITCH(LEFT($E$39,1),"1",AO118,"2",AP118*1000000000+AO118,"3",-AQ118,"4",AO118+AP118*25000+AR118*0.005-AQ118*0.0001,AO118))</f>
        <v>-997386.80636768113</v>
      </c>
    </row>
    <row r="119" spans="33:46" x14ac:dyDescent="0.55000000000000004">
      <c r="AG119">
        <f t="shared" si="18"/>
        <v>118</v>
      </c>
      <c r="AH119">
        <f t="shared" si="19"/>
        <v>0.1</v>
      </c>
      <c r="AI119">
        <f t="shared" si="20"/>
        <v>0.8</v>
      </c>
      <c r="AJ119">
        <f t="shared" si="21"/>
        <v>0.6</v>
      </c>
      <c r="AK119">
        <f t="shared" si="22"/>
        <v>43819.321633416483</v>
      </c>
      <c r="AL119">
        <f t="shared" si="23"/>
        <v>6074.4000000000005</v>
      </c>
      <c r="AM119">
        <f>MIN(MAX(0,$B$10-AL119)*AI119,'Retirement Gap'!$B$29)</f>
        <v>10850.278366583516</v>
      </c>
      <c r="AN119">
        <f>IF($E$40="B - Withdrawals + Roth conversions",AJ119*MAX(0,MIN($B$47-AL119,MIN($B$59,IRMAA!$C$16)-(AL119+$B$8*0.85+AK119*$B$46))),0)</f>
        <v>0</v>
      </c>
      <c r="AO119" cm="1">
        <f t="array" ref="AO119">_xlfn.LET(_xlpm.N,$B$49,_xlpm.R,$B$48,_xlpm.Start,$B$47,_xlpm.PlanWD,AL119,_xlpm.PlanRoth,AM119,_xlpm.PlanConv,AN119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12121.000000000002</v>
      </c>
      <c r="AP119" cm="1">
        <f t="array" ref="AP119">_xlfn.LET(_xlpm.N,$B$49,_xlpm.R,$B$48,_xlpm.Start,$B$47,_xlpm.PlanWD,AL119,_xlpm.PlanRoth,AM119,_xlpm.PlanConv,AN119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119" cm="1">
        <f t="array" ref="AQ119">_xlfn.LET(_xlpm.N,$B$49,_xlpm.R,$B$48,_xlpm.Start,$B$47,_xlpm.PlanWD,AL119,_xlpm.PlanRoth,AM119,_xlpm.PlanConv,AN119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997386.80636768113</v>
      </c>
      <c r="AR119" cm="1">
        <f t="array" ref="AR119">_xlfn.LET(_xlpm.N,$B$49,_xlpm.R,$B$48,_xlpm.Start,$B$47,_xlpm.PlanWD,AL119,_xlpm.PlanRoth,AM119,_xlpm.PlanConv,AN119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1217521.0700058746</v>
      </c>
      <c r="AS119">
        <f>--AND(AK119&lt;=SUM('Retirement Gap'!$B$24:$B$25,'Retirement Gap'!$B$27),AL119+AN119&lt;=$B$47,AM119&lt;='Retirement Gap'!$B$29,ABS(AK119+AL119+AM119-$B$10)&lt;1)</f>
        <v>1</v>
      </c>
      <c r="AT119" cm="1">
        <f t="array" ref="AT119">IF(AS119=0,1E+99,_xlfn.SWITCH(LEFT($E$39,1),"1",AO119,"2",AP119*1000000000+AO119,"3",-AQ119,"4",AO119+AP119*25000+AR119*0.005-AQ119*0.0001,AO119))</f>
        <v>-997386.80636768113</v>
      </c>
    </row>
    <row r="120" spans="33:46" x14ac:dyDescent="0.55000000000000004">
      <c r="AG120">
        <f t="shared" si="18"/>
        <v>119</v>
      </c>
      <c r="AH120">
        <f t="shared" si="19"/>
        <v>0.1</v>
      </c>
      <c r="AI120">
        <f t="shared" si="20"/>
        <v>0.8</v>
      </c>
      <c r="AJ120">
        <f t="shared" si="21"/>
        <v>0.8</v>
      </c>
      <c r="AK120">
        <f t="shared" si="22"/>
        <v>43819.321633416483</v>
      </c>
      <c r="AL120">
        <f t="shared" si="23"/>
        <v>6074.4000000000005</v>
      </c>
      <c r="AM120">
        <f>MIN(MAX(0,$B$10-AL120)*AI120,'Retirement Gap'!$B$29)</f>
        <v>10850.278366583516</v>
      </c>
      <c r="AN120">
        <f>IF($E$40="B - Withdrawals + Roth conversions",AJ120*MAX(0,MIN($B$47-AL120,MIN($B$59,IRMAA!$C$16)-(AL120+$B$8*0.85+AK120*$B$46))),0)</f>
        <v>0</v>
      </c>
      <c r="AO120" cm="1">
        <f t="array" ref="AO120">_xlfn.LET(_xlpm.N,$B$49,_xlpm.R,$B$48,_xlpm.Start,$B$47,_xlpm.PlanWD,AL120,_xlpm.PlanRoth,AM120,_xlpm.PlanConv,AN120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12121.000000000002</v>
      </c>
      <c r="AP120" cm="1">
        <f t="array" ref="AP120">_xlfn.LET(_xlpm.N,$B$49,_xlpm.R,$B$48,_xlpm.Start,$B$47,_xlpm.PlanWD,AL120,_xlpm.PlanRoth,AM120,_xlpm.PlanConv,AN120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120" cm="1">
        <f t="array" ref="AQ120">_xlfn.LET(_xlpm.N,$B$49,_xlpm.R,$B$48,_xlpm.Start,$B$47,_xlpm.PlanWD,AL120,_xlpm.PlanRoth,AM120,_xlpm.PlanConv,AN120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997386.80636768113</v>
      </c>
      <c r="AR120" cm="1">
        <f t="array" ref="AR120">_xlfn.LET(_xlpm.N,$B$49,_xlpm.R,$B$48,_xlpm.Start,$B$47,_xlpm.PlanWD,AL120,_xlpm.PlanRoth,AM120,_xlpm.PlanConv,AN120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1217521.0700058746</v>
      </c>
      <c r="AS120">
        <f>--AND(AK120&lt;=SUM('Retirement Gap'!$B$24:$B$25,'Retirement Gap'!$B$27),AL120+AN120&lt;=$B$47,AM120&lt;='Retirement Gap'!$B$29,ABS(AK120+AL120+AM120-$B$10)&lt;1)</f>
        <v>1</v>
      </c>
      <c r="AT120" cm="1">
        <f t="array" ref="AT120">IF(AS120=0,1E+99,_xlfn.SWITCH(LEFT($E$39,1),"1",AO120,"2",AP120*1000000000+AO120,"3",-AQ120,"4",AO120+AP120*25000+AR120*0.005-AQ120*0.0001,AO120))</f>
        <v>-997386.80636768113</v>
      </c>
    </row>
    <row r="121" spans="33:46" x14ac:dyDescent="0.55000000000000004">
      <c r="AG121">
        <f t="shared" si="18"/>
        <v>120</v>
      </c>
      <c r="AH121">
        <f t="shared" si="19"/>
        <v>0.1</v>
      </c>
      <c r="AI121">
        <f t="shared" si="20"/>
        <v>0.8</v>
      </c>
      <c r="AJ121">
        <f t="shared" si="21"/>
        <v>1</v>
      </c>
      <c r="AK121">
        <f t="shared" si="22"/>
        <v>43819.321633416483</v>
      </c>
      <c r="AL121">
        <f t="shared" si="23"/>
        <v>6074.4000000000005</v>
      </c>
      <c r="AM121">
        <f>MIN(MAX(0,$B$10-AL121)*AI121,'Retirement Gap'!$B$29)</f>
        <v>10850.278366583516</v>
      </c>
      <c r="AN121">
        <f>IF($E$40="B - Withdrawals + Roth conversions",AJ121*MAX(0,MIN($B$47-AL121,MIN($B$59,IRMAA!$C$16)-(AL121+$B$8*0.85+AK121*$B$46))),0)</f>
        <v>0</v>
      </c>
      <c r="AO121" cm="1">
        <f t="array" ref="AO121">_xlfn.LET(_xlpm.N,$B$49,_xlpm.R,$B$48,_xlpm.Start,$B$47,_xlpm.PlanWD,AL121,_xlpm.PlanRoth,AM121,_xlpm.PlanConv,AN121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12121.000000000002</v>
      </c>
      <c r="AP121" cm="1">
        <f t="array" ref="AP121">_xlfn.LET(_xlpm.N,$B$49,_xlpm.R,$B$48,_xlpm.Start,$B$47,_xlpm.PlanWD,AL121,_xlpm.PlanRoth,AM121,_xlpm.PlanConv,AN121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121" cm="1">
        <f t="array" ref="AQ121">_xlfn.LET(_xlpm.N,$B$49,_xlpm.R,$B$48,_xlpm.Start,$B$47,_xlpm.PlanWD,AL121,_xlpm.PlanRoth,AM121,_xlpm.PlanConv,AN121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997386.80636768113</v>
      </c>
      <c r="AR121" cm="1">
        <f t="array" ref="AR121">_xlfn.LET(_xlpm.N,$B$49,_xlpm.R,$B$48,_xlpm.Start,$B$47,_xlpm.PlanWD,AL121,_xlpm.PlanRoth,AM121,_xlpm.PlanConv,AN121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1217521.0700058746</v>
      </c>
      <c r="AS121">
        <f>--AND(AK121&lt;=SUM('Retirement Gap'!$B$24:$B$25,'Retirement Gap'!$B$27),AL121+AN121&lt;=$B$47,AM121&lt;='Retirement Gap'!$B$29,ABS(AK121+AL121+AM121-$B$10)&lt;1)</f>
        <v>1</v>
      </c>
      <c r="AT121" cm="1">
        <f t="array" ref="AT121">IF(AS121=0,1E+99,_xlfn.SWITCH(LEFT($E$39,1),"1",AO121,"2",AP121*1000000000+AO121,"3",-AQ121,"4",AO121+AP121*25000+AR121*0.005-AQ121*0.0001,AO121))</f>
        <v>-997386.80636768113</v>
      </c>
    </row>
    <row r="122" spans="33:46" x14ac:dyDescent="0.55000000000000004">
      <c r="AG122">
        <f t="shared" si="18"/>
        <v>121</v>
      </c>
      <c r="AH122">
        <f t="shared" si="19"/>
        <v>0.1</v>
      </c>
      <c r="AI122">
        <f t="shared" si="20"/>
        <v>0.9</v>
      </c>
      <c r="AJ122">
        <f t="shared" si="21"/>
        <v>0</v>
      </c>
      <c r="AK122">
        <f t="shared" si="22"/>
        <v>43819.321633416483</v>
      </c>
      <c r="AL122">
        <f t="shared" si="23"/>
        <v>6074.4000000000005</v>
      </c>
      <c r="AM122">
        <f>MIN(MAX(0,$B$10-AL122)*AI122,'Retirement Gap'!$B$29)</f>
        <v>10850.278366583516</v>
      </c>
      <c r="AN122">
        <f>IF($E$40="B - Withdrawals + Roth conversions",AJ122*MAX(0,MIN($B$47-AL122,MIN($B$59,IRMAA!$C$16)-(AL122+$B$8*0.85+AK122*$B$46))),0)</f>
        <v>0</v>
      </c>
      <c r="AO122" cm="1">
        <f t="array" ref="AO122">_xlfn.LET(_xlpm.N,$B$49,_xlpm.R,$B$48,_xlpm.Start,$B$47,_xlpm.PlanWD,AL122,_xlpm.PlanRoth,AM122,_xlpm.PlanConv,AN122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12121.000000000002</v>
      </c>
      <c r="AP122" cm="1">
        <f t="array" ref="AP122">_xlfn.LET(_xlpm.N,$B$49,_xlpm.R,$B$48,_xlpm.Start,$B$47,_xlpm.PlanWD,AL122,_xlpm.PlanRoth,AM122,_xlpm.PlanConv,AN122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122" cm="1">
        <f t="array" ref="AQ122">_xlfn.LET(_xlpm.N,$B$49,_xlpm.R,$B$48,_xlpm.Start,$B$47,_xlpm.PlanWD,AL122,_xlpm.PlanRoth,AM122,_xlpm.PlanConv,AN122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997386.80636768113</v>
      </c>
      <c r="AR122" cm="1">
        <f t="array" ref="AR122">_xlfn.LET(_xlpm.N,$B$49,_xlpm.R,$B$48,_xlpm.Start,$B$47,_xlpm.PlanWD,AL122,_xlpm.PlanRoth,AM122,_xlpm.PlanConv,AN122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1217521.0700058746</v>
      </c>
      <c r="AS122">
        <f>--AND(AK122&lt;=SUM('Retirement Gap'!$B$24:$B$25,'Retirement Gap'!$B$27),AL122+AN122&lt;=$B$47,AM122&lt;='Retirement Gap'!$B$29,ABS(AK122+AL122+AM122-$B$10)&lt;1)</f>
        <v>1</v>
      </c>
      <c r="AT122" cm="1">
        <f t="array" ref="AT122">IF(AS122=0,1E+99,_xlfn.SWITCH(LEFT($E$39,1),"1",AO122,"2",AP122*1000000000+AO122,"3",-AQ122,"4",AO122+AP122*25000+AR122*0.005-AQ122*0.0001,AO122))</f>
        <v>-997386.80636768113</v>
      </c>
    </row>
    <row r="123" spans="33:46" x14ac:dyDescent="0.55000000000000004">
      <c r="AG123">
        <f t="shared" si="18"/>
        <v>122</v>
      </c>
      <c r="AH123">
        <f t="shared" si="19"/>
        <v>0.1</v>
      </c>
      <c r="AI123">
        <f t="shared" si="20"/>
        <v>0.9</v>
      </c>
      <c r="AJ123">
        <f t="shared" si="21"/>
        <v>0.2</v>
      </c>
      <c r="AK123">
        <f t="shared" si="22"/>
        <v>43819.321633416483</v>
      </c>
      <c r="AL123">
        <f t="shared" si="23"/>
        <v>6074.4000000000005</v>
      </c>
      <c r="AM123">
        <f>MIN(MAX(0,$B$10-AL123)*AI123,'Retirement Gap'!$B$29)</f>
        <v>10850.278366583516</v>
      </c>
      <c r="AN123">
        <f>IF($E$40="B - Withdrawals + Roth conversions",AJ123*MAX(0,MIN($B$47-AL123,MIN($B$59,IRMAA!$C$16)-(AL123+$B$8*0.85+AK123*$B$46))),0)</f>
        <v>0</v>
      </c>
      <c r="AO123" cm="1">
        <f t="array" ref="AO123">_xlfn.LET(_xlpm.N,$B$49,_xlpm.R,$B$48,_xlpm.Start,$B$47,_xlpm.PlanWD,AL123,_xlpm.PlanRoth,AM123,_xlpm.PlanConv,AN123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12121.000000000002</v>
      </c>
      <c r="AP123" cm="1">
        <f t="array" ref="AP123">_xlfn.LET(_xlpm.N,$B$49,_xlpm.R,$B$48,_xlpm.Start,$B$47,_xlpm.PlanWD,AL123,_xlpm.PlanRoth,AM123,_xlpm.PlanConv,AN123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123" cm="1">
        <f t="array" ref="AQ123">_xlfn.LET(_xlpm.N,$B$49,_xlpm.R,$B$48,_xlpm.Start,$B$47,_xlpm.PlanWD,AL123,_xlpm.PlanRoth,AM123,_xlpm.PlanConv,AN123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997386.80636768113</v>
      </c>
      <c r="AR123" cm="1">
        <f t="array" ref="AR123">_xlfn.LET(_xlpm.N,$B$49,_xlpm.R,$B$48,_xlpm.Start,$B$47,_xlpm.PlanWD,AL123,_xlpm.PlanRoth,AM123,_xlpm.PlanConv,AN123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1217521.0700058746</v>
      </c>
      <c r="AS123">
        <f>--AND(AK123&lt;=SUM('Retirement Gap'!$B$24:$B$25,'Retirement Gap'!$B$27),AL123+AN123&lt;=$B$47,AM123&lt;='Retirement Gap'!$B$29,ABS(AK123+AL123+AM123-$B$10)&lt;1)</f>
        <v>1</v>
      </c>
      <c r="AT123" cm="1">
        <f t="array" ref="AT123">IF(AS123=0,1E+99,_xlfn.SWITCH(LEFT($E$39,1),"1",AO123,"2",AP123*1000000000+AO123,"3",-AQ123,"4",AO123+AP123*25000+AR123*0.005-AQ123*0.0001,AO123))</f>
        <v>-997386.80636768113</v>
      </c>
    </row>
    <row r="124" spans="33:46" x14ac:dyDescent="0.55000000000000004">
      <c r="AG124">
        <f t="shared" si="18"/>
        <v>123</v>
      </c>
      <c r="AH124">
        <f t="shared" si="19"/>
        <v>0.1</v>
      </c>
      <c r="AI124">
        <f t="shared" si="20"/>
        <v>0.9</v>
      </c>
      <c r="AJ124">
        <f t="shared" si="21"/>
        <v>0.4</v>
      </c>
      <c r="AK124">
        <f t="shared" si="22"/>
        <v>43819.321633416483</v>
      </c>
      <c r="AL124">
        <f t="shared" si="23"/>
        <v>6074.4000000000005</v>
      </c>
      <c r="AM124">
        <f>MIN(MAX(0,$B$10-AL124)*AI124,'Retirement Gap'!$B$29)</f>
        <v>10850.278366583516</v>
      </c>
      <c r="AN124">
        <f>IF($E$40="B - Withdrawals + Roth conversions",AJ124*MAX(0,MIN($B$47-AL124,MIN($B$59,IRMAA!$C$16)-(AL124+$B$8*0.85+AK124*$B$46))),0)</f>
        <v>0</v>
      </c>
      <c r="AO124" cm="1">
        <f t="array" ref="AO124">_xlfn.LET(_xlpm.N,$B$49,_xlpm.R,$B$48,_xlpm.Start,$B$47,_xlpm.PlanWD,AL124,_xlpm.PlanRoth,AM124,_xlpm.PlanConv,AN124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12121.000000000002</v>
      </c>
      <c r="AP124" cm="1">
        <f t="array" ref="AP124">_xlfn.LET(_xlpm.N,$B$49,_xlpm.R,$B$48,_xlpm.Start,$B$47,_xlpm.PlanWD,AL124,_xlpm.PlanRoth,AM124,_xlpm.PlanConv,AN124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124" cm="1">
        <f t="array" ref="AQ124">_xlfn.LET(_xlpm.N,$B$49,_xlpm.R,$B$48,_xlpm.Start,$B$47,_xlpm.PlanWD,AL124,_xlpm.PlanRoth,AM124,_xlpm.PlanConv,AN124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997386.80636768113</v>
      </c>
      <c r="AR124" cm="1">
        <f t="array" ref="AR124">_xlfn.LET(_xlpm.N,$B$49,_xlpm.R,$B$48,_xlpm.Start,$B$47,_xlpm.PlanWD,AL124,_xlpm.PlanRoth,AM124,_xlpm.PlanConv,AN124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1217521.0700058746</v>
      </c>
      <c r="AS124">
        <f>--AND(AK124&lt;=SUM('Retirement Gap'!$B$24:$B$25,'Retirement Gap'!$B$27),AL124+AN124&lt;=$B$47,AM124&lt;='Retirement Gap'!$B$29,ABS(AK124+AL124+AM124-$B$10)&lt;1)</f>
        <v>1</v>
      </c>
      <c r="AT124" cm="1">
        <f t="array" ref="AT124">IF(AS124=0,1E+99,_xlfn.SWITCH(LEFT($E$39,1),"1",AO124,"2",AP124*1000000000+AO124,"3",-AQ124,"4",AO124+AP124*25000+AR124*0.005-AQ124*0.0001,AO124))</f>
        <v>-997386.80636768113</v>
      </c>
    </row>
    <row r="125" spans="33:46" x14ac:dyDescent="0.55000000000000004">
      <c r="AG125">
        <f t="shared" si="18"/>
        <v>124</v>
      </c>
      <c r="AH125">
        <f t="shared" si="19"/>
        <v>0.1</v>
      </c>
      <c r="AI125">
        <f t="shared" si="20"/>
        <v>0.9</v>
      </c>
      <c r="AJ125">
        <f t="shared" si="21"/>
        <v>0.6</v>
      </c>
      <c r="AK125">
        <f t="shared" si="22"/>
        <v>43819.321633416483</v>
      </c>
      <c r="AL125">
        <f t="shared" si="23"/>
        <v>6074.4000000000005</v>
      </c>
      <c r="AM125">
        <f>MIN(MAX(0,$B$10-AL125)*AI125,'Retirement Gap'!$B$29)</f>
        <v>10850.278366583516</v>
      </c>
      <c r="AN125">
        <f>IF($E$40="B - Withdrawals + Roth conversions",AJ125*MAX(0,MIN($B$47-AL125,MIN($B$59,IRMAA!$C$16)-(AL125+$B$8*0.85+AK125*$B$46))),0)</f>
        <v>0</v>
      </c>
      <c r="AO125" cm="1">
        <f t="array" ref="AO125">_xlfn.LET(_xlpm.N,$B$49,_xlpm.R,$B$48,_xlpm.Start,$B$47,_xlpm.PlanWD,AL125,_xlpm.PlanRoth,AM125,_xlpm.PlanConv,AN125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12121.000000000002</v>
      </c>
      <c r="AP125" cm="1">
        <f t="array" ref="AP125">_xlfn.LET(_xlpm.N,$B$49,_xlpm.R,$B$48,_xlpm.Start,$B$47,_xlpm.PlanWD,AL125,_xlpm.PlanRoth,AM125,_xlpm.PlanConv,AN125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125" cm="1">
        <f t="array" ref="AQ125">_xlfn.LET(_xlpm.N,$B$49,_xlpm.R,$B$48,_xlpm.Start,$B$47,_xlpm.PlanWD,AL125,_xlpm.PlanRoth,AM125,_xlpm.PlanConv,AN125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997386.80636768113</v>
      </c>
      <c r="AR125" cm="1">
        <f t="array" ref="AR125">_xlfn.LET(_xlpm.N,$B$49,_xlpm.R,$B$48,_xlpm.Start,$B$47,_xlpm.PlanWD,AL125,_xlpm.PlanRoth,AM125,_xlpm.PlanConv,AN125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1217521.0700058746</v>
      </c>
      <c r="AS125">
        <f>--AND(AK125&lt;=SUM('Retirement Gap'!$B$24:$B$25,'Retirement Gap'!$B$27),AL125+AN125&lt;=$B$47,AM125&lt;='Retirement Gap'!$B$29,ABS(AK125+AL125+AM125-$B$10)&lt;1)</f>
        <v>1</v>
      </c>
      <c r="AT125" cm="1">
        <f t="array" ref="AT125">IF(AS125=0,1E+99,_xlfn.SWITCH(LEFT($E$39,1),"1",AO125,"2",AP125*1000000000+AO125,"3",-AQ125,"4",AO125+AP125*25000+AR125*0.005-AQ125*0.0001,AO125))</f>
        <v>-997386.80636768113</v>
      </c>
    </row>
    <row r="126" spans="33:46" x14ac:dyDescent="0.55000000000000004">
      <c r="AG126">
        <f t="shared" si="18"/>
        <v>125</v>
      </c>
      <c r="AH126">
        <f t="shared" si="19"/>
        <v>0.1</v>
      </c>
      <c r="AI126">
        <f t="shared" si="20"/>
        <v>0.9</v>
      </c>
      <c r="AJ126">
        <f t="shared" si="21"/>
        <v>0.8</v>
      </c>
      <c r="AK126">
        <f t="shared" si="22"/>
        <v>43819.321633416483</v>
      </c>
      <c r="AL126">
        <f t="shared" si="23"/>
        <v>6074.4000000000005</v>
      </c>
      <c r="AM126">
        <f>MIN(MAX(0,$B$10-AL126)*AI126,'Retirement Gap'!$B$29)</f>
        <v>10850.278366583516</v>
      </c>
      <c r="AN126">
        <f>IF($E$40="B - Withdrawals + Roth conversions",AJ126*MAX(0,MIN($B$47-AL126,MIN($B$59,IRMAA!$C$16)-(AL126+$B$8*0.85+AK126*$B$46))),0)</f>
        <v>0</v>
      </c>
      <c r="AO126" cm="1">
        <f t="array" ref="AO126">_xlfn.LET(_xlpm.N,$B$49,_xlpm.R,$B$48,_xlpm.Start,$B$47,_xlpm.PlanWD,AL126,_xlpm.PlanRoth,AM126,_xlpm.PlanConv,AN126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12121.000000000002</v>
      </c>
      <c r="AP126" cm="1">
        <f t="array" ref="AP126">_xlfn.LET(_xlpm.N,$B$49,_xlpm.R,$B$48,_xlpm.Start,$B$47,_xlpm.PlanWD,AL126,_xlpm.PlanRoth,AM126,_xlpm.PlanConv,AN126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126" cm="1">
        <f t="array" ref="AQ126">_xlfn.LET(_xlpm.N,$B$49,_xlpm.R,$B$48,_xlpm.Start,$B$47,_xlpm.PlanWD,AL126,_xlpm.PlanRoth,AM126,_xlpm.PlanConv,AN126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997386.80636768113</v>
      </c>
      <c r="AR126" cm="1">
        <f t="array" ref="AR126">_xlfn.LET(_xlpm.N,$B$49,_xlpm.R,$B$48,_xlpm.Start,$B$47,_xlpm.PlanWD,AL126,_xlpm.PlanRoth,AM126,_xlpm.PlanConv,AN126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1217521.0700058746</v>
      </c>
      <c r="AS126">
        <f>--AND(AK126&lt;=SUM('Retirement Gap'!$B$24:$B$25,'Retirement Gap'!$B$27),AL126+AN126&lt;=$B$47,AM126&lt;='Retirement Gap'!$B$29,ABS(AK126+AL126+AM126-$B$10)&lt;1)</f>
        <v>1</v>
      </c>
      <c r="AT126" cm="1">
        <f t="array" ref="AT126">IF(AS126=0,1E+99,_xlfn.SWITCH(LEFT($E$39,1),"1",AO126,"2",AP126*1000000000+AO126,"3",-AQ126,"4",AO126+AP126*25000+AR126*0.005-AQ126*0.0001,AO126))</f>
        <v>-997386.80636768113</v>
      </c>
    </row>
    <row r="127" spans="33:46" x14ac:dyDescent="0.55000000000000004">
      <c r="AG127">
        <f t="shared" si="18"/>
        <v>126</v>
      </c>
      <c r="AH127">
        <f t="shared" si="19"/>
        <v>0.1</v>
      </c>
      <c r="AI127">
        <f t="shared" si="20"/>
        <v>0.9</v>
      </c>
      <c r="AJ127">
        <f t="shared" si="21"/>
        <v>1</v>
      </c>
      <c r="AK127">
        <f t="shared" si="22"/>
        <v>43819.321633416483</v>
      </c>
      <c r="AL127">
        <f t="shared" si="23"/>
        <v>6074.4000000000005</v>
      </c>
      <c r="AM127">
        <f>MIN(MAX(0,$B$10-AL127)*AI127,'Retirement Gap'!$B$29)</f>
        <v>10850.278366583516</v>
      </c>
      <c r="AN127">
        <f>IF($E$40="B - Withdrawals + Roth conversions",AJ127*MAX(0,MIN($B$47-AL127,MIN($B$59,IRMAA!$C$16)-(AL127+$B$8*0.85+AK127*$B$46))),0)</f>
        <v>0</v>
      </c>
      <c r="AO127" cm="1">
        <f t="array" ref="AO127">_xlfn.LET(_xlpm.N,$B$49,_xlpm.R,$B$48,_xlpm.Start,$B$47,_xlpm.PlanWD,AL127,_xlpm.PlanRoth,AM127,_xlpm.PlanConv,AN127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12121.000000000002</v>
      </c>
      <c r="AP127" cm="1">
        <f t="array" ref="AP127">_xlfn.LET(_xlpm.N,$B$49,_xlpm.R,$B$48,_xlpm.Start,$B$47,_xlpm.PlanWD,AL127,_xlpm.PlanRoth,AM127,_xlpm.PlanConv,AN127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127" cm="1">
        <f t="array" ref="AQ127">_xlfn.LET(_xlpm.N,$B$49,_xlpm.R,$B$48,_xlpm.Start,$B$47,_xlpm.PlanWD,AL127,_xlpm.PlanRoth,AM127,_xlpm.PlanConv,AN127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997386.80636768113</v>
      </c>
      <c r="AR127" cm="1">
        <f t="array" ref="AR127">_xlfn.LET(_xlpm.N,$B$49,_xlpm.R,$B$48,_xlpm.Start,$B$47,_xlpm.PlanWD,AL127,_xlpm.PlanRoth,AM127,_xlpm.PlanConv,AN127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1217521.0700058746</v>
      </c>
      <c r="AS127">
        <f>--AND(AK127&lt;=SUM('Retirement Gap'!$B$24:$B$25,'Retirement Gap'!$B$27),AL127+AN127&lt;=$B$47,AM127&lt;='Retirement Gap'!$B$29,ABS(AK127+AL127+AM127-$B$10)&lt;1)</f>
        <v>1</v>
      </c>
      <c r="AT127" cm="1">
        <f t="array" ref="AT127">IF(AS127=0,1E+99,_xlfn.SWITCH(LEFT($E$39,1),"1",AO127,"2",AP127*1000000000+AO127,"3",-AQ127,"4",AO127+AP127*25000+AR127*0.005-AQ127*0.0001,AO127))</f>
        <v>-997386.80636768113</v>
      </c>
    </row>
    <row r="128" spans="33:46" x14ac:dyDescent="0.55000000000000004">
      <c r="AG128">
        <f t="shared" si="18"/>
        <v>127</v>
      </c>
      <c r="AH128">
        <f t="shared" si="19"/>
        <v>0.1</v>
      </c>
      <c r="AI128">
        <f t="shared" si="20"/>
        <v>1</v>
      </c>
      <c r="AJ128">
        <f t="shared" si="21"/>
        <v>0</v>
      </c>
      <c r="AK128">
        <f t="shared" si="22"/>
        <v>43819.321633416483</v>
      </c>
      <c r="AL128">
        <f t="shared" si="23"/>
        <v>6074.4000000000005</v>
      </c>
      <c r="AM128">
        <f>MIN(MAX(0,$B$10-AL128)*AI128,'Retirement Gap'!$B$29)</f>
        <v>10850.278366583516</v>
      </c>
      <c r="AN128">
        <f>IF($E$40="B - Withdrawals + Roth conversions",AJ128*MAX(0,MIN($B$47-AL128,MIN($B$59,IRMAA!$C$16)-(AL128+$B$8*0.85+AK128*$B$46))),0)</f>
        <v>0</v>
      </c>
      <c r="AO128" cm="1">
        <f t="array" ref="AO128">_xlfn.LET(_xlpm.N,$B$49,_xlpm.R,$B$48,_xlpm.Start,$B$47,_xlpm.PlanWD,AL128,_xlpm.PlanRoth,AM128,_xlpm.PlanConv,AN128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12121.000000000002</v>
      </c>
      <c r="AP128" cm="1">
        <f t="array" ref="AP128">_xlfn.LET(_xlpm.N,$B$49,_xlpm.R,$B$48,_xlpm.Start,$B$47,_xlpm.PlanWD,AL128,_xlpm.PlanRoth,AM128,_xlpm.PlanConv,AN128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128" cm="1">
        <f t="array" ref="AQ128">_xlfn.LET(_xlpm.N,$B$49,_xlpm.R,$B$48,_xlpm.Start,$B$47,_xlpm.PlanWD,AL128,_xlpm.PlanRoth,AM128,_xlpm.PlanConv,AN128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997386.80636768113</v>
      </c>
      <c r="AR128" cm="1">
        <f t="array" ref="AR128">_xlfn.LET(_xlpm.N,$B$49,_xlpm.R,$B$48,_xlpm.Start,$B$47,_xlpm.PlanWD,AL128,_xlpm.PlanRoth,AM128,_xlpm.PlanConv,AN128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1217521.0700058746</v>
      </c>
      <c r="AS128">
        <f>--AND(AK128&lt;=SUM('Retirement Gap'!$B$24:$B$25,'Retirement Gap'!$B$27),AL128+AN128&lt;=$B$47,AM128&lt;='Retirement Gap'!$B$29,ABS(AK128+AL128+AM128-$B$10)&lt;1)</f>
        <v>1</v>
      </c>
      <c r="AT128" cm="1">
        <f t="array" ref="AT128">IF(AS128=0,1E+99,_xlfn.SWITCH(LEFT($E$39,1),"1",AO128,"2",AP128*1000000000+AO128,"3",-AQ128,"4",AO128+AP128*25000+AR128*0.005-AQ128*0.0001,AO128))</f>
        <v>-997386.80636768113</v>
      </c>
    </row>
    <row r="129" spans="33:46" x14ac:dyDescent="0.55000000000000004">
      <c r="AG129">
        <f t="shared" si="18"/>
        <v>128</v>
      </c>
      <c r="AH129">
        <f t="shared" si="19"/>
        <v>0.1</v>
      </c>
      <c r="AI129">
        <f t="shared" si="20"/>
        <v>1</v>
      </c>
      <c r="AJ129">
        <f t="shared" si="21"/>
        <v>0.2</v>
      </c>
      <c r="AK129">
        <f t="shared" si="22"/>
        <v>43819.321633416483</v>
      </c>
      <c r="AL129">
        <f t="shared" si="23"/>
        <v>6074.4000000000005</v>
      </c>
      <c r="AM129">
        <f>MIN(MAX(0,$B$10-AL129)*AI129,'Retirement Gap'!$B$29)</f>
        <v>10850.278366583516</v>
      </c>
      <c r="AN129">
        <f>IF($E$40="B - Withdrawals + Roth conversions",AJ129*MAX(0,MIN($B$47-AL129,MIN($B$59,IRMAA!$C$16)-(AL129+$B$8*0.85+AK129*$B$46))),0)</f>
        <v>0</v>
      </c>
      <c r="AO129" cm="1">
        <f t="array" ref="AO129">_xlfn.LET(_xlpm.N,$B$49,_xlpm.R,$B$48,_xlpm.Start,$B$47,_xlpm.PlanWD,AL129,_xlpm.PlanRoth,AM129,_xlpm.PlanConv,AN129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12121.000000000002</v>
      </c>
      <c r="AP129" cm="1">
        <f t="array" ref="AP129">_xlfn.LET(_xlpm.N,$B$49,_xlpm.R,$B$48,_xlpm.Start,$B$47,_xlpm.PlanWD,AL129,_xlpm.PlanRoth,AM129,_xlpm.PlanConv,AN129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129" cm="1">
        <f t="array" ref="AQ129">_xlfn.LET(_xlpm.N,$B$49,_xlpm.R,$B$48,_xlpm.Start,$B$47,_xlpm.PlanWD,AL129,_xlpm.PlanRoth,AM129,_xlpm.PlanConv,AN129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997386.80636768113</v>
      </c>
      <c r="AR129" cm="1">
        <f t="array" ref="AR129">_xlfn.LET(_xlpm.N,$B$49,_xlpm.R,$B$48,_xlpm.Start,$B$47,_xlpm.PlanWD,AL129,_xlpm.PlanRoth,AM129,_xlpm.PlanConv,AN129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1217521.0700058746</v>
      </c>
      <c r="AS129">
        <f>--AND(AK129&lt;=SUM('Retirement Gap'!$B$24:$B$25,'Retirement Gap'!$B$27),AL129+AN129&lt;=$B$47,AM129&lt;='Retirement Gap'!$B$29,ABS(AK129+AL129+AM129-$B$10)&lt;1)</f>
        <v>1</v>
      </c>
      <c r="AT129" cm="1">
        <f t="array" ref="AT129">IF(AS129=0,1E+99,_xlfn.SWITCH(LEFT($E$39,1),"1",AO129,"2",AP129*1000000000+AO129,"3",-AQ129,"4",AO129+AP129*25000+AR129*0.005-AQ129*0.0001,AO129))</f>
        <v>-997386.80636768113</v>
      </c>
    </row>
    <row r="130" spans="33:46" x14ac:dyDescent="0.55000000000000004">
      <c r="AG130">
        <f t="shared" si="18"/>
        <v>129</v>
      </c>
      <c r="AH130">
        <f t="shared" si="19"/>
        <v>0.1</v>
      </c>
      <c r="AI130">
        <f t="shared" si="20"/>
        <v>1</v>
      </c>
      <c r="AJ130">
        <f t="shared" si="21"/>
        <v>0.4</v>
      </c>
      <c r="AK130">
        <f t="shared" si="22"/>
        <v>43819.321633416483</v>
      </c>
      <c r="AL130">
        <f t="shared" si="23"/>
        <v>6074.4000000000005</v>
      </c>
      <c r="AM130">
        <f>MIN(MAX(0,$B$10-AL130)*AI130,'Retirement Gap'!$B$29)</f>
        <v>10850.278366583516</v>
      </c>
      <c r="AN130">
        <f>IF($E$40="B - Withdrawals + Roth conversions",AJ130*MAX(0,MIN($B$47-AL130,MIN($B$59,IRMAA!$C$16)-(AL130+$B$8*0.85+AK130*$B$46))),0)</f>
        <v>0</v>
      </c>
      <c r="AO130" cm="1">
        <f t="array" ref="AO130">_xlfn.LET(_xlpm.N,$B$49,_xlpm.R,$B$48,_xlpm.Start,$B$47,_xlpm.PlanWD,AL130,_xlpm.PlanRoth,AM130,_xlpm.PlanConv,AN130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12121.000000000002</v>
      </c>
      <c r="AP130" cm="1">
        <f t="array" ref="AP130">_xlfn.LET(_xlpm.N,$B$49,_xlpm.R,$B$48,_xlpm.Start,$B$47,_xlpm.PlanWD,AL130,_xlpm.PlanRoth,AM130,_xlpm.PlanConv,AN130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130" cm="1">
        <f t="array" ref="AQ130">_xlfn.LET(_xlpm.N,$B$49,_xlpm.R,$B$48,_xlpm.Start,$B$47,_xlpm.PlanWD,AL130,_xlpm.PlanRoth,AM130,_xlpm.PlanConv,AN130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997386.80636768113</v>
      </c>
      <c r="AR130" cm="1">
        <f t="array" ref="AR130">_xlfn.LET(_xlpm.N,$B$49,_xlpm.R,$B$48,_xlpm.Start,$B$47,_xlpm.PlanWD,AL130,_xlpm.PlanRoth,AM130,_xlpm.PlanConv,AN130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1217521.0700058746</v>
      </c>
      <c r="AS130">
        <f>--AND(AK130&lt;=SUM('Retirement Gap'!$B$24:$B$25,'Retirement Gap'!$B$27),AL130+AN130&lt;=$B$47,AM130&lt;='Retirement Gap'!$B$29,ABS(AK130+AL130+AM130-$B$10)&lt;1)</f>
        <v>1</v>
      </c>
      <c r="AT130" cm="1">
        <f t="array" ref="AT130">IF(AS130=0,1E+99,_xlfn.SWITCH(LEFT($E$39,1),"1",AO130,"2",AP130*1000000000+AO130,"3",-AQ130,"4",AO130+AP130*25000+AR130*0.005-AQ130*0.0001,AO130))</f>
        <v>-997386.80636768113</v>
      </c>
    </row>
    <row r="131" spans="33:46" x14ac:dyDescent="0.55000000000000004">
      <c r="AG131">
        <f t="shared" ref="AG131:AG194" si="24">ROW()-1</f>
        <v>130</v>
      </c>
      <c r="AH131">
        <f t="shared" ref="AH131:AH194" si="25">INT((AG131-1)/66)/10</f>
        <v>0.1</v>
      </c>
      <c r="AI131">
        <f t="shared" ref="AI131:AI194" si="26">MOD(INT((AG131-1)/6),11)/10</f>
        <v>1</v>
      </c>
      <c r="AJ131">
        <f t="shared" ref="AJ131:AJ194" si="27">MOD(AG131-1,6)/5</f>
        <v>0.6</v>
      </c>
      <c r="AK131">
        <f t="shared" ref="AK131:AK194" si="28">MAX(0,$B$10-AL131-AM131)</f>
        <v>43819.321633416483</v>
      </c>
      <c r="AL131">
        <f t="shared" ref="AL131:AL194" si="29">MIN($B$10*AH131,$B$47)</f>
        <v>6074.4000000000005</v>
      </c>
      <c r="AM131">
        <f>MIN(MAX(0,$B$10-AL131)*AI131,'Retirement Gap'!$B$29)</f>
        <v>10850.278366583516</v>
      </c>
      <c r="AN131">
        <f>IF($E$40="B - Withdrawals + Roth conversions",AJ131*MAX(0,MIN($B$47-AL131,MIN($B$59,IRMAA!$C$16)-(AL131+$B$8*0.85+AK131*$B$46))),0)</f>
        <v>0</v>
      </c>
      <c r="AO131" cm="1">
        <f t="array" ref="AO131">_xlfn.LET(_xlpm.N,$B$49,_xlpm.R,$B$48,_xlpm.Start,$B$47,_xlpm.PlanWD,AL131,_xlpm.PlanRoth,AM131,_xlpm.PlanConv,AN131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12121.000000000002</v>
      </c>
      <c r="AP131" cm="1">
        <f t="array" ref="AP131">_xlfn.LET(_xlpm.N,$B$49,_xlpm.R,$B$48,_xlpm.Start,$B$47,_xlpm.PlanWD,AL131,_xlpm.PlanRoth,AM131,_xlpm.PlanConv,AN131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131" cm="1">
        <f t="array" ref="AQ131">_xlfn.LET(_xlpm.N,$B$49,_xlpm.R,$B$48,_xlpm.Start,$B$47,_xlpm.PlanWD,AL131,_xlpm.PlanRoth,AM131,_xlpm.PlanConv,AN131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997386.80636768113</v>
      </c>
      <c r="AR131" cm="1">
        <f t="array" ref="AR131">_xlfn.LET(_xlpm.N,$B$49,_xlpm.R,$B$48,_xlpm.Start,$B$47,_xlpm.PlanWD,AL131,_xlpm.PlanRoth,AM131,_xlpm.PlanConv,AN131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1217521.0700058746</v>
      </c>
      <c r="AS131">
        <f>--AND(AK131&lt;=SUM('Retirement Gap'!$B$24:$B$25,'Retirement Gap'!$B$27),AL131+AN131&lt;=$B$47,AM131&lt;='Retirement Gap'!$B$29,ABS(AK131+AL131+AM131-$B$10)&lt;1)</f>
        <v>1</v>
      </c>
      <c r="AT131" cm="1">
        <f t="array" ref="AT131">IF(AS131=0,1E+99,_xlfn.SWITCH(LEFT($E$39,1),"1",AO131,"2",AP131*1000000000+AO131,"3",-AQ131,"4",AO131+AP131*25000+AR131*0.005-AQ131*0.0001,AO131))</f>
        <v>-997386.80636768113</v>
      </c>
    </row>
    <row r="132" spans="33:46" x14ac:dyDescent="0.55000000000000004">
      <c r="AG132">
        <f t="shared" si="24"/>
        <v>131</v>
      </c>
      <c r="AH132">
        <f t="shared" si="25"/>
        <v>0.1</v>
      </c>
      <c r="AI132">
        <f t="shared" si="26"/>
        <v>1</v>
      </c>
      <c r="AJ132">
        <f t="shared" si="27"/>
        <v>0.8</v>
      </c>
      <c r="AK132">
        <f t="shared" si="28"/>
        <v>43819.321633416483</v>
      </c>
      <c r="AL132">
        <f t="shared" si="29"/>
        <v>6074.4000000000005</v>
      </c>
      <c r="AM132">
        <f>MIN(MAX(0,$B$10-AL132)*AI132,'Retirement Gap'!$B$29)</f>
        <v>10850.278366583516</v>
      </c>
      <c r="AN132">
        <f>IF($E$40="B - Withdrawals + Roth conversions",AJ132*MAX(0,MIN($B$47-AL132,MIN($B$59,IRMAA!$C$16)-(AL132+$B$8*0.85+AK132*$B$46))),0)</f>
        <v>0</v>
      </c>
      <c r="AO132" cm="1">
        <f t="array" ref="AO132">_xlfn.LET(_xlpm.N,$B$49,_xlpm.R,$B$48,_xlpm.Start,$B$47,_xlpm.PlanWD,AL132,_xlpm.PlanRoth,AM132,_xlpm.PlanConv,AN132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12121.000000000002</v>
      </c>
      <c r="AP132" cm="1">
        <f t="array" ref="AP132">_xlfn.LET(_xlpm.N,$B$49,_xlpm.R,$B$48,_xlpm.Start,$B$47,_xlpm.PlanWD,AL132,_xlpm.PlanRoth,AM132,_xlpm.PlanConv,AN132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132" cm="1">
        <f t="array" ref="AQ132">_xlfn.LET(_xlpm.N,$B$49,_xlpm.R,$B$48,_xlpm.Start,$B$47,_xlpm.PlanWD,AL132,_xlpm.PlanRoth,AM132,_xlpm.PlanConv,AN132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997386.80636768113</v>
      </c>
      <c r="AR132" cm="1">
        <f t="array" ref="AR132">_xlfn.LET(_xlpm.N,$B$49,_xlpm.R,$B$48,_xlpm.Start,$B$47,_xlpm.PlanWD,AL132,_xlpm.PlanRoth,AM132,_xlpm.PlanConv,AN132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1217521.0700058746</v>
      </c>
      <c r="AS132">
        <f>--AND(AK132&lt;=SUM('Retirement Gap'!$B$24:$B$25,'Retirement Gap'!$B$27),AL132+AN132&lt;=$B$47,AM132&lt;='Retirement Gap'!$B$29,ABS(AK132+AL132+AM132-$B$10)&lt;1)</f>
        <v>1</v>
      </c>
      <c r="AT132" cm="1">
        <f t="array" ref="AT132">IF(AS132=0,1E+99,_xlfn.SWITCH(LEFT($E$39,1),"1",AO132,"2",AP132*1000000000+AO132,"3",-AQ132,"4",AO132+AP132*25000+AR132*0.005-AQ132*0.0001,AO132))</f>
        <v>-997386.80636768113</v>
      </c>
    </row>
    <row r="133" spans="33:46" x14ac:dyDescent="0.55000000000000004">
      <c r="AG133">
        <f t="shared" si="24"/>
        <v>132</v>
      </c>
      <c r="AH133">
        <f t="shared" si="25"/>
        <v>0.1</v>
      </c>
      <c r="AI133">
        <f t="shared" si="26"/>
        <v>1</v>
      </c>
      <c r="AJ133">
        <f t="shared" si="27"/>
        <v>1</v>
      </c>
      <c r="AK133">
        <f t="shared" si="28"/>
        <v>43819.321633416483</v>
      </c>
      <c r="AL133">
        <f t="shared" si="29"/>
        <v>6074.4000000000005</v>
      </c>
      <c r="AM133">
        <f>MIN(MAX(0,$B$10-AL133)*AI133,'Retirement Gap'!$B$29)</f>
        <v>10850.278366583516</v>
      </c>
      <c r="AN133">
        <f>IF($E$40="B - Withdrawals + Roth conversions",AJ133*MAX(0,MIN($B$47-AL133,MIN($B$59,IRMAA!$C$16)-(AL133+$B$8*0.85+AK133*$B$46))),0)</f>
        <v>0</v>
      </c>
      <c r="AO133" cm="1">
        <f t="array" ref="AO133">_xlfn.LET(_xlpm.N,$B$49,_xlpm.R,$B$48,_xlpm.Start,$B$47,_xlpm.PlanWD,AL133,_xlpm.PlanRoth,AM133,_xlpm.PlanConv,AN133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12121.000000000002</v>
      </c>
      <c r="AP133" cm="1">
        <f t="array" ref="AP133">_xlfn.LET(_xlpm.N,$B$49,_xlpm.R,$B$48,_xlpm.Start,$B$47,_xlpm.PlanWD,AL133,_xlpm.PlanRoth,AM133,_xlpm.PlanConv,AN133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133" cm="1">
        <f t="array" ref="AQ133">_xlfn.LET(_xlpm.N,$B$49,_xlpm.R,$B$48,_xlpm.Start,$B$47,_xlpm.PlanWD,AL133,_xlpm.PlanRoth,AM133,_xlpm.PlanConv,AN133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997386.80636768113</v>
      </c>
      <c r="AR133" cm="1">
        <f t="array" ref="AR133">_xlfn.LET(_xlpm.N,$B$49,_xlpm.R,$B$48,_xlpm.Start,$B$47,_xlpm.PlanWD,AL133,_xlpm.PlanRoth,AM133,_xlpm.PlanConv,AN133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1217521.0700058746</v>
      </c>
      <c r="AS133">
        <f>--AND(AK133&lt;=SUM('Retirement Gap'!$B$24:$B$25,'Retirement Gap'!$B$27),AL133+AN133&lt;=$B$47,AM133&lt;='Retirement Gap'!$B$29,ABS(AK133+AL133+AM133-$B$10)&lt;1)</f>
        <v>1</v>
      </c>
      <c r="AT133" cm="1">
        <f t="array" ref="AT133">IF(AS133=0,1E+99,_xlfn.SWITCH(LEFT($E$39,1),"1",AO133,"2",AP133*1000000000+AO133,"3",-AQ133,"4",AO133+AP133*25000+AR133*0.005-AQ133*0.0001,AO133))</f>
        <v>-997386.80636768113</v>
      </c>
    </row>
    <row r="134" spans="33:46" x14ac:dyDescent="0.55000000000000004">
      <c r="AG134">
        <f t="shared" si="24"/>
        <v>133</v>
      </c>
      <c r="AH134">
        <f t="shared" si="25"/>
        <v>0.2</v>
      </c>
      <c r="AI134">
        <f t="shared" si="26"/>
        <v>0</v>
      </c>
      <c r="AJ134">
        <f t="shared" si="27"/>
        <v>0</v>
      </c>
      <c r="AK134">
        <f t="shared" si="28"/>
        <v>48595.199999999997</v>
      </c>
      <c r="AL134">
        <f t="shared" si="29"/>
        <v>12148.800000000001</v>
      </c>
      <c r="AM134">
        <f>MIN(MAX(0,$B$10-AL134)*AI134,'Retirement Gap'!$B$29)</f>
        <v>0</v>
      </c>
      <c r="AN134">
        <f>IF($E$40="B - Withdrawals + Roth conversions",AJ134*MAX(0,MIN($B$47-AL134,MIN($B$59,IRMAA!$C$16)-(AL134+$B$8*0.85+AK134*$B$46))),0)</f>
        <v>0</v>
      </c>
      <c r="AO134" cm="1">
        <f t="array" ref="AO134">_xlfn.LET(_xlpm.N,$B$49,_xlpm.R,$B$48,_xlpm.Start,$B$47,_xlpm.PlanWD,AL134,_xlpm.PlanRoth,AM134,_xlpm.PlanConv,AN134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15709.840000000002</v>
      </c>
      <c r="AP134" cm="1">
        <f t="array" ref="AP134">_xlfn.LET(_xlpm.N,$B$49,_xlpm.R,$B$48,_xlpm.Start,$B$47,_xlpm.PlanWD,AL134,_xlpm.PlanRoth,AM134,_xlpm.PlanConv,AN134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134" cm="1">
        <f t="array" ref="AQ134">_xlfn.LET(_xlpm.N,$B$49,_xlpm.R,$B$48,_xlpm.Start,$B$47,_xlpm.PlanWD,AL134,_xlpm.PlanRoth,AM134,_xlpm.PlanConv,AN134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993340.68142796762</v>
      </c>
      <c r="AR134" cm="1">
        <f t="array" ref="AR134">_xlfn.LET(_xlpm.N,$B$49,_xlpm.R,$B$48,_xlpm.Start,$B$47,_xlpm.PlanWD,AL134,_xlpm.PlanRoth,AM134,_xlpm.PlanConv,AN134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1183279.1125296501</v>
      </c>
      <c r="AS134">
        <f>--AND(AK134&lt;=SUM('Retirement Gap'!$B$24:$B$25,'Retirement Gap'!$B$27),AL134+AN134&lt;=$B$47,AM134&lt;='Retirement Gap'!$B$29,ABS(AK134+AL134+AM134-$B$10)&lt;1)</f>
        <v>1</v>
      </c>
      <c r="AT134" cm="1">
        <f t="array" ref="AT134">IF(AS134=0,1E+99,_xlfn.SWITCH(LEFT($E$39,1),"1",AO134,"2",AP134*1000000000+AO134,"3",-AQ134,"4",AO134+AP134*25000+AR134*0.005-AQ134*0.0001,AO134))</f>
        <v>-993340.68142796762</v>
      </c>
    </row>
    <row r="135" spans="33:46" x14ac:dyDescent="0.55000000000000004">
      <c r="AG135">
        <f t="shared" si="24"/>
        <v>134</v>
      </c>
      <c r="AH135">
        <f t="shared" si="25"/>
        <v>0.2</v>
      </c>
      <c r="AI135">
        <f t="shared" si="26"/>
        <v>0</v>
      </c>
      <c r="AJ135">
        <f t="shared" si="27"/>
        <v>0.2</v>
      </c>
      <c r="AK135">
        <f t="shared" si="28"/>
        <v>48595.199999999997</v>
      </c>
      <c r="AL135">
        <f t="shared" si="29"/>
        <v>12148.800000000001</v>
      </c>
      <c r="AM135">
        <f>MIN(MAX(0,$B$10-AL135)*AI135,'Retirement Gap'!$B$29)</f>
        <v>0</v>
      </c>
      <c r="AN135">
        <f>IF($E$40="B - Withdrawals + Roth conversions",AJ135*MAX(0,MIN($B$47-AL135,MIN($B$59,IRMAA!$C$16)-(AL135+$B$8*0.85+AK135*$B$46))),0)</f>
        <v>0</v>
      </c>
      <c r="AO135" cm="1">
        <f t="array" ref="AO135">_xlfn.LET(_xlpm.N,$B$49,_xlpm.R,$B$48,_xlpm.Start,$B$47,_xlpm.PlanWD,AL135,_xlpm.PlanRoth,AM135,_xlpm.PlanConv,AN135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15709.840000000002</v>
      </c>
      <c r="AP135" cm="1">
        <f t="array" ref="AP135">_xlfn.LET(_xlpm.N,$B$49,_xlpm.R,$B$48,_xlpm.Start,$B$47,_xlpm.PlanWD,AL135,_xlpm.PlanRoth,AM135,_xlpm.PlanConv,AN135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135" cm="1">
        <f t="array" ref="AQ135">_xlfn.LET(_xlpm.N,$B$49,_xlpm.R,$B$48,_xlpm.Start,$B$47,_xlpm.PlanWD,AL135,_xlpm.PlanRoth,AM135,_xlpm.PlanConv,AN135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993340.68142796762</v>
      </c>
      <c r="AR135" cm="1">
        <f t="array" ref="AR135">_xlfn.LET(_xlpm.N,$B$49,_xlpm.R,$B$48,_xlpm.Start,$B$47,_xlpm.PlanWD,AL135,_xlpm.PlanRoth,AM135,_xlpm.PlanConv,AN135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1183279.1125296501</v>
      </c>
      <c r="AS135">
        <f>--AND(AK135&lt;=SUM('Retirement Gap'!$B$24:$B$25,'Retirement Gap'!$B$27),AL135+AN135&lt;=$B$47,AM135&lt;='Retirement Gap'!$B$29,ABS(AK135+AL135+AM135-$B$10)&lt;1)</f>
        <v>1</v>
      </c>
      <c r="AT135" cm="1">
        <f t="array" ref="AT135">IF(AS135=0,1E+99,_xlfn.SWITCH(LEFT($E$39,1),"1",AO135,"2",AP135*1000000000+AO135,"3",-AQ135,"4",AO135+AP135*25000+AR135*0.005-AQ135*0.0001,AO135))</f>
        <v>-993340.68142796762</v>
      </c>
    </row>
    <row r="136" spans="33:46" x14ac:dyDescent="0.55000000000000004">
      <c r="AG136">
        <f t="shared" si="24"/>
        <v>135</v>
      </c>
      <c r="AH136">
        <f t="shared" si="25"/>
        <v>0.2</v>
      </c>
      <c r="AI136">
        <f t="shared" si="26"/>
        <v>0</v>
      </c>
      <c r="AJ136">
        <f t="shared" si="27"/>
        <v>0.4</v>
      </c>
      <c r="AK136">
        <f t="shared" si="28"/>
        <v>48595.199999999997</v>
      </c>
      <c r="AL136">
        <f t="shared" si="29"/>
        <v>12148.800000000001</v>
      </c>
      <c r="AM136">
        <f>MIN(MAX(0,$B$10-AL136)*AI136,'Retirement Gap'!$B$29)</f>
        <v>0</v>
      </c>
      <c r="AN136">
        <f>IF($E$40="B - Withdrawals + Roth conversions",AJ136*MAX(0,MIN($B$47-AL136,MIN($B$59,IRMAA!$C$16)-(AL136+$B$8*0.85+AK136*$B$46))),0)</f>
        <v>0</v>
      </c>
      <c r="AO136" cm="1">
        <f t="array" ref="AO136">_xlfn.LET(_xlpm.N,$B$49,_xlpm.R,$B$48,_xlpm.Start,$B$47,_xlpm.PlanWD,AL136,_xlpm.PlanRoth,AM136,_xlpm.PlanConv,AN136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15709.840000000002</v>
      </c>
      <c r="AP136" cm="1">
        <f t="array" ref="AP136">_xlfn.LET(_xlpm.N,$B$49,_xlpm.R,$B$48,_xlpm.Start,$B$47,_xlpm.PlanWD,AL136,_xlpm.PlanRoth,AM136,_xlpm.PlanConv,AN136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136" cm="1">
        <f t="array" ref="AQ136">_xlfn.LET(_xlpm.N,$B$49,_xlpm.R,$B$48,_xlpm.Start,$B$47,_xlpm.PlanWD,AL136,_xlpm.PlanRoth,AM136,_xlpm.PlanConv,AN136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993340.68142796762</v>
      </c>
      <c r="AR136" cm="1">
        <f t="array" ref="AR136">_xlfn.LET(_xlpm.N,$B$49,_xlpm.R,$B$48,_xlpm.Start,$B$47,_xlpm.PlanWD,AL136,_xlpm.PlanRoth,AM136,_xlpm.PlanConv,AN136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1183279.1125296501</v>
      </c>
      <c r="AS136">
        <f>--AND(AK136&lt;=SUM('Retirement Gap'!$B$24:$B$25,'Retirement Gap'!$B$27),AL136+AN136&lt;=$B$47,AM136&lt;='Retirement Gap'!$B$29,ABS(AK136+AL136+AM136-$B$10)&lt;1)</f>
        <v>1</v>
      </c>
      <c r="AT136" cm="1">
        <f t="array" ref="AT136">IF(AS136=0,1E+99,_xlfn.SWITCH(LEFT($E$39,1),"1",AO136,"2",AP136*1000000000+AO136,"3",-AQ136,"4",AO136+AP136*25000+AR136*0.005-AQ136*0.0001,AO136))</f>
        <v>-993340.68142796762</v>
      </c>
    </row>
    <row r="137" spans="33:46" x14ac:dyDescent="0.55000000000000004">
      <c r="AG137">
        <f t="shared" si="24"/>
        <v>136</v>
      </c>
      <c r="AH137">
        <f t="shared" si="25"/>
        <v>0.2</v>
      </c>
      <c r="AI137">
        <f t="shared" si="26"/>
        <v>0</v>
      </c>
      <c r="AJ137">
        <f t="shared" si="27"/>
        <v>0.6</v>
      </c>
      <c r="AK137">
        <f t="shared" si="28"/>
        <v>48595.199999999997</v>
      </c>
      <c r="AL137">
        <f t="shared" si="29"/>
        <v>12148.800000000001</v>
      </c>
      <c r="AM137">
        <f>MIN(MAX(0,$B$10-AL137)*AI137,'Retirement Gap'!$B$29)</f>
        <v>0</v>
      </c>
      <c r="AN137">
        <f>IF($E$40="B - Withdrawals + Roth conversions",AJ137*MAX(0,MIN($B$47-AL137,MIN($B$59,IRMAA!$C$16)-(AL137+$B$8*0.85+AK137*$B$46))),0)</f>
        <v>0</v>
      </c>
      <c r="AO137" cm="1">
        <f t="array" ref="AO137">_xlfn.LET(_xlpm.N,$B$49,_xlpm.R,$B$48,_xlpm.Start,$B$47,_xlpm.PlanWD,AL137,_xlpm.PlanRoth,AM137,_xlpm.PlanConv,AN137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15709.840000000002</v>
      </c>
      <c r="AP137" cm="1">
        <f t="array" ref="AP137">_xlfn.LET(_xlpm.N,$B$49,_xlpm.R,$B$48,_xlpm.Start,$B$47,_xlpm.PlanWD,AL137,_xlpm.PlanRoth,AM137,_xlpm.PlanConv,AN137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137" cm="1">
        <f t="array" ref="AQ137">_xlfn.LET(_xlpm.N,$B$49,_xlpm.R,$B$48,_xlpm.Start,$B$47,_xlpm.PlanWD,AL137,_xlpm.PlanRoth,AM137,_xlpm.PlanConv,AN137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993340.68142796762</v>
      </c>
      <c r="AR137" cm="1">
        <f t="array" ref="AR137">_xlfn.LET(_xlpm.N,$B$49,_xlpm.R,$B$48,_xlpm.Start,$B$47,_xlpm.PlanWD,AL137,_xlpm.PlanRoth,AM137,_xlpm.PlanConv,AN137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1183279.1125296501</v>
      </c>
      <c r="AS137">
        <f>--AND(AK137&lt;=SUM('Retirement Gap'!$B$24:$B$25,'Retirement Gap'!$B$27),AL137+AN137&lt;=$B$47,AM137&lt;='Retirement Gap'!$B$29,ABS(AK137+AL137+AM137-$B$10)&lt;1)</f>
        <v>1</v>
      </c>
      <c r="AT137" cm="1">
        <f t="array" ref="AT137">IF(AS137=0,1E+99,_xlfn.SWITCH(LEFT($E$39,1),"1",AO137,"2",AP137*1000000000+AO137,"3",-AQ137,"4",AO137+AP137*25000+AR137*0.005-AQ137*0.0001,AO137))</f>
        <v>-993340.68142796762</v>
      </c>
    </row>
    <row r="138" spans="33:46" x14ac:dyDescent="0.55000000000000004">
      <c r="AG138">
        <f t="shared" si="24"/>
        <v>137</v>
      </c>
      <c r="AH138">
        <f t="shared" si="25"/>
        <v>0.2</v>
      </c>
      <c r="AI138">
        <f t="shared" si="26"/>
        <v>0</v>
      </c>
      <c r="AJ138">
        <f t="shared" si="27"/>
        <v>0.8</v>
      </c>
      <c r="AK138">
        <f t="shared" si="28"/>
        <v>48595.199999999997</v>
      </c>
      <c r="AL138">
        <f t="shared" si="29"/>
        <v>12148.800000000001</v>
      </c>
      <c r="AM138">
        <f>MIN(MAX(0,$B$10-AL138)*AI138,'Retirement Gap'!$B$29)</f>
        <v>0</v>
      </c>
      <c r="AN138">
        <f>IF($E$40="B - Withdrawals + Roth conversions",AJ138*MAX(0,MIN($B$47-AL138,MIN($B$59,IRMAA!$C$16)-(AL138+$B$8*0.85+AK138*$B$46))),0)</f>
        <v>0</v>
      </c>
      <c r="AO138" cm="1">
        <f t="array" ref="AO138">_xlfn.LET(_xlpm.N,$B$49,_xlpm.R,$B$48,_xlpm.Start,$B$47,_xlpm.PlanWD,AL138,_xlpm.PlanRoth,AM138,_xlpm.PlanConv,AN138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15709.840000000002</v>
      </c>
      <c r="AP138" cm="1">
        <f t="array" ref="AP138">_xlfn.LET(_xlpm.N,$B$49,_xlpm.R,$B$48,_xlpm.Start,$B$47,_xlpm.PlanWD,AL138,_xlpm.PlanRoth,AM138,_xlpm.PlanConv,AN138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138" cm="1">
        <f t="array" ref="AQ138">_xlfn.LET(_xlpm.N,$B$49,_xlpm.R,$B$48,_xlpm.Start,$B$47,_xlpm.PlanWD,AL138,_xlpm.PlanRoth,AM138,_xlpm.PlanConv,AN138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993340.68142796762</v>
      </c>
      <c r="AR138" cm="1">
        <f t="array" ref="AR138">_xlfn.LET(_xlpm.N,$B$49,_xlpm.R,$B$48,_xlpm.Start,$B$47,_xlpm.PlanWD,AL138,_xlpm.PlanRoth,AM138,_xlpm.PlanConv,AN138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1183279.1125296501</v>
      </c>
      <c r="AS138">
        <f>--AND(AK138&lt;=SUM('Retirement Gap'!$B$24:$B$25,'Retirement Gap'!$B$27),AL138+AN138&lt;=$B$47,AM138&lt;='Retirement Gap'!$B$29,ABS(AK138+AL138+AM138-$B$10)&lt;1)</f>
        <v>1</v>
      </c>
      <c r="AT138" cm="1">
        <f t="array" ref="AT138">IF(AS138=0,1E+99,_xlfn.SWITCH(LEFT($E$39,1),"1",AO138,"2",AP138*1000000000+AO138,"3",-AQ138,"4",AO138+AP138*25000+AR138*0.005-AQ138*0.0001,AO138))</f>
        <v>-993340.68142796762</v>
      </c>
    </row>
    <row r="139" spans="33:46" x14ac:dyDescent="0.55000000000000004">
      <c r="AG139">
        <f t="shared" si="24"/>
        <v>138</v>
      </c>
      <c r="AH139">
        <f t="shared" si="25"/>
        <v>0.2</v>
      </c>
      <c r="AI139">
        <f t="shared" si="26"/>
        <v>0</v>
      </c>
      <c r="AJ139">
        <f t="shared" si="27"/>
        <v>1</v>
      </c>
      <c r="AK139">
        <f t="shared" si="28"/>
        <v>48595.199999999997</v>
      </c>
      <c r="AL139">
        <f t="shared" si="29"/>
        <v>12148.800000000001</v>
      </c>
      <c r="AM139">
        <f>MIN(MAX(0,$B$10-AL139)*AI139,'Retirement Gap'!$B$29)</f>
        <v>0</v>
      </c>
      <c r="AN139">
        <f>IF($E$40="B - Withdrawals + Roth conversions",AJ139*MAX(0,MIN($B$47-AL139,MIN($B$59,IRMAA!$C$16)-(AL139+$B$8*0.85+AK139*$B$46))),0)</f>
        <v>0</v>
      </c>
      <c r="AO139" cm="1">
        <f t="array" ref="AO139">_xlfn.LET(_xlpm.N,$B$49,_xlpm.R,$B$48,_xlpm.Start,$B$47,_xlpm.PlanWD,AL139,_xlpm.PlanRoth,AM139,_xlpm.PlanConv,AN139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15709.840000000002</v>
      </c>
      <c r="AP139" cm="1">
        <f t="array" ref="AP139">_xlfn.LET(_xlpm.N,$B$49,_xlpm.R,$B$48,_xlpm.Start,$B$47,_xlpm.PlanWD,AL139,_xlpm.PlanRoth,AM139,_xlpm.PlanConv,AN139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139" cm="1">
        <f t="array" ref="AQ139">_xlfn.LET(_xlpm.N,$B$49,_xlpm.R,$B$48,_xlpm.Start,$B$47,_xlpm.PlanWD,AL139,_xlpm.PlanRoth,AM139,_xlpm.PlanConv,AN139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993340.68142796762</v>
      </c>
      <c r="AR139" cm="1">
        <f t="array" ref="AR139">_xlfn.LET(_xlpm.N,$B$49,_xlpm.R,$B$48,_xlpm.Start,$B$47,_xlpm.PlanWD,AL139,_xlpm.PlanRoth,AM139,_xlpm.PlanConv,AN139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1183279.1125296501</v>
      </c>
      <c r="AS139">
        <f>--AND(AK139&lt;=SUM('Retirement Gap'!$B$24:$B$25,'Retirement Gap'!$B$27),AL139+AN139&lt;=$B$47,AM139&lt;='Retirement Gap'!$B$29,ABS(AK139+AL139+AM139-$B$10)&lt;1)</f>
        <v>1</v>
      </c>
      <c r="AT139" cm="1">
        <f t="array" ref="AT139">IF(AS139=0,1E+99,_xlfn.SWITCH(LEFT($E$39,1),"1",AO139,"2",AP139*1000000000+AO139,"3",-AQ139,"4",AO139+AP139*25000+AR139*0.005-AQ139*0.0001,AO139))</f>
        <v>-993340.68142796762</v>
      </c>
    </row>
    <row r="140" spans="33:46" x14ac:dyDescent="0.55000000000000004">
      <c r="AG140">
        <f t="shared" si="24"/>
        <v>139</v>
      </c>
      <c r="AH140">
        <f t="shared" si="25"/>
        <v>0.2</v>
      </c>
      <c r="AI140">
        <f t="shared" si="26"/>
        <v>0.1</v>
      </c>
      <c r="AJ140">
        <f t="shared" si="27"/>
        <v>0</v>
      </c>
      <c r="AK140">
        <f t="shared" si="28"/>
        <v>43735.68</v>
      </c>
      <c r="AL140">
        <f t="shared" si="29"/>
        <v>12148.800000000001</v>
      </c>
      <c r="AM140">
        <f>MIN(MAX(0,$B$10-AL140)*AI140,'Retirement Gap'!$B$29)</f>
        <v>4859.5199999999995</v>
      </c>
      <c r="AN140">
        <f>IF($E$40="B - Withdrawals + Roth conversions",AJ140*MAX(0,MIN($B$47-AL140,MIN($B$59,IRMAA!$C$16)-(AL140+$B$8*0.85+AK140*$B$46))),0)</f>
        <v>0</v>
      </c>
      <c r="AO140" cm="1">
        <f t="array" ref="AO140">_xlfn.LET(_xlpm.N,$B$49,_xlpm.R,$B$48,_xlpm.Start,$B$47,_xlpm.PlanWD,AL140,_xlpm.PlanRoth,AM140,_xlpm.PlanConv,AN140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15709.840000000002</v>
      </c>
      <c r="AP140" cm="1">
        <f t="array" ref="AP140">_xlfn.LET(_xlpm.N,$B$49,_xlpm.R,$B$48,_xlpm.Start,$B$47,_xlpm.PlanWD,AL140,_xlpm.PlanRoth,AM140,_xlpm.PlanConv,AN140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140" cm="1">
        <f t="array" ref="AQ140">_xlfn.LET(_xlpm.N,$B$49,_xlpm.R,$B$48,_xlpm.Start,$B$47,_xlpm.PlanWD,AL140,_xlpm.PlanRoth,AM140,_xlpm.PlanConv,AN140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993340.68142796762</v>
      </c>
      <c r="AR140" cm="1">
        <f t="array" ref="AR140">_xlfn.LET(_xlpm.N,$B$49,_xlpm.R,$B$48,_xlpm.Start,$B$47,_xlpm.PlanWD,AL140,_xlpm.PlanRoth,AM140,_xlpm.PlanConv,AN140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1183279.1125296501</v>
      </c>
      <c r="AS140">
        <f>--AND(AK140&lt;=SUM('Retirement Gap'!$B$24:$B$25,'Retirement Gap'!$B$27),AL140+AN140&lt;=$B$47,AM140&lt;='Retirement Gap'!$B$29,ABS(AK140+AL140+AM140-$B$10)&lt;1)</f>
        <v>1</v>
      </c>
      <c r="AT140" cm="1">
        <f t="array" ref="AT140">IF(AS140=0,1E+99,_xlfn.SWITCH(LEFT($E$39,1),"1",AO140,"2",AP140*1000000000+AO140,"3",-AQ140,"4",AO140+AP140*25000+AR140*0.005-AQ140*0.0001,AO140))</f>
        <v>-993340.68142796762</v>
      </c>
    </row>
    <row r="141" spans="33:46" x14ac:dyDescent="0.55000000000000004">
      <c r="AG141">
        <f t="shared" si="24"/>
        <v>140</v>
      </c>
      <c r="AH141">
        <f t="shared" si="25"/>
        <v>0.2</v>
      </c>
      <c r="AI141">
        <f t="shared" si="26"/>
        <v>0.1</v>
      </c>
      <c r="AJ141">
        <f t="shared" si="27"/>
        <v>0.2</v>
      </c>
      <c r="AK141">
        <f t="shared" si="28"/>
        <v>43735.68</v>
      </c>
      <c r="AL141">
        <f t="shared" si="29"/>
        <v>12148.800000000001</v>
      </c>
      <c r="AM141">
        <f>MIN(MAX(0,$B$10-AL141)*AI141,'Retirement Gap'!$B$29)</f>
        <v>4859.5199999999995</v>
      </c>
      <c r="AN141">
        <f>IF($E$40="B - Withdrawals + Roth conversions",AJ141*MAX(0,MIN($B$47-AL141,MIN($B$59,IRMAA!$C$16)-(AL141+$B$8*0.85+AK141*$B$46))),0)</f>
        <v>0</v>
      </c>
      <c r="AO141" cm="1">
        <f t="array" ref="AO141">_xlfn.LET(_xlpm.N,$B$49,_xlpm.R,$B$48,_xlpm.Start,$B$47,_xlpm.PlanWD,AL141,_xlpm.PlanRoth,AM141,_xlpm.PlanConv,AN141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15709.840000000002</v>
      </c>
      <c r="AP141" cm="1">
        <f t="array" ref="AP141">_xlfn.LET(_xlpm.N,$B$49,_xlpm.R,$B$48,_xlpm.Start,$B$47,_xlpm.PlanWD,AL141,_xlpm.PlanRoth,AM141,_xlpm.PlanConv,AN141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141" cm="1">
        <f t="array" ref="AQ141">_xlfn.LET(_xlpm.N,$B$49,_xlpm.R,$B$48,_xlpm.Start,$B$47,_xlpm.PlanWD,AL141,_xlpm.PlanRoth,AM141,_xlpm.PlanConv,AN141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993340.68142796762</v>
      </c>
      <c r="AR141" cm="1">
        <f t="array" ref="AR141">_xlfn.LET(_xlpm.N,$B$49,_xlpm.R,$B$48,_xlpm.Start,$B$47,_xlpm.PlanWD,AL141,_xlpm.PlanRoth,AM141,_xlpm.PlanConv,AN141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1183279.1125296501</v>
      </c>
      <c r="AS141">
        <f>--AND(AK141&lt;=SUM('Retirement Gap'!$B$24:$B$25,'Retirement Gap'!$B$27),AL141+AN141&lt;=$B$47,AM141&lt;='Retirement Gap'!$B$29,ABS(AK141+AL141+AM141-$B$10)&lt;1)</f>
        <v>1</v>
      </c>
      <c r="AT141" cm="1">
        <f t="array" ref="AT141">IF(AS141=0,1E+99,_xlfn.SWITCH(LEFT($E$39,1),"1",AO141,"2",AP141*1000000000+AO141,"3",-AQ141,"4",AO141+AP141*25000+AR141*0.005-AQ141*0.0001,AO141))</f>
        <v>-993340.68142796762</v>
      </c>
    </row>
    <row r="142" spans="33:46" x14ac:dyDescent="0.55000000000000004">
      <c r="AG142">
        <f t="shared" si="24"/>
        <v>141</v>
      </c>
      <c r="AH142">
        <f t="shared" si="25"/>
        <v>0.2</v>
      </c>
      <c r="AI142">
        <f t="shared" si="26"/>
        <v>0.1</v>
      </c>
      <c r="AJ142">
        <f t="shared" si="27"/>
        <v>0.4</v>
      </c>
      <c r="AK142">
        <f t="shared" si="28"/>
        <v>43735.68</v>
      </c>
      <c r="AL142">
        <f t="shared" si="29"/>
        <v>12148.800000000001</v>
      </c>
      <c r="AM142">
        <f>MIN(MAX(0,$B$10-AL142)*AI142,'Retirement Gap'!$B$29)</f>
        <v>4859.5199999999995</v>
      </c>
      <c r="AN142">
        <f>IF($E$40="B - Withdrawals + Roth conversions",AJ142*MAX(0,MIN($B$47-AL142,MIN($B$59,IRMAA!$C$16)-(AL142+$B$8*0.85+AK142*$B$46))),0)</f>
        <v>0</v>
      </c>
      <c r="AO142" cm="1">
        <f t="array" ref="AO142">_xlfn.LET(_xlpm.N,$B$49,_xlpm.R,$B$48,_xlpm.Start,$B$47,_xlpm.PlanWD,AL142,_xlpm.PlanRoth,AM142,_xlpm.PlanConv,AN142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15709.840000000002</v>
      </c>
      <c r="AP142" cm="1">
        <f t="array" ref="AP142">_xlfn.LET(_xlpm.N,$B$49,_xlpm.R,$B$48,_xlpm.Start,$B$47,_xlpm.PlanWD,AL142,_xlpm.PlanRoth,AM142,_xlpm.PlanConv,AN142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142" cm="1">
        <f t="array" ref="AQ142">_xlfn.LET(_xlpm.N,$B$49,_xlpm.R,$B$48,_xlpm.Start,$B$47,_xlpm.PlanWD,AL142,_xlpm.PlanRoth,AM142,_xlpm.PlanConv,AN142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993340.68142796762</v>
      </c>
      <c r="AR142" cm="1">
        <f t="array" ref="AR142">_xlfn.LET(_xlpm.N,$B$49,_xlpm.R,$B$48,_xlpm.Start,$B$47,_xlpm.PlanWD,AL142,_xlpm.PlanRoth,AM142,_xlpm.PlanConv,AN142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1183279.1125296501</v>
      </c>
      <c r="AS142">
        <f>--AND(AK142&lt;=SUM('Retirement Gap'!$B$24:$B$25,'Retirement Gap'!$B$27),AL142+AN142&lt;=$B$47,AM142&lt;='Retirement Gap'!$B$29,ABS(AK142+AL142+AM142-$B$10)&lt;1)</f>
        <v>1</v>
      </c>
      <c r="AT142" cm="1">
        <f t="array" ref="AT142">IF(AS142=0,1E+99,_xlfn.SWITCH(LEFT($E$39,1),"1",AO142,"2",AP142*1000000000+AO142,"3",-AQ142,"4",AO142+AP142*25000+AR142*0.005-AQ142*0.0001,AO142))</f>
        <v>-993340.68142796762</v>
      </c>
    </row>
    <row r="143" spans="33:46" x14ac:dyDescent="0.55000000000000004">
      <c r="AG143">
        <f t="shared" si="24"/>
        <v>142</v>
      </c>
      <c r="AH143">
        <f t="shared" si="25"/>
        <v>0.2</v>
      </c>
      <c r="AI143">
        <f t="shared" si="26"/>
        <v>0.1</v>
      </c>
      <c r="AJ143">
        <f t="shared" si="27"/>
        <v>0.6</v>
      </c>
      <c r="AK143">
        <f t="shared" si="28"/>
        <v>43735.68</v>
      </c>
      <c r="AL143">
        <f t="shared" si="29"/>
        <v>12148.800000000001</v>
      </c>
      <c r="AM143">
        <f>MIN(MAX(0,$B$10-AL143)*AI143,'Retirement Gap'!$B$29)</f>
        <v>4859.5199999999995</v>
      </c>
      <c r="AN143">
        <f>IF($E$40="B - Withdrawals + Roth conversions",AJ143*MAX(0,MIN($B$47-AL143,MIN($B$59,IRMAA!$C$16)-(AL143+$B$8*0.85+AK143*$B$46))),0)</f>
        <v>0</v>
      </c>
      <c r="AO143" cm="1">
        <f t="array" ref="AO143">_xlfn.LET(_xlpm.N,$B$49,_xlpm.R,$B$48,_xlpm.Start,$B$47,_xlpm.PlanWD,AL143,_xlpm.PlanRoth,AM143,_xlpm.PlanConv,AN143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15709.840000000002</v>
      </c>
      <c r="AP143" cm="1">
        <f t="array" ref="AP143">_xlfn.LET(_xlpm.N,$B$49,_xlpm.R,$B$48,_xlpm.Start,$B$47,_xlpm.PlanWD,AL143,_xlpm.PlanRoth,AM143,_xlpm.PlanConv,AN143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143" cm="1">
        <f t="array" ref="AQ143">_xlfn.LET(_xlpm.N,$B$49,_xlpm.R,$B$48,_xlpm.Start,$B$47,_xlpm.PlanWD,AL143,_xlpm.PlanRoth,AM143,_xlpm.PlanConv,AN143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993340.68142796762</v>
      </c>
      <c r="AR143" cm="1">
        <f t="array" ref="AR143">_xlfn.LET(_xlpm.N,$B$49,_xlpm.R,$B$48,_xlpm.Start,$B$47,_xlpm.PlanWD,AL143,_xlpm.PlanRoth,AM143,_xlpm.PlanConv,AN143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1183279.1125296501</v>
      </c>
      <c r="AS143">
        <f>--AND(AK143&lt;=SUM('Retirement Gap'!$B$24:$B$25,'Retirement Gap'!$B$27),AL143+AN143&lt;=$B$47,AM143&lt;='Retirement Gap'!$B$29,ABS(AK143+AL143+AM143-$B$10)&lt;1)</f>
        <v>1</v>
      </c>
      <c r="AT143" cm="1">
        <f t="array" ref="AT143">IF(AS143=0,1E+99,_xlfn.SWITCH(LEFT($E$39,1),"1",AO143,"2",AP143*1000000000+AO143,"3",-AQ143,"4",AO143+AP143*25000+AR143*0.005-AQ143*0.0001,AO143))</f>
        <v>-993340.68142796762</v>
      </c>
    </row>
    <row r="144" spans="33:46" x14ac:dyDescent="0.55000000000000004">
      <c r="AG144">
        <f t="shared" si="24"/>
        <v>143</v>
      </c>
      <c r="AH144">
        <f t="shared" si="25"/>
        <v>0.2</v>
      </c>
      <c r="AI144">
        <f t="shared" si="26"/>
        <v>0.1</v>
      </c>
      <c r="AJ144">
        <f t="shared" si="27"/>
        <v>0.8</v>
      </c>
      <c r="AK144">
        <f t="shared" si="28"/>
        <v>43735.68</v>
      </c>
      <c r="AL144">
        <f t="shared" si="29"/>
        <v>12148.800000000001</v>
      </c>
      <c r="AM144">
        <f>MIN(MAX(0,$B$10-AL144)*AI144,'Retirement Gap'!$B$29)</f>
        <v>4859.5199999999995</v>
      </c>
      <c r="AN144">
        <f>IF($E$40="B - Withdrawals + Roth conversions",AJ144*MAX(0,MIN($B$47-AL144,MIN($B$59,IRMAA!$C$16)-(AL144+$B$8*0.85+AK144*$B$46))),0)</f>
        <v>0</v>
      </c>
      <c r="AO144" cm="1">
        <f t="array" ref="AO144">_xlfn.LET(_xlpm.N,$B$49,_xlpm.R,$B$48,_xlpm.Start,$B$47,_xlpm.PlanWD,AL144,_xlpm.PlanRoth,AM144,_xlpm.PlanConv,AN144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15709.840000000002</v>
      </c>
      <c r="AP144" cm="1">
        <f t="array" ref="AP144">_xlfn.LET(_xlpm.N,$B$49,_xlpm.R,$B$48,_xlpm.Start,$B$47,_xlpm.PlanWD,AL144,_xlpm.PlanRoth,AM144,_xlpm.PlanConv,AN144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144" cm="1">
        <f t="array" ref="AQ144">_xlfn.LET(_xlpm.N,$B$49,_xlpm.R,$B$48,_xlpm.Start,$B$47,_xlpm.PlanWD,AL144,_xlpm.PlanRoth,AM144,_xlpm.PlanConv,AN144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993340.68142796762</v>
      </c>
      <c r="AR144" cm="1">
        <f t="array" ref="AR144">_xlfn.LET(_xlpm.N,$B$49,_xlpm.R,$B$48,_xlpm.Start,$B$47,_xlpm.PlanWD,AL144,_xlpm.PlanRoth,AM144,_xlpm.PlanConv,AN144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1183279.1125296501</v>
      </c>
      <c r="AS144">
        <f>--AND(AK144&lt;=SUM('Retirement Gap'!$B$24:$B$25,'Retirement Gap'!$B$27),AL144+AN144&lt;=$B$47,AM144&lt;='Retirement Gap'!$B$29,ABS(AK144+AL144+AM144-$B$10)&lt;1)</f>
        <v>1</v>
      </c>
      <c r="AT144" cm="1">
        <f t="array" ref="AT144">IF(AS144=0,1E+99,_xlfn.SWITCH(LEFT($E$39,1),"1",AO144,"2",AP144*1000000000+AO144,"3",-AQ144,"4",AO144+AP144*25000+AR144*0.005-AQ144*0.0001,AO144))</f>
        <v>-993340.68142796762</v>
      </c>
    </row>
    <row r="145" spans="33:46" x14ac:dyDescent="0.55000000000000004">
      <c r="AG145">
        <f t="shared" si="24"/>
        <v>144</v>
      </c>
      <c r="AH145">
        <f t="shared" si="25"/>
        <v>0.2</v>
      </c>
      <c r="AI145">
        <f t="shared" si="26"/>
        <v>0.1</v>
      </c>
      <c r="AJ145">
        <f t="shared" si="27"/>
        <v>1</v>
      </c>
      <c r="AK145">
        <f t="shared" si="28"/>
        <v>43735.68</v>
      </c>
      <c r="AL145">
        <f t="shared" si="29"/>
        <v>12148.800000000001</v>
      </c>
      <c r="AM145">
        <f>MIN(MAX(0,$B$10-AL145)*AI145,'Retirement Gap'!$B$29)</f>
        <v>4859.5199999999995</v>
      </c>
      <c r="AN145">
        <f>IF($E$40="B - Withdrawals + Roth conversions",AJ145*MAX(0,MIN($B$47-AL145,MIN($B$59,IRMAA!$C$16)-(AL145+$B$8*0.85+AK145*$B$46))),0)</f>
        <v>0</v>
      </c>
      <c r="AO145" cm="1">
        <f t="array" ref="AO145">_xlfn.LET(_xlpm.N,$B$49,_xlpm.R,$B$48,_xlpm.Start,$B$47,_xlpm.PlanWD,AL145,_xlpm.PlanRoth,AM145,_xlpm.PlanConv,AN145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15709.840000000002</v>
      </c>
      <c r="AP145" cm="1">
        <f t="array" ref="AP145">_xlfn.LET(_xlpm.N,$B$49,_xlpm.R,$B$48,_xlpm.Start,$B$47,_xlpm.PlanWD,AL145,_xlpm.PlanRoth,AM145,_xlpm.PlanConv,AN145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145" cm="1">
        <f t="array" ref="AQ145">_xlfn.LET(_xlpm.N,$B$49,_xlpm.R,$B$48,_xlpm.Start,$B$47,_xlpm.PlanWD,AL145,_xlpm.PlanRoth,AM145,_xlpm.PlanConv,AN145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993340.68142796762</v>
      </c>
      <c r="AR145" cm="1">
        <f t="array" ref="AR145">_xlfn.LET(_xlpm.N,$B$49,_xlpm.R,$B$48,_xlpm.Start,$B$47,_xlpm.PlanWD,AL145,_xlpm.PlanRoth,AM145,_xlpm.PlanConv,AN145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1183279.1125296501</v>
      </c>
      <c r="AS145">
        <f>--AND(AK145&lt;=SUM('Retirement Gap'!$B$24:$B$25,'Retirement Gap'!$B$27),AL145+AN145&lt;=$B$47,AM145&lt;='Retirement Gap'!$B$29,ABS(AK145+AL145+AM145-$B$10)&lt;1)</f>
        <v>1</v>
      </c>
      <c r="AT145" cm="1">
        <f t="array" ref="AT145">IF(AS145=0,1E+99,_xlfn.SWITCH(LEFT($E$39,1),"1",AO145,"2",AP145*1000000000+AO145,"3",-AQ145,"4",AO145+AP145*25000+AR145*0.005-AQ145*0.0001,AO145))</f>
        <v>-993340.68142796762</v>
      </c>
    </row>
    <row r="146" spans="33:46" x14ac:dyDescent="0.55000000000000004">
      <c r="AG146">
        <f t="shared" si="24"/>
        <v>145</v>
      </c>
      <c r="AH146">
        <f t="shared" si="25"/>
        <v>0.2</v>
      </c>
      <c r="AI146">
        <f t="shared" si="26"/>
        <v>0.2</v>
      </c>
      <c r="AJ146">
        <f t="shared" si="27"/>
        <v>0</v>
      </c>
      <c r="AK146">
        <f t="shared" si="28"/>
        <v>38876.159999999996</v>
      </c>
      <c r="AL146">
        <f t="shared" si="29"/>
        <v>12148.800000000001</v>
      </c>
      <c r="AM146">
        <f>MIN(MAX(0,$B$10-AL146)*AI146,'Retirement Gap'!$B$29)</f>
        <v>9719.0399999999991</v>
      </c>
      <c r="AN146">
        <f>IF($E$40="B - Withdrawals + Roth conversions",AJ146*MAX(0,MIN($B$47-AL146,MIN($B$59,IRMAA!$C$16)-(AL146+$B$8*0.85+AK146*$B$46))),0)</f>
        <v>0</v>
      </c>
      <c r="AO146" cm="1">
        <f t="array" ref="AO146">_xlfn.LET(_xlpm.N,$B$49,_xlpm.R,$B$48,_xlpm.Start,$B$47,_xlpm.PlanWD,AL146,_xlpm.PlanRoth,AM146,_xlpm.PlanConv,AN146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15709.840000000002</v>
      </c>
      <c r="AP146" cm="1">
        <f t="array" ref="AP146">_xlfn.LET(_xlpm.N,$B$49,_xlpm.R,$B$48,_xlpm.Start,$B$47,_xlpm.PlanWD,AL146,_xlpm.PlanRoth,AM146,_xlpm.PlanConv,AN146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146" cm="1">
        <f t="array" ref="AQ146">_xlfn.LET(_xlpm.N,$B$49,_xlpm.R,$B$48,_xlpm.Start,$B$47,_xlpm.PlanWD,AL146,_xlpm.PlanRoth,AM146,_xlpm.PlanConv,AN146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993340.68142796762</v>
      </c>
      <c r="AR146" cm="1">
        <f t="array" ref="AR146">_xlfn.LET(_xlpm.N,$B$49,_xlpm.R,$B$48,_xlpm.Start,$B$47,_xlpm.PlanWD,AL146,_xlpm.PlanRoth,AM146,_xlpm.PlanConv,AN146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1183279.1125296501</v>
      </c>
      <c r="AS146">
        <f>--AND(AK146&lt;=SUM('Retirement Gap'!$B$24:$B$25,'Retirement Gap'!$B$27),AL146+AN146&lt;=$B$47,AM146&lt;='Retirement Gap'!$B$29,ABS(AK146+AL146+AM146-$B$10)&lt;1)</f>
        <v>1</v>
      </c>
      <c r="AT146" cm="1">
        <f t="array" ref="AT146">IF(AS146=0,1E+99,_xlfn.SWITCH(LEFT($E$39,1),"1",AO146,"2",AP146*1000000000+AO146,"3",-AQ146,"4",AO146+AP146*25000+AR146*0.005-AQ146*0.0001,AO146))</f>
        <v>-993340.68142796762</v>
      </c>
    </row>
    <row r="147" spans="33:46" x14ac:dyDescent="0.55000000000000004">
      <c r="AG147">
        <f t="shared" si="24"/>
        <v>146</v>
      </c>
      <c r="AH147">
        <f t="shared" si="25"/>
        <v>0.2</v>
      </c>
      <c r="AI147">
        <f t="shared" si="26"/>
        <v>0.2</v>
      </c>
      <c r="AJ147">
        <f t="shared" si="27"/>
        <v>0.2</v>
      </c>
      <c r="AK147">
        <f t="shared" si="28"/>
        <v>38876.159999999996</v>
      </c>
      <c r="AL147">
        <f t="shared" si="29"/>
        <v>12148.800000000001</v>
      </c>
      <c r="AM147">
        <f>MIN(MAX(0,$B$10-AL147)*AI147,'Retirement Gap'!$B$29)</f>
        <v>9719.0399999999991</v>
      </c>
      <c r="AN147">
        <f>IF($E$40="B - Withdrawals + Roth conversions",AJ147*MAX(0,MIN($B$47-AL147,MIN($B$59,IRMAA!$C$16)-(AL147+$B$8*0.85+AK147*$B$46))),0)</f>
        <v>0</v>
      </c>
      <c r="AO147" cm="1">
        <f t="array" ref="AO147">_xlfn.LET(_xlpm.N,$B$49,_xlpm.R,$B$48,_xlpm.Start,$B$47,_xlpm.PlanWD,AL147,_xlpm.PlanRoth,AM147,_xlpm.PlanConv,AN147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15709.840000000002</v>
      </c>
      <c r="AP147" cm="1">
        <f t="array" ref="AP147">_xlfn.LET(_xlpm.N,$B$49,_xlpm.R,$B$48,_xlpm.Start,$B$47,_xlpm.PlanWD,AL147,_xlpm.PlanRoth,AM147,_xlpm.PlanConv,AN147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147" cm="1">
        <f t="array" ref="AQ147">_xlfn.LET(_xlpm.N,$B$49,_xlpm.R,$B$48,_xlpm.Start,$B$47,_xlpm.PlanWD,AL147,_xlpm.PlanRoth,AM147,_xlpm.PlanConv,AN147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993340.68142796762</v>
      </c>
      <c r="AR147" cm="1">
        <f t="array" ref="AR147">_xlfn.LET(_xlpm.N,$B$49,_xlpm.R,$B$48,_xlpm.Start,$B$47,_xlpm.PlanWD,AL147,_xlpm.PlanRoth,AM147,_xlpm.PlanConv,AN147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1183279.1125296501</v>
      </c>
      <c r="AS147">
        <f>--AND(AK147&lt;=SUM('Retirement Gap'!$B$24:$B$25,'Retirement Gap'!$B$27),AL147+AN147&lt;=$B$47,AM147&lt;='Retirement Gap'!$B$29,ABS(AK147+AL147+AM147-$B$10)&lt;1)</f>
        <v>1</v>
      </c>
      <c r="AT147" cm="1">
        <f t="array" ref="AT147">IF(AS147=0,1E+99,_xlfn.SWITCH(LEFT($E$39,1),"1",AO147,"2",AP147*1000000000+AO147,"3",-AQ147,"4",AO147+AP147*25000+AR147*0.005-AQ147*0.0001,AO147))</f>
        <v>-993340.68142796762</v>
      </c>
    </row>
    <row r="148" spans="33:46" x14ac:dyDescent="0.55000000000000004">
      <c r="AG148">
        <f t="shared" si="24"/>
        <v>147</v>
      </c>
      <c r="AH148">
        <f t="shared" si="25"/>
        <v>0.2</v>
      </c>
      <c r="AI148">
        <f t="shared" si="26"/>
        <v>0.2</v>
      </c>
      <c r="AJ148">
        <f t="shared" si="27"/>
        <v>0.4</v>
      </c>
      <c r="AK148">
        <f t="shared" si="28"/>
        <v>38876.159999999996</v>
      </c>
      <c r="AL148">
        <f t="shared" si="29"/>
        <v>12148.800000000001</v>
      </c>
      <c r="AM148">
        <f>MIN(MAX(0,$B$10-AL148)*AI148,'Retirement Gap'!$B$29)</f>
        <v>9719.0399999999991</v>
      </c>
      <c r="AN148">
        <f>IF($E$40="B - Withdrawals + Roth conversions",AJ148*MAX(0,MIN($B$47-AL148,MIN($B$59,IRMAA!$C$16)-(AL148+$B$8*0.85+AK148*$B$46))),0)</f>
        <v>0</v>
      </c>
      <c r="AO148" cm="1">
        <f t="array" ref="AO148">_xlfn.LET(_xlpm.N,$B$49,_xlpm.R,$B$48,_xlpm.Start,$B$47,_xlpm.PlanWD,AL148,_xlpm.PlanRoth,AM148,_xlpm.PlanConv,AN148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15709.840000000002</v>
      </c>
      <c r="AP148" cm="1">
        <f t="array" ref="AP148">_xlfn.LET(_xlpm.N,$B$49,_xlpm.R,$B$48,_xlpm.Start,$B$47,_xlpm.PlanWD,AL148,_xlpm.PlanRoth,AM148,_xlpm.PlanConv,AN148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148" cm="1">
        <f t="array" ref="AQ148">_xlfn.LET(_xlpm.N,$B$49,_xlpm.R,$B$48,_xlpm.Start,$B$47,_xlpm.PlanWD,AL148,_xlpm.PlanRoth,AM148,_xlpm.PlanConv,AN148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993340.68142796762</v>
      </c>
      <c r="AR148" cm="1">
        <f t="array" ref="AR148">_xlfn.LET(_xlpm.N,$B$49,_xlpm.R,$B$48,_xlpm.Start,$B$47,_xlpm.PlanWD,AL148,_xlpm.PlanRoth,AM148,_xlpm.PlanConv,AN148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1183279.1125296501</v>
      </c>
      <c r="AS148">
        <f>--AND(AK148&lt;=SUM('Retirement Gap'!$B$24:$B$25,'Retirement Gap'!$B$27),AL148+AN148&lt;=$B$47,AM148&lt;='Retirement Gap'!$B$29,ABS(AK148+AL148+AM148-$B$10)&lt;1)</f>
        <v>1</v>
      </c>
      <c r="AT148" cm="1">
        <f t="array" ref="AT148">IF(AS148=0,1E+99,_xlfn.SWITCH(LEFT($E$39,1),"1",AO148,"2",AP148*1000000000+AO148,"3",-AQ148,"4",AO148+AP148*25000+AR148*0.005-AQ148*0.0001,AO148))</f>
        <v>-993340.68142796762</v>
      </c>
    </row>
    <row r="149" spans="33:46" x14ac:dyDescent="0.55000000000000004">
      <c r="AG149">
        <f t="shared" si="24"/>
        <v>148</v>
      </c>
      <c r="AH149">
        <f t="shared" si="25"/>
        <v>0.2</v>
      </c>
      <c r="AI149">
        <f t="shared" si="26"/>
        <v>0.2</v>
      </c>
      <c r="AJ149">
        <f t="shared" si="27"/>
        <v>0.6</v>
      </c>
      <c r="AK149">
        <f t="shared" si="28"/>
        <v>38876.159999999996</v>
      </c>
      <c r="AL149">
        <f t="shared" si="29"/>
        <v>12148.800000000001</v>
      </c>
      <c r="AM149">
        <f>MIN(MAX(0,$B$10-AL149)*AI149,'Retirement Gap'!$B$29)</f>
        <v>9719.0399999999991</v>
      </c>
      <c r="AN149">
        <f>IF($E$40="B - Withdrawals + Roth conversions",AJ149*MAX(0,MIN($B$47-AL149,MIN($B$59,IRMAA!$C$16)-(AL149+$B$8*0.85+AK149*$B$46))),0)</f>
        <v>0</v>
      </c>
      <c r="AO149" cm="1">
        <f t="array" ref="AO149">_xlfn.LET(_xlpm.N,$B$49,_xlpm.R,$B$48,_xlpm.Start,$B$47,_xlpm.PlanWD,AL149,_xlpm.PlanRoth,AM149,_xlpm.PlanConv,AN149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15709.840000000002</v>
      </c>
      <c r="AP149" cm="1">
        <f t="array" ref="AP149">_xlfn.LET(_xlpm.N,$B$49,_xlpm.R,$B$48,_xlpm.Start,$B$47,_xlpm.PlanWD,AL149,_xlpm.PlanRoth,AM149,_xlpm.PlanConv,AN149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149" cm="1">
        <f t="array" ref="AQ149">_xlfn.LET(_xlpm.N,$B$49,_xlpm.R,$B$48,_xlpm.Start,$B$47,_xlpm.PlanWD,AL149,_xlpm.PlanRoth,AM149,_xlpm.PlanConv,AN149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993340.68142796762</v>
      </c>
      <c r="AR149" cm="1">
        <f t="array" ref="AR149">_xlfn.LET(_xlpm.N,$B$49,_xlpm.R,$B$48,_xlpm.Start,$B$47,_xlpm.PlanWD,AL149,_xlpm.PlanRoth,AM149,_xlpm.PlanConv,AN149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1183279.1125296501</v>
      </c>
      <c r="AS149">
        <f>--AND(AK149&lt;=SUM('Retirement Gap'!$B$24:$B$25,'Retirement Gap'!$B$27),AL149+AN149&lt;=$B$47,AM149&lt;='Retirement Gap'!$B$29,ABS(AK149+AL149+AM149-$B$10)&lt;1)</f>
        <v>1</v>
      </c>
      <c r="AT149" cm="1">
        <f t="array" ref="AT149">IF(AS149=0,1E+99,_xlfn.SWITCH(LEFT($E$39,1),"1",AO149,"2",AP149*1000000000+AO149,"3",-AQ149,"4",AO149+AP149*25000+AR149*0.005-AQ149*0.0001,AO149))</f>
        <v>-993340.68142796762</v>
      </c>
    </row>
    <row r="150" spans="33:46" x14ac:dyDescent="0.55000000000000004">
      <c r="AG150">
        <f t="shared" si="24"/>
        <v>149</v>
      </c>
      <c r="AH150">
        <f t="shared" si="25"/>
        <v>0.2</v>
      </c>
      <c r="AI150">
        <f t="shared" si="26"/>
        <v>0.2</v>
      </c>
      <c r="AJ150">
        <f t="shared" si="27"/>
        <v>0.8</v>
      </c>
      <c r="AK150">
        <f t="shared" si="28"/>
        <v>38876.159999999996</v>
      </c>
      <c r="AL150">
        <f t="shared" si="29"/>
        <v>12148.800000000001</v>
      </c>
      <c r="AM150">
        <f>MIN(MAX(0,$B$10-AL150)*AI150,'Retirement Gap'!$B$29)</f>
        <v>9719.0399999999991</v>
      </c>
      <c r="AN150">
        <f>IF($E$40="B - Withdrawals + Roth conversions",AJ150*MAX(0,MIN($B$47-AL150,MIN($B$59,IRMAA!$C$16)-(AL150+$B$8*0.85+AK150*$B$46))),0)</f>
        <v>0</v>
      </c>
      <c r="AO150" cm="1">
        <f t="array" ref="AO150">_xlfn.LET(_xlpm.N,$B$49,_xlpm.R,$B$48,_xlpm.Start,$B$47,_xlpm.PlanWD,AL150,_xlpm.PlanRoth,AM150,_xlpm.PlanConv,AN150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15709.840000000002</v>
      </c>
      <c r="AP150" cm="1">
        <f t="array" ref="AP150">_xlfn.LET(_xlpm.N,$B$49,_xlpm.R,$B$48,_xlpm.Start,$B$47,_xlpm.PlanWD,AL150,_xlpm.PlanRoth,AM150,_xlpm.PlanConv,AN150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150" cm="1">
        <f t="array" ref="AQ150">_xlfn.LET(_xlpm.N,$B$49,_xlpm.R,$B$48,_xlpm.Start,$B$47,_xlpm.PlanWD,AL150,_xlpm.PlanRoth,AM150,_xlpm.PlanConv,AN150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993340.68142796762</v>
      </c>
      <c r="AR150" cm="1">
        <f t="array" ref="AR150">_xlfn.LET(_xlpm.N,$B$49,_xlpm.R,$B$48,_xlpm.Start,$B$47,_xlpm.PlanWD,AL150,_xlpm.PlanRoth,AM150,_xlpm.PlanConv,AN150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1183279.1125296501</v>
      </c>
      <c r="AS150">
        <f>--AND(AK150&lt;=SUM('Retirement Gap'!$B$24:$B$25,'Retirement Gap'!$B$27),AL150+AN150&lt;=$B$47,AM150&lt;='Retirement Gap'!$B$29,ABS(AK150+AL150+AM150-$B$10)&lt;1)</f>
        <v>1</v>
      </c>
      <c r="AT150" cm="1">
        <f t="array" ref="AT150">IF(AS150=0,1E+99,_xlfn.SWITCH(LEFT($E$39,1),"1",AO150,"2",AP150*1000000000+AO150,"3",-AQ150,"4",AO150+AP150*25000+AR150*0.005-AQ150*0.0001,AO150))</f>
        <v>-993340.68142796762</v>
      </c>
    </row>
    <row r="151" spans="33:46" x14ac:dyDescent="0.55000000000000004">
      <c r="AG151">
        <f t="shared" si="24"/>
        <v>150</v>
      </c>
      <c r="AH151">
        <f t="shared" si="25"/>
        <v>0.2</v>
      </c>
      <c r="AI151">
        <f t="shared" si="26"/>
        <v>0.2</v>
      </c>
      <c r="AJ151">
        <f t="shared" si="27"/>
        <v>1</v>
      </c>
      <c r="AK151">
        <f t="shared" si="28"/>
        <v>38876.159999999996</v>
      </c>
      <c r="AL151">
        <f t="shared" si="29"/>
        <v>12148.800000000001</v>
      </c>
      <c r="AM151">
        <f>MIN(MAX(0,$B$10-AL151)*AI151,'Retirement Gap'!$B$29)</f>
        <v>9719.0399999999991</v>
      </c>
      <c r="AN151">
        <f>IF($E$40="B - Withdrawals + Roth conversions",AJ151*MAX(0,MIN($B$47-AL151,MIN($B$59,IRMAA!$C$16)-(AL151+$B$8*0.85+AK151*$B$46))),0)</f>
        <v>0</v>
      </c>
      <c r="AO151" cm="1">
        <f t="array" ref="AO151">_xlfn.LET(_xlpm.N,$B$49,_xlpm.R,$B$48,_xlpm.Start,$B$47,_xlpm.PlanWD,AL151,_xlpm.PlanRoth,AM151,_xlpm.PlanConv,AN151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15709.840000000002</v>
      </c>
      <c r="AP151" cm="1">
        <f t="array" ref="AP151">_xlfn.LET(_xlpm.N,$B$49,_xlpm.R,$B$48,_xlpm.Start,$B$47,_xlpm.PlanWD,AL151,_xlpm.PlanRoth,AM151,_xlpm.PlanConv,AN151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151" cm="1">
        <f t="array" ref="AQ151">_xlfn.LET(_xlpm.N,$B$49,_xlpm.R,$B$48,_xlpm.Start,$B$47,_xlpm.PlanWD,AL151,_xlpm.PlanRoth,AM151,_xlpm.PlanConv,AN151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993340.68142796762</v>
      </c>
      <c r="AR151" cm="1">
        <f t="array" ref="AR151">_xlfn.LET(_xlpm.N,$B$49,_xlpm.R,$B$48,_xlpm.Start,$B$47,_xlpm.PlanWD,AL151,_xlpm.PlanRoth,AM151,_xlpm.PlanConv,AN151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1183279.1125296501</v>
      </c>
      <c r="AS151">
        <f>--AND(AK151&lt;=SUM('Retirement Gap'!$B$24:$B$25,'Retirement Gap'!$B$27),AL151+AN151&lt;=$B$47,AM151&lt;='Retirement Gap'!$B$29,ABS(AK151+AL151+AM151-$B$10)&lt;1)</f>
        <v>1</v>
      </c>
      <c r="AT151" cm="1">
        <f t="array" ref="AT151">IF(AS151=0,1E+99,_xlfn.SWITCH(LEFT($E$39,1),"1",AO151,"2",AP151*1000000000+AO151,"3",-AQ151,"4",AO151+AP151*25000+AR151*0.005-AQ151*0.0001,AO151))</f>
        <v>-993340.68142796762</v>
      </c>
    </row>
    <row r="152" spans="33:46" x14ac:dyDescent="0.55000000000000004">
      <c r="AG152">
        <f t="shared" si="24"/>
        <v>151</v>
      </c>
      <c r="AH152">
        <f t="shared" si="25"/>
        <v>0.2</v>
      </c>
      <c r="AI152">
        <f t="shared" si="26"/>
        <v>0.3</v>
      </c>
      <c r="AJ152">
        <f t="shared" si="27"/>
        <v>0</v>
      </c>
      <c r="AK152">
        <f t="shared" si="28"/>
        <v>37744.921633416481</v>
      </c>
      <c r="AL152">
        <f t="shared" si="29"/>
        <v>12148.800000000001</v>
      </c>
      <c r="AM152">
        <f>MIN(MAX(0,$B$10-AL152)*AI152,'Retirement Gap'!$B$29)</f>
        <v>10850.278366583516</v>
      </c>
      <c r="AN152">
        <f>IF($E$40="B - Withdrawals + Roth conversions",AJ152*MAX(0,MIN($B$47-AL152,MIN($B$59,IRMAA!$C$16)-(AL152+$B$8*0.85+AK152*$B$46))),0)</f>
        <v>0</v>
      </c>
      <c r="AO152" cm="1">
        <f t="array" ref="AO152">_xlfn.LET(_xlpm.N,$B$49,_xlpm.R,$B$48,_xlpm.Start,$B$47,_xlpm.PlanWD,AL152,_xlpm.PlanRoth,AM152,_xlpm.PlanConv,AN152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15709.840000000002</v>
      </c>
      <c r="AP152" cm="1">
        <f t="array" ref="AP152">_xlfn.LET(_xlpm.N,$B$49,_xlpm.R,$B$48,_xlpm.Start,$B$47,_xlpm.PlanWD,AL152,_xlpm.PlanRoth,AM152,_xlpm.PlanConv,AN152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152" cm="1">
        <f t="array" ref="AQ152">_xlfn.LET(_xlpm.N,$B$49,_xlpm.R,$B$48,_xlpm.Start,$B$47,_xlpm.PlanWD,AL152,_xlpm.PlanRoth,AM152,_xlpm.PlanConv,AN152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993340.68142796762</v>
      </c>
      <c r="AR152" cm="1">
        <f t="array" ref="AR152">_xlfn.LET(_xlpm.N,$B$49,_xlpm.R,$B$48,_xlpm.Start,$B$47,_xlpm.PlanWD,AL152,_xlpm.PlanRoth,AM152,_xlpm.PlanConv,AN152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1183279.1125296501</v>
      </c>
      <c r="AS152">
        <f>--AND(AK152&lt;=SUM('Retirement Gap'!$B$24:$B$25,'Retirement Gap'!$B$27),AL152+AN152&lt;=$B$47,AM152&lt;='Retirement Gap'!$B$29,ABS(AK152+AL152+AM152-$B$10)&lt;1)</f>
        <v>1</v>
      </c>
      <c r="AT152" cm="1">
        <f t="array" ref="AT152">IF(AS152=0,1E+99,_xlfn.SWITCH(LEFT($E$39,1),"1",AO152,"2",AP152*1000000000+AO152,"3",-AQ152,"4",AO152+AP152*25000+AR152*0.005-AQ152*0.0001,AO152))</f>
        <v>-993340.68142796762</v>
      </c>
    </row>
    <row r="153" spans="33:46" x14ac:dyDescent="0.55000000000000004">
      <c r="AG153">
        <f t="shared" si="24"/>
        <v>152</v>
      </c>
      <c r="AH153">
        <f t="shared" si="25"/>
        <v>0.2</v>
      </c>
      <c r="AI153">
        <f t="shared" si="26"/>
        <v>0.3</v>
      </c>
      <c r="AJ153">
        <f t="shared" si="27"/>
        <v>0.2</v>
      </c>
      <c r="AK153">
        <f t="shared" si="28"/>
        <v>37744.921633416481</v>
      </c>
      <c r="AL153">
        <f t="shared" si="29"/>
        <v>12148.800000000001</v>
      </c>
      <c r="AM153">
        <f>MIN(MAX(0,$B$10-AL153)*AI153,'Retirement Gap'!$B$29)</f>
        <v>10850.278366583516</v>
      </c>
      <c r="AN153">
        <f>IF($E$40="B - Withdrawals + Roth conversions",AJ153*MAX(0,MIN($B$47-AL153,MIN($B$59,IRMAA!$C$16)-(AL153+$B$8*0.85+AK153*$B$46))),0)</f>
        <v>0</v>
      </c>
      <c r="AO153" cm="1">
        <f t="array" ref="AO153">_xlfn.LET(_xlpm.N,$B$49,_xlpm.R,$B$48,_xlpm.Start,$B$47,_xlpm.PlanWD,AL153,_xlpm.PlanRoth,AM153,_xlpm.PlanConv,AN153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15709.840000000002</v>
      </c>
      <c r="AP153" cm="1">
        <f t="array" ref="AP153">_xlfn.LET(_xlpm.N,$B$49,_xlpm.R,$B$48,_xlpm.Start,$B$47,_xlpm.PlanWD,AL153,_xlpm.PlanRoth,AM153,_xlpm.PlanConv,AN153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153" cm="1">
        <f t="array" ref="AQ153">_xlfn.LET(_xlpm.N,$B$49,_xlpm.R,$B$48,_xlpm.Start,$B$47,_xlpm.PlanWD,AL153,_xlpm.PlanRoth,AM153,_xlpm.PlanConv,AN153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993340.68142796762</v>
      </c>
      <c r="AR153" cm="1">
        <f t="array" ref="AR153">_xlfn.LET(_xlpm.N,$B$49,_xlpm.R,$B$48,_xlpm.Start,$B$47,_xlpm.PlanWD,AL153,_xlpm.PlanRoth,AM153,_xlpm.PlanConv,AN153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1183279.1125296501</v>
      </c>
      <c r="AS153">
        <f>--AND(AK153&lt;=SUM('Retirement Gap'!$B$24:$B$25,'Retirement Gap'!$B$27),AL153+AN153&lt;=$B$47,AM153&lt;='Retirement Gap'!$B$29,ABS(AK153+AL153+AM153-$B$10)&lt;1)</f>
        <v>1</v>
      </c>
      <c r="AT153" cm="1">
        <f t="array" ref="AT153">IF(AS153=0,1E+99,_xlfn.SWITCH(LEFT($E$39,1),"1",AO153,"2",AP153*1000000000+AO153,"3",-AQ153,"4",AO153+AP153*25000+AR153*0.005-AQ153*0.0001,AO153))</f>
        <v>-993340.68142796762</v>
      </c>
    </row>
    <row r="154" spans="33:46" x14ac:dyDescent="0.55000000000000004">
      <c r="AG154">
        <f t="shared" si="24"/>
        <v>153</v>
      </c>
      <c r="AH154">
        <f t="shared" si="25"/>
        <v>0.2</v>
      </c>
      <c r="AI154">
        <f t="shared" si="26"/>
        <v>0.3</v>
      </c>
      <c r="AJ154">
        <f t="shared" si="27"/>
        <v>0.4</v>
      </c>
      <c r="AK154">
        <f t="shared" si="28"/>
        <v>37744.921633416481</v>
      </c>
      <c r="AL154">
        <f t="shared" si="29"/>
        <v>12148.800000000001</v>
      </c>
      <c r="AM154">
        <f>MIN(MAX(0,$B$10-AL154)*AI154,'Retirement Gap'!$B$29)</f>
        <v>10850.278366583516</v>
      </c>
      <c r="AN154">
        <f>IF($E$40="B - Withdrawals + Roth conversions",AJ154*MAX(0,MIN($B$47-AL154,MIN($B$59,IRMAA!$C$16)-(AL154+$B$8*0.85+AK154*$B$46))),0)</f>
        <v>0</v>
      </c>
      <c r="AO154" cm="1">
        <f t="array" ref="AO154">_xlfn.LET(_xlpm.N,$B$49,_xlpm.R,$B$48,_xlpm.Start,$B$47,_xlpm.PlanWD,AL154,_xlpm.PlanRoth,AM154,_xlpm.PlanConv,AN154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15709.840000000002</v>
      </c>
      <c r="AP154" cm="1">
        <f t="array" ref="AP154">_xlfn.LET(_xlpm.N,$B$49,_xlpm.R,$B$48,_xlpm.Start,$B$47,_xlpm.PlanWD,AL154,_xlpm.PlanRoth,AM154,_xlpm.PlanConv,AN154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154" cm="1">
        <f t="array" ref="AQ154">_xlfn.LET(_xlpm.N,$B$49,_xlpm.R,$B$48,_xlpm.Start,$B$47,_xlpm.PlanWD,AL154,_xlpm.PlanRoth,AM154,_xlpm.PlanConv,AN154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993340.68142796762</v>
      </c>
      <c r="AR154" cm="1">
        <f t="array" ref="AR154">_xlfn.LET(_xlpm.N,$B$49,_xlpm.R,$B$48,_xlpm.Start,$B$47,_xlpm.PlanWD,AL154,_xlpm.PlanRoth,AM154,_xlpm.PlanConv,AN154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1183279.1125296501</v>
      </c>
      <c r="AS154">
        <f>--AND(AK154&lt;=SUM('Retirement Gap'!$B$24:$B$25,'Retirement Gap'!$B$27),AL154+AN154&lt;=$B$47,AM154&lt;='Retirement Gap'!$B$29,ABS(AK154+AL154+AM154-$B$10)&lt;1)</f>
        <v>1</v>
      </c>
      <c r="AT154" cm="1">
        <f t="array" ref="AT154">IF(AS154=0,1E+99,_xlfn.SWITCH(LEFT($E$39,1),"1",AO154,"2",AP154*1000000000+AO154,"3",-AQ154,"4",AO154+AP154*25000+AR154*0.005-AQ154*0.0001,AO154))</f>
        <v>-993340.68142796762</v>
      </c>
    </row>
    <row r="155" spans="33:46" x14ac:dyDescent="0.55000000000000004">
      <c r="AG155">
        <f t="shared" si="24"/>
        <v>154</v>
      </c>
      <c r="AH155">
        <f t="shared" si="25"/>
        <v>0.2</v>
      </c>
      <c r="AI155">
        <f t="shared" si="26"/>
        <v>0.3</v>
      </c>
      <c r="AJ155">
        <f t="shared" si="27"/>
        <v>0.6</v>
      </c>
      <c r="AK155">
        <f t="shared" si="28"/>
        <v>37744.921633416481</v>
      </c>
      <c r="AL155">
        <f t="shared" si="29"/>
        <v>12148.800000000001</v>
      </c>
      <c r="AM155">
        <f>MIN(MAX(0,$B$10-AL155)*AI155,'Retirement Gap'!$B$29)</f>
        <v>10850.278366583516</v>
      </c>
      <c r="AN155">
        <f>IF($E$40="B - Withdrawals + Roth conversions",AJ155*MAX(0,MIN($B$47-AL155,MIN($B$59,IRMAA!$C$16)-(AL155+$B$8*0.85+AK155*$B$46))),0)</f>
        <v>0</v>
      </c>
      <c r="AO155" cm="1">
        <f t="array" ref="AO155">_xlfn.LET(_xlpm.N,$B$49,_xlpm.R,$B$48,_xlpm.Start,$B$47,_xlpm.PlanWD,AL155,_xlpm.PlanRoth,AM155,_xlpm.PlanConv,AN155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15709.840000000002</v>
      </c>
      <c r="AP155" cm="1">
        <f t="array" ref="AP155">_xlfn.LET(_xlpm.N,$B$49,_xlpm.R,$B$48,_xlpm.Start,$B$47,_xlpm.PlanWD,AL155,_xlpm.PlanRoth,AM155,_xlpm.PlanConv,AN155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155" cm="1">
        <f t="array" ref="AQ155">_xlfn.LET(_xlpm.N,$B$49,_xlpm.R,$B$48,_xlpm.Start,$B$47,_xlpm.PlanWD,AL155,_xlpm.PlanRoth,AM155,_xlpm.PlanConv,AN155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993340.68142796762</v>
      </c>
      <c r="AR155" cm="1">
        <f t="array" ref="AR155">_xlfn.LET(_xlpm.N,$B$49,_xlpm.R,$B$48,_xlpm.Start,$B$47,_xlpm.PlanWD,AL155,_xlpm.PlanRoth,AM155,_xlpm.PlanConv,AN155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1183279.1125296501</v>
      </c>
      <c r="AS155">
        <f>--AND(AK155&lt;=SUM('Retirement Gap'!$B$24:$B$25,'Retirement Gap'!$B$27),AL155+AN155&lt;=$B$47,AM155&lt;='Retirement Gap'!$B$29,ABS(AK155+AL155+AM155-$B$10)&lt;1)</f>
        <v>1</v>
      </c>
      <c r="AT155" cm="1">
        <f t="array" ref="AT155">IF(AS155=0,1E+99,_xlfn.SWITCH(LEFT($E$39,1),"1",AO155,"2",AP155*1000000000+AO155,"3",-AQ155,"4",AO155+AP155*25000+AR155*0.005-AQ155*0.0001,AO155))</f>
        <v>-993340.68142796762</v>
      </c>
    </row>
    <row r="156" spans="33:46" x14ac:dyDescent="0.55000000000000004">
      <c r="AG156">
        <f t="shared" si="24"/>
        <v>155</v>
      </c>
      <c r="AH156">
        <f t="shared" si="25"/>
        <v>0.2</v>
      </c>
      <c r="AI156">
        <f t="shared" si="26"/>
        <v>0.3</v>
      </c>
      <c r="AJ156">
        <f t="shared" si="27"/>
        <v>0.8</v>
      </c>
      <c r="AK156">
        <f t="shared" si="28"/>
        <v>37744.921633416481</v>
      </c>
      <c r="AL156">
        <f t="shared" si="29"/>
        <v>12148.800000000001</v>
      </c>
      <c r="AM156">
        <f>MIN(MAX(0,$B$10-AL156)*AI156,'Retirement Gap'!$B$29)</f>
        <v>10850.278366583516</v>
      </c>
      <c r="AN156">
        <f>IF($E$40="B - Withdrawals + Roth conversions",AJ156*MAX(0,MIN($B$47-AL156,MIN($B$59,IRMAA!$C$16)-(AL156+$B$8*0.85+AK156*$B$46))),0)</f>
        <v>0</v>
      </c>
      <c r="AO156" cm="1">
        <f t="array" ref="AO156">_xlfn.LET(_xlpm.N,$B$49,_xlpm.R,$B$48,_xlpm.Start,$B$47,_xlpm.PlanWD,AL156,_xlpm.PlanRoth,AM156,_xlpm.PlanConv,AN156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15709.840000000002</v>
      </c>
      <c r="AP156" cm="1">
        <f t="array" ref="AP156">_xlfn.LET(_xlpm.N,$B$49,_xlpm.R,$B$48,_xlpm.Start,$B$47,_xlpm.PlanWD,AL156,_xlpm.PlanRoth,AM156,_xlpm.PlanConv,AN156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156" cm="1">
        <f t="array" ref="AQ156">_xlfn.LET(_xlpm.N,$B$49,_xlpm.R,$B$48,_xlpm.Start,$B$47,_xlpm.PlanWD,AL156,_xlpm.PlanRoth,AM156,_xlpm.PlanConv,AN156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993340.68142796762</v>
      </c>
      <c r="AR156" cm="1">
        <f t="array" ref="AR156">_xlfn.LET(_xlpm.N,$B$49,_xlpm.R,$B$48,_xlpm.Start,$B$47,_xlpm.PlanWD,AL156,_xlpm.PlanRoth,AM156,_xlpm.PlanConv,AN156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1183279.1125296501</v>
      </c>
      <c r="AS156">
        <f>--AND(AK156&lt;=SUM('Retirement Gap'!$B$24:$B$25,'Retirement Gap'!$B$27),AL156+AN156&lt;=$B$47,AM156&lt;='Retirement Gap'!$B$29,ABS(AK156+AL156+AM156-$B$10)&lt;1)</f>
        <v>1</v>
      </c>
      <c r="AT156" cm="1">
        <f t="array" ref="AT156">IF(AS156=0,1E+99,_xlfn.SWITCH(LEFT($E$39,1),"1",AO156,"2",AP156*1000000000+AO156,"3",-AQ156,"4",AO156+AP156*25000+AR156*0.005-AQ156*0.0001,AO156))</f>
        <v>-993340.68142796762</v>
      </c>
    </row>
    <row r="157" spans="33:46" x14ac:dyDescent="0.55000000000000004">
      <c r="AG157">
        <f t="shared" si="24"/>
        <v>156</v>
      </c>
      <c r="AH157">
        <f t="shared" si="25"/>
        <v>0.2</v>
      </c>
      <c r="AI157">
        <f t="shared" si="26"/>
        <v>0.3</v>
      </c>
      <c r="AJ157">
        <f t="shared" si="27"/>
        <v>1</v>
      </c>
      <c r="AK157">
        <f t="shared" si="28"/>
        <v>37744.921633416481</v>
      </c>
      <c r="AL157">
        <f t="shared" si="29"/>
        <v>12148.800000000001</v>
      </c>
      <c r="AM157">
        <f>MIN(MAX(0,$B$10-AL157)*AI157,'Retirement Gap'!$B$29)</f>
        <v>10850.278366583516</v>
      </c>
      <c r="AN157">
        <f>IF($E$40="B - Withdrawals + Roth conversions",AJ157*MAX(0,MIN($B$47-AL157,MIN($B$59,IRMAA!$C$16)-(AL157+$B$8*0.85+AK157*$B$46))),0)</f>
        <v>0</v>
      </c>
      <c r="AO157" cm="1">
        <f t="array" ref="AO157">_xlfn.LET(_xlpm.N,$B$49,_xlpm.R,$B$48,_xlpm.Start,$B$47,_xlpm.PlanWD,AL157,_xlpm.PlanRoth,AM157,_xlpm.PlanConv,AN157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15709.840000000002</v>
      </c>
      <c r="AP157" cm="1">
        <f t="array" ref="AP157">_xlfn.LET(_xlpm.N,$B$49,_xlpm.R,$B$48,_xlpm.Start,$B$47,_xlpm.PlanWD,AL157,_xlpm.PlanRoth,AM157,_xlpm.PlanConv,AN157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157" cm="1">
        <f t="array" ref="AQ157">_xlfn.LET(_xlpm.N,$B$49,_xlpm.R,$B$48,_xlpm.Start,$B$47,_xlpm.PlanWD,AL157,_xlpm.PlanRoth,AM157,_xlpm.PlanConv,AN157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993340.68142796762</v>
      </c>
      <c r="AR157" cm="1">
        <f t="array" ref="AR157">_xlfn.LET(_xlpm.N,$B$49,_xlpm.R,$B$48,_xlpm.Start,$B$47,_xlpm.PlanWD,AL157,_xlpm.PlanRoth,AM157,_xlpm.PlanConv,AN157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1183279.1125296501</v>
      </c>
      <c r="AS157">
        <f>--AND(AK157&lt;=SUM('Retirement Gap'!$B$24:$B$25,'Retirement Gap'!$B$27),AL157+AN157&lt;=$B$47,AM157&lt;='Retirement Gap'!$B$29,ABS(AK157+AL157+AM157-$B$10)&lt;1)</f>
        <v>1</v>
      </c>
      <c r="AT157" cm="1">
        <f t="array" ref="AT157">IF(AS157=0,1E+99,_xlfn.SWITCH(LEFT($E$39,1),"1",AO157,"2",AP157*1000000000+AO157,"3",-AQ157,"4",AO157+AP157*25000+AR157*0.005-AQ157*0.0001,AO157))</f>
        <v>-993340.68142796762</v>
      </c>
    </row>
    <row r="158" spans="33:46" x14ac:dyDescent="0.55000000000000004">
      <c r="AG158">
        <f t="shared" si="24"/>
        <v>157</v>
      </c>
      <c r="AH158">
        <f t="shared" si="25"/>
        <v>0.2</v>
      </c>
      <c r="AI158">
        <f t="shared" si="26"/>
        <v>0.4</v>
      </c>
      <c r="AJ158">
        <f t="shared" si="27"/>
        <v>0</v>
      </c>
      <c r="AK158">
        <f t="shared" si="28"/>
        <v>37744.921633416481</v>
      </c>
      <c r="AL158">
        <f t="shared" si="29"/>
        <v>12148.800000000001</v>
      </c>
      <c r="AM158">
        <f>MIN(MAX(0,$B$10-AL158)*AI158,'Retirement Gap'!$B$29)</f>
        <v>10850.278366583516</v>
      </c>
      <c r="AN158">
        <f>IF($E$40="B - Withdrawals + Roth conversions",AJ158*MAX(0,MIN($B$47-AL158,MIN($B$59,IRMAA!$C$16)-(AL158+$B$8*0.85+AK158*$B$46))),0)</f>
        <v>0</v>
      </c>
      <c r="AO158" cm="1">
        <f t="array" ref="AO158">_xlfn.LET(_xlpm.N,$B$49,_xlpm.R,$B$48,_xlpm.Start,$B$47,_xlpm.PlanWD,AL158,_xlpm.PlanRoth,AM158,_xlpm.PlanConv,AN158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15709.840000000002</v>
      </c>
      <c r="AP158" cm="1">
        <f t="array" ref="AP158">_xlfn.LET(_xlpm.N,$B$49,_xlpm.R,$B$48,_xlpm.Start,$B$47,_xlpm.PlanWD,AL158,_xlpm.PlanRoth,AM158,_xlpm.PlanConv,AN158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158" cm="1">
        <f t="array" ref="AQ158">_xlfn.LET(_xlpm.N,$B$49,_xlpm.R,$B$48,_xlpm.Start,$B$47,_xlpm.PlanWD,AL158,_xlpm.PlanRoth,AM158,_xlpm.PlanConv,AN158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993340.68142796762</v>
      </c>
      <c r="AR158" cm="1">
        <f t="array" ref="AR158">_xlfn.LET(_xlpm.N,$B$49,_xlpm.R,$B$48,_xlpm.Start,$B$47,_xlpm.PlanWD,AL158,_xlpm.PlanRoth,AM158,_xlpm.PlanConv,AN158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1183279.1125296501</v>
      </c>
      <c r="AS158">
        <f>--AND(AK158&lt;=SUM('Retirement Gap'!$B$24:$B$25,'Retirement Gap'!$B$27),AL158+AN158&lt;=$B$47,AM158&lt;='Retirement Gap'!$B$29,ABS(AK158+AL158+AM158-$B$10)&lt;1)</f>
        <v>1</v>
      </c>
      <c r="AT158" cm="1">
        <f t="array" ref="AT158">IF(AS158=0,1E+99,_xlfn.SWITCH(LEFT($E$39,1),"1",AO158,"2",AP158*1000000000+AO158,"3",-AQ158,"4",AO158+AP158*25000+AR158*0.005-AQ158*0.0001,AO158))</f>
        <v>-993340.68142796762</v>
      </c>
    </row>
    <row r="159" spans="33:46" x14ac:dyDescent="0.55000000000000004">
      <c r="AG159">
        <f t="shared" si="24"/>
        <v>158</v>
      </c>
      <c r="AH159">
        <f t="shared" si="25"/>
        <v>0.2</v>
      </c>
      <c r="AI159">
        <f t="shared" si="26"/>
        <v>0.4</v>
      </c>
      <c r="AJ159">
        <f t="shared" si="27"/>
        <v>0.2</v>
      </c>
      <c r="AK159">
        <f t="shared" si="28"/>
        <v>37744.921633416481</v>
      </c>
      <c r="AL159">
        <f t="shared" si="29"/>
        <v>12148.800000000001</v>
      </c>
      <c r="AM159">
        <f>MIN(MAX(0,$B$10-AL159)*AI159,'Retirement Gap'!$B$29)</f>
        <v>10850.278366583516</v>
      </c>
      <c r="AN159">
        <f>IF($E$40="B - Withdrawals + Roth conversions",AJ159*MAX(0,MIN($B$47-AL159,MIN($B$59,IRMAA!$C$16)-(AL159+$B$8*0.85+AK159*$B$46))),0)</f>
        <v>0</v>
      </c>
      <c r="AO159" cm="1">
        <f t="array" ref="AO159">_xlfn.LET(_xlpm.N,$B$49,_xlpm.R,$B$48,_xlpm.Start,$B$47,_xlpm.PlanWD,AL159,_xlpm.PlanRoth,AM159,_xlpm.PlanConv,AN159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15709.840000000002</v>
      </c>
      <c r="AP159" cm="1">
        <f t="array" ref="AP159">_xlfn.LET(_xlpm.N,$B$49,_xlpm.R,$B$48,_xlpm.Start,$B$47,_xlpm.PlanWD,AL159,_xlpm.PlanRoth,AM159,_xlpm.PlanConv,AN159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159" cm="1">
        <f t="array" ref="AQ159">_xlfn.LET(_xlpm.N,$B$49,_xlpm.R,$B$48,_xlpm.Start,$B$47,_xlpm.PlanWD,AL159,_xlpm.PlanRoth,AM159,_xlpm.PlanConv,AN159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993340.68142796762</v>
      </c>
      <c r="AR159" cm="1">
        <f t="array" ref="AR159">_xlfn.LET(_xlpm.N,$B$49,_xlpm.R,$B$48,_xlpm.Start,$B$47,_xlpm.PlanWD,AL159,_xlpm.PlanRoth,AM159,_xlpm.PlanConv,AN159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1183279.1125296501</v>
      </c>
      <c r="AS159">
        <f>--AND(AK159&lt;=SUM('Retirement Gap'!$B$24:$B$25,'Retirement Gap'!$B$27),AL159+AN159&lt;=$B$47,AM159&lt;='Retirement Gap'!$B$29,ABS(AK159+AL159+AM159-$B$10)&lt;1)</f>
        <v>1</v>
      </c>
      <c r="AT159" cm="1">
        <f t="array" ref="AT159">IF(AS159=0,1E+99,_xlfn.SWITCH(LEFT($E$39,1),"1",AO159,"2",AP159*1000000000+AO159,"3",-AQ159,"4",AO159+AP159*25000+AR159*0.005-AQ159*0.0001,AO159))</f>
        <v>-993340.68142796762</v>
      </c>
    </row>
    <row r="160" spans="33:46" x14ac:dyDescent="0.55000000000000004">
      <c r="AG160">
        <f t="shared" si="24"/>
        <v>159</v>
      </c>
      <c r="AH160">
        <f t="shared" si="25"/>
        <v>0.2</v>
      </c>
      <c r="AI160">
        <f t="shared" si="26"/>
        <v>0.4</v>
      </c>
      <c r="AJ160">
        <f t="shared" si="27"/>
        <v>0.4</v>
      </c>
      <c r="AK160">
        <f t="shared" si="28"/>
        <v>37744.921633416481</v>
      </c>
      <c r="AL160">
        <f t="shared" si="29"/>
        <v>12148.800000000001</v>
      </c>
      <c r="AM160">
        <f>MIN(MAX(0,$B$10-AL160)*AI160,'Retirement Gap'!$B$29)</f>
        <v>10850.278366583516</v>
      </c>
      <c r="AN160">
        <f>IF($E$40="B - Withdrawals + Roth conversions",AJ160*MAX(0,MIN($B$47-AL160,MIN($B$59,IRMAA!$C$16)-(AL160+$B$8*0.85+AK160*$B$46))),0)</f>
        <v>0</v>
      </c>
      <c r="AO160" cm="1">
        <f t="array" ref="AO160">_xlfn.LET(_xlpm.N,$B$49,_xlpm.R,$B$48,_xlpm.Start,$B$47,_xlpm.PlanWD,AL160,_xlpm.PlanRoth,AM160,_xlpm.PlanConv,AN160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15709.840000000002</v>
      </c>
      <c r="AP160" cm="1">
        <f t="array" ref="AP160">_xlfn.LET(_xlpm.N,$B$49,_xlpm.R,$B$48,_xlpm.Start,$B$47,_xlpm.PlanWD,AL160,_xlpm.PlanRoth,AM160,_xlpm.PlanConv,AN160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160" cm="1">
        <f t="array" ref="AQ160">_xlfn.LET(_xlpm.N,$B$49,_xlpm.R,$B$48,_xlpm.Start,$B$47,_xlpm.PlanWD,AL160,_xlpm.PlanRoth,AM160,_xlpm.PlanConv,AN160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993340.68142796762</v>
      </c>
      <c r="AR160" cm="1">
        <f t="array" ref="AR160">_xlfn.LET(_xlpm.N,$B$49,_xlpm.R,$B$48,_xlpm.Start,$B$47,_xlpm.PlanWD,AL160,_xlpm.PlanRoth,AM160,_xlpm.PlanConv,AN160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1183279.1125296501</v>
      </c>
      <c r="AS160">
        <f>--AND(AK160&lt;=SUM('Retirement Gap'!$B$24:$B$25,'Retirement Gap'!$B$27),AL160+AN160&lt;=$B$47,AM160&lt;='Retirement Gap'!$B$29,ABS(AK160+AL160+AM160-$B$10)&lt;1)</f>
        <v>1</v>
      </c>
      <c r="AT160" cm="1">
        <f t="array" ref="AT160">IF(AS160=0,1E+99,_xlfn.SWITCH(LEFT($E$39,1),"1",AO160,"2",AP160*1000000000+AO160,"3",-AQ160,"4",AO160+AP160*25000+AR160*0.005-AQ160*0.0001,AO160))</f>
        <v>-993340.68142796762</v>
      </c>
    </row>
    <row r="161" spans="33:46" x14ac:dyDescent="0.55000000000000004">
      <c r="AG161">
        <f t="shared" si="24"/>
        <v>160</v>
      </c>
      <c r="AH161">
        <f t="shared" si="25"/>
        <v>0.2</v>
      </c>
      <c r="AI161">
        <f t="shared" si="26"/>
        <v>0.4</v>
      </c>
      <c r="AJ161">
        <f t="shared" si="27"/>
        <v>0.6</v>
      </c>
      <c r="AK161">
        <f t="shared" si="28"/>
        <v>37744.921633416481</v>
      </c>
      <c r="AL161">
        <f t="shared" si="29"/>
        <v>12148.800000000001</v>
      </c>
      <c r="AM161">
        <f>MIN(MAX(0,$B$10-AL161)*AI161,'Retirement Gap'!$B$29)</f>
        <v>10850.278366583516</v>
      </c>
      <c r="AN161">
        <f>IF($E$40="B - Withdrawals + Roth conversions",AJ161*MAX(0,MIN($B$47-AL161,MIN($B$59,IRMAA!$C$16)-(AL161+$B$8*0.85+AK161*$B$46))),0)</f>
        <v>0</v>
      </c>
      <c r="AO161" cm="1">
        <f t="array" ref="AO161">_xlfn.LET(_xlpm.N,$B$49,_xlpm.R,$B$48,_xlpm.Start,$B$47,_xlpm.PlanWD,AL161,_xlpm.PlanRoth,AM161,_xlpm.PlanConv,AN161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15709.840000000002</v>
      </c>
      <c r="AP161" cm="1">
        <f t="array" ref="AP161">_xlfn.LET(_xlpm.N,$B$49,_xlpm.R,$B$48,_xlpm.Start,$B$47,_xlpm.PlanWD,AL161,_xlpm.PlanRoth,AM161,_xlpm.PlanConv,AN161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161" cm="1">
        <f t="array" ref="AQ161">_xlfn.LET(_xlpm.N,$B$49,_xlpm.R,$B$48,_xlpm.Start,$B$47,_xlpm.PlanWD,AL161,_xlpm.PlanRoth,AM161,_xlpm.PlanConv,AN161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993340.68142796762</v>
      </c>
      <c r="AR161" cm="1">
        <f t="array" ref="AR161">_xlfn.LET(_xlpm.N,$B$49,_xlpm.R,$B$48,_xlpm.Start,$B$47,_xlpm.PlanWD,AL161,_xlpm.PlanRoth,AM161,_xlpm.PlanConv,AN161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1183279.1125296501</v>
      </c>
      <c r="AS161">
        <f>--AND(AK161&lt;=SUM('Retirement Gap'!$B$24:$B$25,'Retirement Gap'!$B$27),AL161+AN161&lt;=$B$47,AM161&lt;='Retirement Gap'!$B$29,ABS(AK161+AL161+AM161-$B$10)&lt;1)</f>
        <v>1</v>
      </c>
      <c r="AT161" cm="1">
        <f t="array" ref="AT161">IF(AS161=0,1E+99,_xlfn.SWITCH(LEFT($E$39,1),"1",AO161,"2",AP161*1000000000+AO161,"3",-AQ161,"4",AO161+AP161*25000+AR161*0.005-AQ161*0.0001,AO161))</f>
        <v>-993340.68142796762</v>
      </c>
    </row>
    <row r="162" spans="33:46" x14ac:dyDescent="0.55000000000000004">
      <c r="AG162">
        <f t="shared" si="24"/>
        <v>161</v>
      </c>
      <c r="AH162">
        <f t="shared" si="25"/>
        <v>0.2</v>
      </c>
      <c r="AI162">
        <f t="shared" si="26"/>
        <v>0.4</v>
      </c>
      <c r="AJ162">
        <f t="shared" si="27"/>
        <v>0.8</v>
      </c>
      <c r="AK162">
        <f t="shared" si="28"/>
        <v>37744.921633416481</v>
      </c>
      <c r="AL162">
        <f t="shared" si="29"/>
        <v>12148.800000000001</v>
      </c>
      <c r="AM162">
        <f>MIN(MAX(0,$B$10-AL162)*AI162,'Retirement Gap'!$B$29)</f>
        <v>10850.278366583516</v>
      </c>
      <c r="AN162">
        <f>IF($E$40="B - Withdrawals + Roth conversions",AJ162*MAX(0,MIN($B$47-AL162,MIN($B$59,IRMAA!$C$16)-(AL162+$B$8*0.85+AK162*$B$46))),0)</f>
        <v>0</v>
      </c>
      <c r="AO162" cm="1">
        <f t="array" ref="AO162">_xlfn.LET(_xlpm.N,$B$49,_xlpm.R,$B$48,_xlpm.Start,$B$47,_xlpm.PlanWD,AL162,_xlpm.PlanRoth,AM162,_xlpm.PlanConv,AN162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15709.840000000002</v>
      </c>
      <c r="AP162" cm="1">
        <f t="array" ref="AP162">_xlfn.LET(_xlpm.N,$B$49,_xlpm.R,$B$48,_xlpm.Start,$B$47,_xlpm.PlanWD,AL162,_xlpm.PlanRoth,AM162,_xlpm.PlanConv,AN162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162" cm="1">
        <f t="array" ref="AQ162">_xlfn.LET(_xlpm.N,$B$49,_xlpm.R,$B$48,_xlpm.Start,$B$47,_xlpm.PlanWD,AL162,_xlpm.PlanRoth,AM162,_xlpm.PlanConv,AN162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993340.68142796762</v>
      </c>
      <c r="AR162" cm="1">
        <f t="array" ref="AR162">_xlfn.LET(_xlpm.N,$B$49,_xlpm.R,$B$48,_xlpm.Start,$B$47,_xlpm.PlanWD,AL162,_xlpm.PlanRoth,AM162,_xlpm.PlanConv,AN162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1183279.1125296501</v>
      </c>
      <c r="AS162">
        <f>--AND(AK162&lt;=SUM('Retirement Gap'!$B$24:$B$25,'Retirement Gap'!$B$27),AL162+AN162&lt;=$B$47,AM162&lt;='Retirement Gap'!$B$29,ABS(AK162+AL162+AM162-$B$10)&lt;1)</f>
        <v>1</v>
      </c>
      <c r="AT162" cm="1">
        <f t="array" ref="AT162">IF(AS162=0,1E+99,_xlfn.SWITCH(LEFT($E$39,1),"1",AO162,"2",AP162*1000000000+AO162,"3",-AQ162,"4",AO162+AP162*25000+AR162*0.005-AQ162*0.0001,AO162))</f>
        <v>-993340.68142796762</v>
      </c>
    </row>
    <row r="163" spans="33:46" x14ac:dyDescent="0.55000000000000004">
      <c r="AG163">
        <f t="shared" si="24"/>
        <v>162</v>
      </c>
      <c r="AH163">
        <f t="shared" si="25"/>
        <v>0.2</v>
      </c>
      <c r="AI163">
        <f t="shared" si="26"/>
        <v>0.4</v>
      </c>
      <c r="AJ163">
        <f t="shared" si="27"/>
        <v>1</v>
      </c>
      <c r="AK163">
        <f t="shared" si="28"/>
        <v>37744.921633416481</v>
      </c>
      <c r="AL163">
        <f t="shared" si="29"/>
        <v>12148.800000000001</v>
      </c>
      <c r="AM163">
        <f>MIN(MAX(0,$B$10-AL163)*AI163,'Retirement Gap'!$B$29)</f>
        <v>10850.278366583516</v>
      </c>
      <c r="AN163">
        <f>IF($E$40="B - Withdrawals + Roth conversions",AJ163*MAX(0,MIN($B$47-AL163,MIN($B$59,IRMAA!$C$16)-(AL163+$B$8*0.85+AK163*$B$46))),0)</f>
        <v>0</v>
      </c>
      <c r="AO163" cm="1">
        <f t="array" ref="AO163">_xlfn.LET(_xlpm.N,$B$49,_xlpm.R,$B$48,_xlpm.Start,$B$47,_xlpm.PlanWD,AL163,_xlpm.PlanRoth,AM163,_xlpm.PlanConv,AN163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15709.840000000002</v>
      </c>
      <c r="AP163" cm="1">
        <f t="array" ref="AP163">_xlfn.LET(_xlpm.N,$B$49,_xlpm.R,$B$48,_xlpm.Start,$B$47,_xlpm.PlanWD,AL163,_xlpm.PlanRoth,AM163,_xlpm.PlanConv,AN163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163" cm="1">
        <f t="array" ref="AQ163">_xlfn.LET(_xlpm.N,$B$49,_xlpm.R,$B$48,_xlpm.Start,$B$47,_xlpm.PlanWD,AL163,_xlpm.PlanRoth,AM163,_xlpm.PlanConv,AN163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993340.68142796762</v>
      </c>
      <c r="AR163" cm="1">
        <f t="array" ref="AR163">_xlfn.LET(_xlpm.N,$B$49,_xlpm.R,$B$48,_xlpm.Start,$B$47,_xlpm.PlanWD,AL163,_xlpm.PlanRoth,AM163,_xlpm.PlanConv,AN163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1183279.1125296501</v>
      </c>
      <c r="AS163">
        <f>--AND(AK163&lt;=SUM('Retirement Gap'!$B$24:$B$25,'Retirement Gap'!$B$27),AL163+AN163&lt;=$B$47,AM163&lt;='Retirement Gap'!$B$29,ABS(AK163+AL163+AM163-$B$10)&lt;1)</f>
        <v>1</v>
      </c>
      <c r="AT163" cm="1">
        <f t="array" ref="AT163">IF(AS163=0,1E+99,_xlfn.SWITCH(LEFT($E$39,1),"1",AO163,"2",AP163*1000000000+AO163,"3",-AQ163,"4",AO163+AP163*25000+AR163*0.005-AQ163*0.0001,AO163))</f>
        <v>-993340.68142796762</v>
      </c>
    </row>
    <row r="164" spans="33:46" x14ac:dyDescent="0.55000000000000004">
      <c r="AG164">
        <f t="shared" si="24"/>
        <v>163</v>
      </c>
      <c r="AH164">
        <f t="shared" si="25"/>
        <v>0.2</v>
      </c>
      <c r="AI164">
        <f t="shared" si="26"/>
        <v>0.5</v>
      </c>
      <c r="AJ164">
        <f t="shared" si="27"/>
        <v>0</v>
      </c>
      <c r="AK164">
        <f t="shared" si="28"/>
        <v>37744.921633416481</v>
      </c>
      <c r="AL164">
        <f t="shared" si="29"/>
        <v>12148.800000000001</v>
      </c>
      <c r="AM164">
        <f>MIN(MAX(0,$B$10-AL164)*AI164,'Retirement Gap'!$B$29)</f>
        <v>10850.278366583516</v>
      </c>
      <c r="AN164">
        <f>IF($E$40="B - Withdrawals + Roth conversions",AJ164*MAX(0,MIN($B$47-AL164,MIN($B$59,IRMAA!$C$16)-(AL164+$B$8*0.85+AK164*$B$46))),0)</f>
        <v>0</v>
      </c>
      <c r="AO164" cm="1">
        <f t="array" ref="AO164">_xlfn.LET(_xlpm.N,$B$49,_xlpm.R,$B$48,_xlpm.Start,$B$47,_xlpm.PlanWD,AL164,_xlpm.PlanRoth,AM164,_xlpm.PlanConv,AN164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15709.840000000002</v>
      </c>
      <c r="AP164" cm="1">
        <f t="array" ref="AP164">_xlfn.LET(_xlpm.N,$B$49,_xlpm.R,$B$48,_xlpm.Start,$B$47,_xlpm.PlanWD,AL164,_xlpm.PlanRoth,AM164,_xlpm.PlanConv,AN164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164" cm="1">
        <f t="array" ref="AQ164">_xlfn.LET(_xlpm.N,$B$49,_xlpm.R,$B$48,_xlpm.Start,$B$47,_xlpm.PlanWD,AL164,_xlpm.PlanRoth,AM164,_xlpm.PlanConv,AN164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993340.68142796762</v>
      </c>
      <c r="AR164" cm="1">
        <f t="array" ref="AR164">_xlfn.LET(_xlpm.N,$B$49,_xlpm.R,$B$48,_xlpm.Start,$B$47,_xlpm.PlanWD,AL164,_xlpm.PlanRoth,AM164,_xlpm.PlanConv,AN164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1183279.1125296501</v>
      </c>
      <c r="AS164">
        <f>--AND(AK164&lt;=SUM('Retirement Gap'!$B$24:$B$25,'Retirement Gap'!$B$27),AL164+AN164&lt;=$B$47,AM164&lt;='Retirement Gap'!$B$29,ABS(AK164+AL164+AM164-$B$10)&lt;1)</f>
        <v>1</v>
      </c>
      <c r="AT164" cm="1">
        <f t="array" ref="AT164">IF(AS164=0,1E+99,_xlfn.SWITCH(LEFT($E$39,1),"1",AO164,"2",AP164*1000000000+AO164,"3",-AQ164,"4",AO164+AP164*25000+AR164*0.005-AQ164*0.0001,AO164))</f>
        <v>-993340.68142796762</v>
      </c>
    </row>
    <row r="165" spans="33:46" x14ac:dyDescent="0.55000000000000004">
      <c r="AG165">
        <f t="shared" si="24"/>
        <v>164</v>
      </c>
      <c r="AH165">
        <f t="shared" si="25"/>
        <v>0.2</v>
      </c>
      <c r="AI165">
        <f t="shared" si="26"/>
        <v>0.5</v>
      </c>
      <c r="AJ165">
        <f t="shared" si="27"/>
        <v>0.2</v>
      </c>
      <c r="AK165">
        <f t="shared" si="28"/>
        <v>37744.921633416481</v>
      </c>
      <c r="AL165">
        <f t="shared" si="29"/>
        <v>12148.800000000001</v>
      </c>
      <c r="AM165">
        <f>MIN(MAX(0,$B$10-AL165)*AI165,'Retirement Gap'!$B$29)</f>
        <v>10850.278366583516</v>
      </c>
      <c r="AN165">
        <f>IF($E$40="B - Withdrawals + Roth conversions",AJ165*MAX(0,MIN($B$47-AL165,MIN($B$59,IRMAA!$C$16)-(AL165+$B$8*0.85+AK165*$B$46))),0)</f>
        <v>0</v>
      </c>
      <c r="AO165" cm="1">
        <f t="array" ref="AO165">_xlfn.LET(_xlpm.N,$B$49,_xlpm.R,$B$48,_xlpm.Start,$B$47,_xlpm.PlanWD,AL165,_xlpm.PlanRoth,AM165,_xlpm.PlanConv,AN165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15709.840000000002</v>
      </c>
      <c r="AP165" cm="1">
        <f t="array" ref="AP165">_xlfn.LET(_xlpm.N,$B$49,_xlpm.R,$B$48,_xlpm.Start,$B$47,_xlpm.PlanWD,AL165,_xlpm.PlanRoth,AM165,_xlpm.PlanConv,AN165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165" cm="1">
        <f t="array" ref="AQ165">_xlfn.LET(_xlpm.N,$B$49,_xlpm.R,$B$48,_xlpm.Start,$B$47,_xlpm.PlanWD,AL165,_xlpm.PlanRoth,AM165,_xlpm.PlanConv,AN165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993340.68142796762</v>
      </c>
      <c r="AR165" cm="1">
        <f t="array" ref="AR165">_xlfn.LET(_xlpm.N,$B$49,_xlpm.R,$B$48,_xlpm.Start,$B$47,_xlpm.PlanWD,AL165,_xlpm.PlanRoth,AM165,_xlpm.PlanConv,AN165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1183279.1125296501</v>
      </c>
      <c r="AS165">
        <f>--AND(AK165&lt;=SUM('Retirement Gap'!$B$24:$B$25,'Retirement Gap'!$B$27),AL165+AN165&lt;=$B$47,AM165&lt;='Retirement Gap'!$B$29,ABS(AK165+AL165+AM165-$B$10)&lt;1)</f>
        <v>1</v>
      </c>
      <c r="AT165" cm="1">
        <f t="array" ref="AT165">IF(AS165=0,1E+99,_xlfn.SWITCH(LEFT($E$39,1),"1",AO165,"2",AP165*1000000000+AO165,"3",-AQ165,"4",AO165+AP165*25000+AR165*0.005-AQ165*0.0001,AO165))</f>
        <v>-993340.68142796762</v>
      </c>
    </row>
    <row r="166" spans="33:46" x14ac:dyDescent="0.55000000000000004">
      <c r="AG166">
        <f t="shared" si="24"/>
        <v>165</v>
      </c>
      <c r="AH166">
        <f t="shared" si="25"/>
        <v>0.2</v>
      </c>
      <c r="AI166">
        <f t="shared" si="26"/>
        <v>0.5</v>
      </c>
      <c r="AJ166">
        <f t="shared" si="27"/>
        <v>0.4</v>
      </c>
      <c r="AK166">
        <f t="shared" si="28"/>
        <v>37744.921633416481</v>
      </c>
      <c r="AL166">
        <f t="shared" si="29"/>
        <v>12148.800000000001</v>
      </c>
      <c r="AM166">
        <f>MIN(MAX(0,$B$10-AL166)*AI166,'Retirement Gap'!$B$29)</f>
        <v>10850.278366583516</v>
      </c>
      <c r="AN166">
        <f>IF($E$40="B - Withdrawals + Roth conversions",AJ166*MAX(0,MIN($B$47-AL166,MIN($B$59,IRMAA!$C$16)-(AL166+$B$8*0.85+AK166*$B$46))),0)</f>
        <v>0</v>
      </c>
      <c r="AO166" cm="1">
        <f t="array" ref="AO166">_xlfn.LET(_xlpm.N,$B$49,_xlpm.R,$B$48,_xlpm.Start,$B$47,_xlpm.PlanWD,AL166,_xlpm.PlanRoth,AM166,_xlpm.PlanConv,AN166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15709.840000000002</v>
      </c>
      <c r="AP166" cm="1">
        <f t="array" ref="AP166">_xlfn.LET(_xlpm.N,$B$49,_xlpm.R,$B$48,_xlpm.Start,$B$47,_xlpm.PlanWD,AL166,_xlpm.PlanRoth,AM166,_xlpm.PlanConv,AN166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166" cm="1">
        <f t="array" ref="AQ166">_xlfn.LET(_xlpm.N,$B$49,_xlpm.R,$B$48,_xlpm.Start,$B$47,_xlpm.PlanWD,AL166,_xlpm.PlanRoth,AM166,_xlpm.PlanConv,AN166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993340.68142796762</v>
      </c>
      <c r="AR166" cm="1">
        <f t="array" ref="AR166">_xlfn.LET(_xlpm.N,$B$49,_xlpm.R,$B$48,_xlpm.Start,$B$47,_xlpm.PlanWD,AL166,_xlpm.PlanRoth,AM166,_xlpm.PlanConv,AN166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1183279.1125296501</v>
      </c>
      <c r="AS166">
        <f>--AND(AK166&lt;=SUM('Retirement Gap'!$B$24:$B$25,'Retirement Gap'!$B$27),AL166+AN166&lt;=$B$47,AM166&lt;='Retirement Gap'!$B$29,ABS(AK166+AL166+AM166-$B$10)&lt;1)</f>
        <v>1</v>
      </c>
      <c r="AT166" cm="1">
        <f t="array" ref="AT166">IF(AS166=0,1E+99,_xlfn.SWITCH(LEFT($E$39,1),"1",AO166,"2",AP166*1000000000+AO166,"3",-AQ166,"4",AO166+AP166*25000+AR166*0.005-AQ166*0.0001,AO166))</f>
        <v>-993340.68142796762</v>
      </c>
    </row>
    <row r="167" spans="33:46" x14ac:dyDescent="0.55000000000000004">
      <c r="AG167">
        <f t="shared" si="24"/>
        <v>166</v>
      </c>
      <c r="AH167">
        <f t="shared" si="25"/>
        <v>0.2</v>
      </c>
      <c r="AI167">
        <f t="shared" si="26"/>
        <v>0.5</v>
      </c>
      <c r="AJ167">
        <f t="shared" si="27"/>
        <v>0.6</v>
      </c>
      <c r="AK167">
        <f t="shared" si="28"/>
        <v>37744.921633416481</v>
      </c>
      <c r="AL167">
        <f t="shared" si="29"/>
        <v>12148.800000000001</v>
      </c>
      <c r="AM167">
        <f>MIN(MAX(0,$B$10-AL167)*AI167,'Retirement Gap'!$B$29)</f>
        <v>10850.278366583516</v>
      </c>
      <c r="AN167">
        <f>IF($E$40="B - Withdrawals + Roth conversions",AJ167*MAX(0,MIN($B$47-AL167,MIN($B$59,IRMAA!$C$16)-(AL167+$B$8*0.85+AK167*$B$46))),0)</f>
        <v>0</v>
      </c>
      <c r="AO167" cm="1">
        <f t="array" ref="AO167">_xlfn.LET(_xlpm.N,$B$49,_xlpm.R,$B$48,_xlpm.Start,$B$47,_xlpm.PlanWD,AL167,_xlpm.PlanRoth,AM167,_xlpm.PlanConv,AN167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15709.840000000002</v>
      </c>
      <c r="AP167" cm="1">
        <f t="array" ref="AP167">_xlfn.LET(_xlpm.N,$B$49,_xlpm.R,$B$48,_xlpm.Start,$B$47,_xlpm.PlanWD,AL167,_xlpm.PlanRoth,AM167,_xlpm.PlanConv,AN167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167" cm="1">
        <f t="array" ref="AQ167">_xlfn.LET(_xlpm.N,$B$49,_xlpm.R,$B$48,_xlpm.Start,$B$47,_xlpm.PlanWD,AL167,_xlpm.PlanRoth,AM167,_xlpm.PlanConv,AN167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993340.68142796762</v>
      </c>
      <c r="AR167" cm="1">
        <f t="array" ref="AR167">_xlfn.LET(_xlpm.N,$B$49,_xlpm.R,$B$48,_xlpm.Start,$B$47,_xlpm.PlanWD,AL167,_xlpm.PlanRoth,AM167,_xlpm.PlanConv,AN167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1183279.1125296501</v>
      </c>
      <c r="AS167">
        <f>--AND(AK167&lt;=SUM('Retirement Gap'!$B$24:$B$25,'Retirement Gap'!$B$27),AL167+AN167&lt;=$B$47,AM167&lt;='Retirement Gap'!$B$29,ABS(AK167+AL167+AM167-$B$10)&lt;1)</f>
        <v>1</v>
      </c>
      <c r="AT167" cm="1">
        <f t="array" ref="AT167">IF(AS167=0,1E+99,_xlfn.SWITCH(LEFT($E$39,1),"1",AO167,"2",AP167*1000000000+AO167,"3",-AQ167,"4",AO167+AP167*25000+AR167*0.005-AQ167*0.0001,AO167))</f>
        <v>-993340.68142796762</v>
      </c>
    </row>
    <row r="168" spans="33:46" x14ac:dyDescent="0.55000000000000004">
      <c r="AG168">
        <f t="shared" si="24"/>
        <v>167</v>
      </c>
      <c r="AH168">
        <f t="shared" si="25"/>
        <v>0.2</v>
      </c>
      <c r="AI168">
        <f t="shared" si="26"/>
        <v>0.5</v>
      </c>
      <c r="AJ168">
        <f t="shared" si="27"/>
        <v>0.8</v>
      </c>
      <c r="AK168">
        <f t="shared" si="28"/>
        <v>37744.921633416481</v>
      </c>
      <c r="AL168">
        <f t="shared" si="29"/>
        <v>12148.800000000001</v>
      </c>
      <c r="AM168">
        <f>MIN(MAX(0,$B$10-AL168)*AI168,'Retirement Gap'!$B$29)</f>
        <v>10850.278366583516</v>
      </c>
      <c r="AN168">
        <f>IF($E$40="B - Withdrawals + Roth conversions",AJ168*MAX(0,MIN($B$47-AL168,MIN($B$59,IRMAA!$C$16)-(AL168+$B$8*0.85+AK168*$B$46))),0)</f>
        <v>0</v>
      </c>
      <c r="AO168" cm="1">
        <f t="array" ref="AO168">_xlfn.LET(_xlpm.N,$B$49,_xlpm.R,$B$48,_xlpm.Start,$B$47,_xlpm.PlanWD,AL168,_xlpm.PlanRoth,AM168,_xlpm.PlanConv,AN168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15709.840000000002</v>
      </c>
      <c r="AP168" cm="1">
        <f t="array" ref="AP168">_xlfn.LET(_xlpm.N,$B$49,_xlpm.R,$B$48,_xlpm.Start,$B$47,_xlpm.PlanWD,AL168,_xlpm.PlanRoth,AM168,_xlpm.PlanConv,AN168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168" cm="1">
        <f t="array" ref="AQ168">_xlfn.LET(_xlpm.N,$B$49,_xlpm.R,$B$48,_xlpm.Start,$B$47,_xlpm.PlanWD,AL168,_xlpm.PlanRoth,AM168,_xlpm.PlanConv,AN168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993340.68142796762</v>
      </c>
      <c r="AR168" cm="1">
        <f t="array" ref="AR168">_xlfn.LET(_xlpm.N,$B$49,_xlpm.R,$B$48,_xlpm.Start,$B$47,_xlpm.PlanWD,AL168,_xlpm.PlanRoth,AM168,_xlpm.PlanConv,AN168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1183279.1125296501</v>
      </c>
      <c r="AS168">
        <f>--AND(AK168&lt;=SUM('Retirement Gap'!$B$24:$B$25,'Retirement Gap'!$B$27),AL168+AN168&lt;=$B$47,AM168&lt;='Retirement Gap'!$B$29,ABS(AK168+AL168+AM168-$B$10)&lt;1)</f>
        <v>1</v>
      </c>
      <c r="AT168" cm="1">
        <f t="array" ref="AT168">IF(AS168=0,1E+99,_xlfn.SWITCH(LEFT($E$39,1),"1",AO168,"2",AP168*1000000000+AO168,"3",-AQ168,"4",AO168+AP168*25000+AR168*0.005-AQ168*0.0001,AO168))</f>
        <v>-993340.68142796762</v>
      </c>
    </row>
    <row r="169" spans="33:46" x14ac:dyDescent="0.55000000000000004">
      <c r="AG169">
        <f t="shared" si="24"/>
        <v>168</v>
      </c>
      <c r="AH169">
        <f t="shared" si="25"/>
        <v>0.2</v>
      </c>
      <c r="AI169">
        <f t="shared" si="26"/>
        <v>0.5</v>
      </c>
      <c r="AJ169">
        <f t="shared" si="27"/>
        <v>1</v>
      </c>
      <c r="AK169">
        <f t="shared" si="28"/>
        <v>37744.921633416481</v>
      </c>
      <c r="AL169">
        <f t="shared" si="29"/>
        <v>12148.800000000001</v>
      </c>
      <c r="AM169">
        <f>MIN(MAX(0,$B$10-AL169)*AI169,'Retirement Gap'!$B$29)</f>
        <v>10850.278366583516</v>
      </c>
      <c r="AN169">
        <f>IF($E$40="B - Withdrawals + Roth conversions",AJ169*MAX(0,MIN($B$47-AL169,MIN($B$59,IRMAA!$C$16)-(AL169+$B$8*0.85+AK169*$B$46))),0)</f>
        <v>0</v>
      </c>
      <c r="AO169" cm="1">
        <f t="array" ref="AO169">_xlfn.LET(_xlpm.N,$B$49,_xlpm.R,$B$48,_xlpm.Start,$B$47,_xlpm.PlanWD,AL169,_xlpm.PlanRoth,AM169,_xlpm.PlanConv,AN169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15709.840000000002</v>
      </c>
      <c r="AP169" cm="1">
        <f t="array" ref="AP169">_xlfn.LET(_xlpm.N,$B$49,_xlpm.R,$B$48,_xlpm.Start,$B$47,_xlpm.PlanWD,AL169,_xlpm.PlanRoth,AM169,_xlpm.PlanConv,AN169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169" cm="1">
        <f t="array" ref="AQ169">_xlfn.LET(_xlpm.N,$B$49,_xlpm.R,$B$48,_xlpm.Start,$B$47,_xlpm.PlanWD,AL169,_xlpm.PlanRoth,AM169,_xlpm.PlanConv,AN169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993340.68142796762</v>
      </c>
      <c r="AR169" cm="1">
        <f t="array" ref="AR169">_xlfn.LET(_xlpm.N,$B$49,_xlpm.R,$B$48,_xlpm.Start,$B$47,_xlpm.PlanWD,AL169,_xlpm.PlanRoth,AM169,_xlpm.PlanConv,AN169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1183279.1125296501</v>
      </c>
      <c r="AS169">
        <f>--AND(AK169&lt;=SUM('Retirement Gap'!$B$24:$B$25,'Retirement Gap'!$B$27),AL169+AN169&lt;=$B$47,AM169&lt;='Retirement Gap'!$B$29,ABS(AK169+AL169+AM169-$B$10)&lt;1)</f>
        <v>1</v>
      </c>
      <c r="AT169" cm="1">
        <f t="array" ref="AT169">IF(AS169=0,1E+99,_xlfn.SWITCH(LEFT($E$39,1),"1",AO169,"2",AP169*1000000000+AO169,"3",-AQ169,"4",AO169+AP169*25000+AR169*0.005-AQ169*0.0001,AO169))</f>
        <v>-993340.68142796762</v>
      </c>
    </row>
    <row r="170" spans="33:46" x14ac:dyDescent="0.55000000000000004">
      <c r="AG170">
        <f t="shared" si="24"/>
        <v>169</v>
      </c>
      <c r="AH170">
        <f t="shared" si="25"/>
        <v>0.2</v>
      </c>
      <c r="AI170">
        <f t="shared" si="26"/>
        <v>0.6</v>
      </c>
      <c r="AJ170">
        <f t="shared" si="27"/>
        <v>0</v>
      </c>
      <c r="AK170">
        <f t="shared" si="28"/>
        <v>37744.921633416481</v>
      </c>
      <c r="AL170">
        <f t="shared" si="29"/>
        <v>12148.800000000001</v>
      </c>
      <c r="AM170">
        <f>MIN(MAX(0,$B$10-AL170)*AI170,'Retirement Gap'!$B$29)</f>
        <v>10850.278366583516</v>
      </c>
      <c r="AN170">
        <f>IF($E$40="B - Withdrawals + Roth conversions",AJ170*MAX(0,MIN($B$47-AL170,MIN($B$59,IRMAA!$C$16)-(AL170+$B$8*0.85+AK170*$B$46))),0)</f>
        <v>0</v>
      </c>
      <c r="AO170" cm="1">
        <f t="array" ref="AO170">_xlfn.LET(_xlpm.N,$B$49,_xlpm.R,$B$48,_xlpm.Start,$B$47,_xlpm.PlanWD,AL170,_xlpm.PlanRoth,AM170,_xlpm.PlanConv,AN170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15709.840000000002</v>
      </c>
      <c r="AP170" cm="1">
        <f t="array" ref="AP170">_xlfn.LET(_xlpm.N,$B$49,_xlpm.R,$B$48,_xlpm.Start,$B$47,_xlpm.PlanWD,AL170,_xlpm.PlanRoth,AM170,_xlpm.PlanConv,AN170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170" cm="1">
        <f t="array" ref="AQ170">_xlfn.LET(_xlpm.N,$B$49,_xlpm.R,$B$48,_xlpm.Start,$B$47,_xlpm.PlanWD,AL170,_xlpm.PlanRoth,AM170,_xlpm.PlanConv,AN170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993340.68142796762</v>
      </c>
      <c r="AR170" cm="1">
        <f t="array" ref="AR170">_xlfn.LET(_xlpm.N,$B$49,_xlpm.R,$B$48,_xlpm.Start,$B$47,_xlpm.PlanWD,AL170,_xlpm.PlanRoth,AM170,_xlpm.PlanConv,AN170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1183279.1125296501</v>
      </c>
      <c r="AS170">
        <f>--AND(AK170&lt;=SUM('Retirement Gap'!$B$24:$B$25,'Retirement Gap'!$B$27),AL170+AN170&lt;=$B$47,AM170&lt;='Retirement Gap'!$B$29,ABS(AK170+AL170+AM170-$B$10)&lt;1)</f>
        <v>1</v>
      </c>
      <c r="AT170" cm="1">
        <f t="array" ref="AT170">IF(AS170=0,1E+99,_xlfn.SWITCH(LEFT($E$39,1),"1",AO170,"2",AP170*1000000000+AO170,"3",-AQ170,"4",AO170+AP170*25000+AR170*0.005-AQ170*0.0001,AO170))</f>
        <v>-993340.68142796762</v>
      </c>
    </row>
    <row r="171" spans="33:46" x14ac:dyDescent="0.55000000000000004">
      <c r="AG171">
        <f t="shared" si="24"/>
        <v>170</v>
      </c>
      <c r="AH171">
        <f t="shared" si="25"/>
        <v>0.2</v>
      </c>
      <c r="AI171">
        <f t="shared" si="26"/>
        <v>0.6</v>
      </c>
      <c r="AJ171">
        <f t="shared" si="27"/>
        <v>0.2</v>
      </c>
      <c r="AK171">
        <f t="shared" si="28"/>
        <v>37744.921633416481</v>
      </c>
      <c r="AL171">
        <f t="shared" si="29"/>
        <v>12148.800000000001</v>
      </c>
      <c r="AM171">
        <f>MIN(MAX(0,$B$10-AL171)*AI171,'Retirement Gap'!$B$29)</f>
        <v>10850.278366583516</v>
      </c>
      <c r="AN171">
        <f>IF($E$40="B - Withdrawals + Roth conversions",AJ171*MAX(0,MIN($B$47-AL171,MIN($B$59,IRMAA!$C$16)-(AL171+$B$8*0.85+AK171*$B$46))),0)</f>
        <v>0</v>
      </c>
      <c r="AO171" cm="1">
        <f t="array" ref="AO171">_xlfn.LET(_xlpm.N,$B$49,_xlpm.R,$B$48,_xlpm.Start,$B$47,_xlpm.PlanWD,AL171,_xlpm.PlanRoth,AM171,_xlpm.PlanConv,AN171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15709.840000000002</v>
      </c>
      <c r="AP171" cm="1">
        <f t="array" ref="AP171">_xlfn.LET(_xlpm.N,$B$49,_xlpm.R,$B$48,_xlpm.Start,$B$47,_xlpm.PlanWD,AL171,_xlpm.PlanRoth,AM171,_xlpm.PlanConv,AN171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171" cm="1">
        <f t="array" ref="AQ171">_xlfn.LET(_xlpm.N,$B$49,_xlpm.R,$B$48,_xlpm.Start,$B$47,_xlpm.PlanWD,AL171,_xlpm.PlanRoth,AM171,_xlpm.PlanConv,AN171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993340.68142796762</v>
      </c>
      <c r="AR171" cm="1">
        <f t="array" ref="AR171">_xlfn.LET(_xlpm.N,$B$49,_xlpm.R,$B$48,_xlpm.Start,$B$47,_xlpm.PlanWD,AL171,_xlpm.PlanRoth,AM171,_xlpm.PlanConv,AN171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1183279.1125296501</v>
      </c>
      <c r="AS171">
        <f>--AND(AK171&lt;=SUM('Retirement Gap'!$B$24:$B$25,'Retirement Gap'!$B$27),AL171+AN171&lt;=$B$47,AM171&lt;='Retirement Gap'!$B$29,ABS(AK171+AL171+AM171-$B$10)&lt;1)</f>
        <v>1</v>
      </c>
      <c r="AT171" cm="1">
        <f t="array" ref="AT171">IF(AS171=0,1E+99,_xlfn.SWITCH(LEFT($E$39,1),"1",AO171,"2",AP171*1000000000+AO171,"3",-AQ171,"4",AO171+AP171*25000+AR171*0.005-AQ171*0.0001,AO171))</f>
        <v>-993340.68142796762</v>
      </c>
    </row>
    <row r="172" spans="33:46" x14ac:dyDescent="0.55000000000000004">
      <c r="AG172">
        <f t="shared" si="24"/>
        <v>171</v>
      </c>
      <c r="AH172">
        <f t="shared" si="25"/>
        <v>0.2</v>
      </c>
      <c r="AI172">
        <f t="shared" si="26"/>
        <v>0.6</v>
      </c>
      <c r="AJ172">
        <f t="shared" si="27"/>
        <v>0.4</v>
      </c>
      <c r="AK172">
        <f t="shared" si="28"/>
        <v>37744.921633416481</v>
      </c>
      <c r="AL172">
        <f t="shared" si="29"/>
        <v>12148.800000000001</v>
      </c>
      <c r="AM172">
        <f>MIN(MAX(0,$B$10-AL172)*AI172,'Retirement Gap'!$B$29)</f>
        <v>10850.278366583516</v>
      </c>
      <c r="AN172">
        <f>IF($E$40="B - Withdrawals + Roth conversions",AJ172*MAX(0,MIN($B$47-AL172,MIN($B$59,IRMAA!$C$16)-(AL172+$B$8*0.85+AK172*$B$46))),0)</f>
        <v>0</v>
      </c>
      <c r="AO172" cm="1">
        <f t="array" ref="AO172">_xlfn.LET(_xlpm.N,$B$49,_xlpm.R,$B$48,_xlpm.Start,$B$47,_xlpm.PlanWD,AL172,_xlpm.PlanRoth,AM172,_xlpm.PlanConv,AN172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15709.840000000002</v>
      </c>
      <c r="AP172" cm="1">
        <f t="array" ref="AP172">_xlfn.LET(_xlpm.N,$B$49,_xlpm.R,$B$48,_xlpm.Start,$B$47,_xlpm.PlanWD,AL172,_xlpm.PlanRoth,AM172,_xlpm.PlanConv,AN172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172" cm="1">
        <f t="array" ref="AQ172">_xlfn.LET(_xlpm.N,$B$49,_xlpm.R,$B$48,_xlpm.Start,$B$47,_xlpm.PlanWD,AL172,_xlpm.PlanRoth,AM172,_xlpm.PlanConv,AN172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993340.68142796762</v>
      </c>
      <c r="AR172" cm="1">
        <f t="array" ref="AR172">_xlfn.LET(_xlpm.N,$B$49,_xlpm.R,$B$48,_xlpm.Start,$B$47,_xlpm.PlanWD,AL172,_xlpm.PlanRoth,AM172,_xlpm.PlanConv,AN172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1183279.1125296501</v>
      </c>
      <c r="AS172">
        <f>--AND(AK172&lt;=SUM('Retirement Gap'!$B$24:$B$25,'Retirement Gap'!$B$27),AL172+AN172&lt;=$B$47,AM172&lt;='Retirement Gap'!$B$29,ABS(AK172+AL172+AM172-$B$10)&lt;1)</f>
        <v>1</v>
      </c>
      <c r="AT172" cm="1">
        <f t="array" ref="AT172">IF(AS172=0,1E+99,_xlfn.SWITCH(LEFT($E$39,1),"1",AO172,"2",AP172*1000000000+AO172,"3",-AQ172,"4",AO172+AP172*25000+AR172*0.005-AQ172*0.0001,AO172))</f>
        <v>-993340.68142796762</v>
      </c>
    </row>
    <row r="173" spans="33:46" x14ac:dyDescent="0.55000000000000004">
      <c r="AG173">
        <f t="shared" si="24"/>
        <v>172</v>
      </c>
      <c r="AH173">
        <f t="shared" si="25"/>
        <v>0.2</v>
      </c>
      <c r="AI173">
        <f t="shared" si="26"/>
        <v>0.6</v>
      </c>
      <c r="AJ173">
        <f t="shared" si="27"/>
        <v>0.6</v>
      </c>
      <c r="AK173">
        <f t="shared" si="28"/>
        <v>37744.921633416481</v>
      </c>
      <c r="AL173">
        <f t="shared" si="29"/>
        <v>12148.800000000001</v>
      </c>
      <c r="AM173">
        <f>MIN(MAX(0,$B$10-AL173)*AI173,'Retirement Gap'!$B$29)</f>
        <v>10850.278366583516</v>
      </c>
      <c r="AN173">
        <f>IF($E$40="B - Withdrawals + Roth conversions",AJ173*MAX(0,MIN($B$47-AL173,MIN($B$59,IRMAA!$C$16)-(AL173+$B$8*0.85+AK173*$B$46))),0)</f>
        <v>0</v>
      </c>
      <c r="AO173" cm="1">
        <f t="array" ref="AO173">_xlfn.LET(_xlpm.N,$B$49,_xlpm.R,$B$48,_xlpm.Start,$B$47,_xlpm.PlanWD,AL173,_xlpm.PlanRoth,AM173,_xlpm.PlanConv,AN173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15709.840000000002</v>
      </c>
      <c r="AP173" cm="1">
        <f t="array" ref="AP173">_xlfn.LET(_xlpm.N,$B$49,_xlpm.R,$B$48,_xlpm.Start,$B$47,_xlpm.PlanWD,AL173,_xlpm.PlanRoth,AM173,_xlpm.PlanConv,AN173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173" cm="1">
        <f t="array" ref="AQ173">_xlfn.LET(_xlpm.N,$B$49,_xlpm.R,$B$48,_xlpm.Start,$B$47,_xlpm.PlanWD,AL173,_xlpm.PlanRoth,AM173,_xlpm.PlanConv,AN173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993340.68142796762</v>
      </c>
      <c r="AR173" cm="1">
        <f t="array" ref="AR173">_xlfn.LET(_xlpm.N,$B$49,_xlpm.R,$B$48,_xlpm.Start,$B$47,_xlpm.PlanWD,AL173,_xlpm.PlanRoth,AM173,_xlpm.PlanConv,AN173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1183279.1125296501</v>
      </c>
      <c r="AS173">
        <f>--AND(AK173&lt;=SUM('Retirement Gap'!$B$24:$B$25,'Retirement Gap'!$B$27),AL173+AN173&lt;=$B$47,AM173&lt;='Retirement Gap'!$B$29,ABS(AK173+AL173+AM173-$B$10)&lt;1)</f>
        <v>1</v>
      </c>
      <c r="AT173" cm="1">
        <f t="array" ref="AT173">IF(AS173=0,1E+99,_xlfn.SWITCH(LEFT($E$39,1),"1",AO173,"2",AP173*1000000000+AO173,"3",-AQ173,"4",AO173+AP173*25000+AR173*0.005-AQ173*0.0001,AO173))</f>
        <v>-993340.68142796762</v>
      </c>
    </row>
    <row r="174" spans="33:46" x14ac:dyDescent="0.55000000000000004">
      <c r="AG174">
        <f t="shared" si="24"/>
        <v>173</v>
      </c>
      <c r="AH174">
        <f t="shared" si="25"/>
        <v>0.2</v>
      </c>
      <c r="AI174">
        <f t="shared" si="26"/>
        <v>0.6</v>
      </c>
      <c r="AJ174">
        <f t="shared" si="27"/>
        <v>0.8</v>
      </c>
      <c r="AK174">
        <f t="shared" si="28"/>
        <v>37744.921633416481</v>
      </c>
      <c r="AL174">
        <f t="shared" si="29"/>
        <v>12148.800000000001</v>
      </c>
      <c r="AM174">
        <f>MIN(MAX(0,$B$10-AL174)*AI174,'Retirement Gap'!$B$29)</f>
        <v>10850.278366583516</v>
      </c>
      <c r="AN174">
        <f>IF($E$40="B - Withdrawals + Roth conversions",AJ174*MAX(0,MIN($B$47-AL174,MIN($B$59,IRMAA!$C$16)-(AL174+$B$8*0.85+AK174*$B$46))),0)</f>
        <v>0</v>
      </c>
      <c r="AO174" cm="1">
        <f t="array" ref="AO174">_xlfn.LET(_xlpm.N,$B$49,_xlpm.R,$B$48,_xlpm.Start,$B$47,_xlpm.PlanWD,AL174,_xlpm.PlanRoth,AM174,_xlpm.PlanConv,AN174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15709.840000000002</v>
      </c>
      <c r="AP174" cm="1">
        <f t="array" ref="AP174">_xlfn.LET(_xlpm.N,$B$49,_xlpm.R,$B$48,_xlpm.Start,$B$47,_xlpm.PlanWD,AL174,_xlpm.PlanRoth,AM174,_xlpm.PlanConv,AN174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174" cm="1">
        <f t="array" ref="AQ174">_xlfn.LET(_xlpm.N,$B$49,_xlpm.R,$B$48,_xlpm.Start,$B$47,_xlpm.PlanWD,AL174,_xlpm.PlanRoth,AM174,_xlpm.PlanConv,AN174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993340.68142796762</v>
      </c>
      <c r="AR174" cm="1">
        <f t="array" ref="AR174">_xlfn.LET(_xlpm.N,$B$49,_xlpm.R,$B$48,_xlpm.Start,$B$47,_xlpm.PlanWD,AL174,_xlpm.PlanRoth,AM174,_xlpm.PlanConv,AN174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1183279.1125296501</v>
      </c>
      <c r="AS174">
        <f>--AND(AK174&lt;=SUM('Retirement Gap'!$B$24:$B$25,'Retirement Gap'!$B$27),AL174+AN174&lt;=$B$47,AM174&lt;='Retirement Gap'!$B$29,ABS(AK174+AL174+AM174-$B$10)&lt;1)</f>
        <v>1</v>
      </c>
      <c r="AT174" cm="1">
        <f t="array" ref="AT174">IF(AS174=0,1E+99,_xlfn.SWITCH(LEFT($E$39,1),"1",AO174,"2",AP174*1000000000+AO174,"3",-AQ174,"4",AO174+AP174*25000+AR174*0.005-AQ174*0.0001,AO174))</f>
        <v>-993340.68142796762</v>
      </c>
    </row>
    <row r="175" spans="33:46" x14ac:dyDescent="0.55000000000000004">
      <c r="AG175">
        <f t="shared" si="24"/>
        <v>174</v>
      </c>
      <c r="AH175">
        <f t="shared" si="25"/>
        <v>0.2</v>
      </c>
      <c r="AI175">
        <f t="shared" si="26"/>
        <v>0.6</v>
      </c>
      <c r="AJ175">
        <f t="shared" si="27"/>
        <v>1</v>
      </c>
      <c r="AK175">
        <f t="shared" si="28"/>
        <v>37744.921633416481</v>
      </c>
      <c r="AL175">
        <f t="shared" si="29"/>
        <v>12148.800000000001</v>
      </c>
      <c r="AM175">
        <f>MIN(MAX(0,$B$10-AL175)*AI175,'Retirement Gap'!$B$29)</f>
        <v>10850.278366583516</v>
      </c>
      <c r="AN175">
        <f>IF($E$40="B - Withdrawals + Roth conversions",AJ175*MAX(0,MIN($B$47-AL175,MIN($B$59,IRMAA!$C$16)-(AL175+$B$8*0.85+AK175*$B$46))),0)</f>
        <v>0</v>
      </c>
      <c r="AO175" cm="1">
        <f t="array" ref="AO175">_xlfn.LET(_xlpm.N,$B$49,_xlpm.R,$B$48,_xlpm.Start,$B$47,_xlpm.PlanWD,AL175,_xlpm.PlanRoth,AM175,_xlpm.PlanConv,AN175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15709.840000000002</v>
      </c>
      <c r="AP175" cm="1">
        <f t="array" ref="AP175">_xlfn.LET(_xlpm.N,$B$49,_xlpm.R,$B$48,_xlpm.Start,$B$47,_xlpm.PlanWD,AL175,_xlpm.PlanRoth,AM175,_xlpm.PlanConv,AN175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175" cm="1">
        <f t="array" ref="AQ175">_xlfn.LET(_xlpm.N,$B$49,_xlpm.R,$B$48,_xlpm.Start,$B$47,_xlpm.PlanWD,AL175,_xlpm.PlanRoth,AM175,_xlpm.PlanConv,AN175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993340.68142796762</v>
      </c>
      <c r="AR175" cm="1">
        <f t="array" ref="AR175">_xlfn.LET(_xlpm.N,$B$49,_xlpm.R,$B$48,_xlpm.Start,$B$47,_xlpm.PlanWD,AL175,_xlpm.PlanRoth,AM175,_xlpm.PlanConv,AN175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1183279.1125296501</v>
      </c>
      <c r="AS175">
        <f>--AND(AK175&lt;=SUM('Retirement Gap'!$B$24:$B$25,'Retirement Gap'!$B$27),AL175+AN175&lt;=$B$47,AM175&lt;='Retirement Gap'!$B$29,ABS(AK175+AL175+AM175-$B$10)&lt;1)</f>
        <v>1</v>
      </c>
      <c r="AT175" cm="1">
        <f t="array" ref="AT175">IF(AS175=0,1E+99,_xlfn.SWITCH(LEFT($E$39,1),"1",AO175,"2",AP175*1000000000+AO175,"3",-AQ175,"4",AO175+AP175*25000+AR175*0.005-AQ175*0.0001,AO175))</f>
        <v>-993340.68142796762</v>
      </c>
    </row>
    <row r="176" spans="33:46" x14ac:dyDescent="0.55000000000000004">
      <c r="AG176">
        <f t="shared" si="24"/>
        <v>175</v>
      </c>
      <c r="AH176">
        <f t="shared" si="25"/>
        <v>0.2</v>
      </c>
      <c r="AI176">
        <f t="shared" si="26"/>
        <v>0.7</v>
      </c>
      <c r="AJ176">
        <f t="shared" si="27"/>
        <v>0</v>
      </c>
      <c r="AK176">
        <f t="shared" si="28"/>
        <v>37744.921633416481</v>
      </c>
      <c r="AL176">
        <f t="shared" si="29"/>
        <v>12148.800000000001</v>
      </c>
      <c r="AM176">
        <f>MIN(MAX(0,$B$10-AL176)*AI176,'Retirement Gap'!$B$29)</f>
        <v>10850.278366583516</v>
      </c>
      <c r="AN176">
        <f>IF($E$40="B - Withdrawals + Roth conversions",AJ176*MAX(0,MIN($B$47-AL176,MIN($B$59,IRMAA!$C$16)-(AL176+$B$8*0.85+AK176*$B$46))),0)</f>
        <v>0</v>
      </c>
      <c r="AO176" cm="1">
        <f t="array" ref="AO176">_xlfn.LET(_xlpm.N,$B$49,_xlpm.R,$B$48,_xlpm.Start,$B$47,_xlpm.PlanWD,AL176,_xlpm.PlanRoth,AM176,_xlpm.PlanConv,AN176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15709.840000000002</v>
      </c>
      <c r="AP176" cm="1">
        <f t="array" ref="AP176">_xlfn.LET(_xlpm.N,$B$49,_xlpm.R,$B$48,_xlpm.Start,$B$47,_xlpm.PlanWD,AL176,_xlpm.PlanRoth,AM176,_xlpm.PlanConv,AN176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176" cm="1">
        <f t="array" ref="AQ176">_xlfn.LET(_xlpm.N,$B$49,_xlpm.R,$B$48,_xlpm.Start,$B$47,_xlpm.PlanWD,AL176,_xlpm.PlanRoth,AM176,_xlpm.PlanConv,AN176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993340.68142796762</v>
      </c>
      <c r="AR176" cm="1">
        <f t="array" ref="AR176">_xlfn.LET(_xlpm.N,$B$49,_xlpm.R,$B$48,_xlpm.Start,$B$47,_xlpm.PlanWD,AL176,_xlpm.PlanRoth,AM176,_xlpm.PlanConv,AN176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1183279.1125296501</v>
      </c>
      <c r="AS176">
        <f>--AND(AK176&lt;=SUM('Retirement Gap'!$B$24:$B$25,'Retirement Gap'!$B$27),AL176+AN176&lt;=$B$47,AM176&lt;='Retirement Gap'!$B$29,ABS(AK176+AL176+AM176-$B$10)&lt;1)</f>
        <v>1</v>
      </c>
      <c r="AT176" cm="1">
        <f t="array" ref="AT176">IF(AS176=0,1E+99,_xlfn.SWITCH(LEFT($E$39,1),"1",AO176,"2",AP176*1000000000+AO176,"3",-AQ176,"4",AO176+AP176*25000+AR176*0.005-AQ176*0.0001,AO176))</f>
        <v>-993340.68142796762</v>
      </c>
    </row>
    <row r="177" spans="33:46" x14ac:dyDescent="0.55000000000000004">
      <c r="AG177">
        <f t="shared" si="24"/>
        <v>176</v>
      </c>
      <c r="AH177">
        <f t="shared" si="25"/>
        <v>0.2</v>
      </c>
      <c r="AI177">
        <f t="shared" si="26"/>
        <v>0.7</v>
      </c>
      <c r="AJ177">
        <f t="shared" si="27"/>
        <v>0.2</v>
      </c>
      <c r="AK177">
        <f t="shared" si="28"/>
        <v>37744.921633416481</v>
      </c>
      <c r="AL177">
        <f t="shared" si="29"/>
        <v>12148.800000000001</v>
      </c>
      <c r="AM177">
        <f>MIN(MAX(0,$B$10-AL177)*AI177,'Retirement Gap'!$B$29)</f>
        <v>10850.278366583516</v>
      </c>
      <c r="AN177">
        <f>IF($E$40="B - Withdrawals + Roth conversions",AJ177*MAX(0,MIN($B$47-AL177,MIN($B$59,IRMAA!$C$16)-(AL177+$B$8*0.85+AK177*$B$46))),0)</f>
        <v>0</v>
      </c>
      <c r="AO177" cm="1">
        <f t="array" ref="AO177">_xlfn.LET(_xlpm.N,$B$49,_xlpm.R,$B$48,_xlpm.Start,$B$47,_xlpm.PlanWD,AL177,_xlpm.PlanRoth,AM177,_xlpm.PlanConv,AN177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15709.840000000002</v>
      </c>
      <c r="AP177" cm="1">
        <f t="array" ref="AP177">_xlfn.LET(_xlpm.N,$B$49,_xlpm.R,$B$48,_xlpm.Start,$B$47,_xlpm.PlanWD,AL177,_xlpm.PlanRoth,AM177,_xlpm.PlanConv,AN177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177" cm="1">
        <f t="array" ref="AQ177">_xlfn.LET(_xlpm.N,$B$49,_xlpm.R,$B$48,_xlpm.Start,$B$47,_xlpm.PlanWD,AL177,_xlpm.PlanRoth,AM177,_xlpm.PlanConv,AN177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993340.68142796762</v>
      </c>
      <c r="AR177" cm="1">
        <f t="array" ref="AR177">_xlfn.LET(_xlpm.N,$B$49,_xlpm.R,$B$48,_xlpm.Start,$B$47,_xlpm.PlanWD,AL177,_xlpm.PlanRoth,AM177,_xlpm.PlanConv,AN177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1183279.1125296501</v>
      </c>
      <c r="AS177">
        <f>--AND(AK177&lt;=SUM('Retirement Gap'!$B$24:$B$25,'Retirement Gap'!$B$27),AL177+AN177&lt;=$B$47,AM177&lt;='Retirement Gap'!$B$29,ABS(AK177+AL177+AM177-$B$10)&lt;1)</f>
        <v>1</v>
      </c>
      <c r="AT177" cm="1">
        <f t="array" ref="AT177">IF(AS177=0,1E+99,_xlfn.SWITCH(LEFT($E$39,1),"1",AO177,"2",AP177*1000000000+AO177,"3",-AQ177,"4",AO177+AP177*25000+AR177*0.005-AQ177*0.0001,AO177))</f>
        <v>-993340.68142796762</v>
      </c>
    </row>
    <row r="178" spans="33:46" x14ac:dyDescent="0.55000000000000004">
      <c r="AG178">
        <f t="shared" si="24"/>
        <v>177</v>
      </c>
      <c r="AH178">
        <f t="shared" si="25"/>
        <v>0.2</v>
      </c>
      <c r="AI178">
        <f t="shared" si="26"/>
        <v>0.7</v>
      </c>
      <c r="AJ178">
        <f t="shared" si="27"/>
        <v>0.4</v>
      </c>
      <c r="AK178">
        <f t="shared" si="28"/>
        <v>37744.921633416481</v>
      </c>
      <c r="AL178">
        <f t="shared" si="29"/>
        <v>12148.800000000001</v>
      </c>
      <c r="AM178">
        <f>MIN(MAX(0,$B$10-AL178)*AI178,'Retirement Gap'!$B$29)</f>
        <v>10850.278366583516</v>
      </c>
      <c r="AN178">
        <f>IF($E$40="B - Withdrawals + Roth conversions",AJ178*MAX(0,MIN($B$47-AL178,MIN($B$59,IRMAA!$C$16)-(AL178+$B$8*0.85+AK178*$B$46))),0)</f>
        <v>0</v>
      </c>
      <c r="AO178" cm="1">
        <f t="array" ref="AO178">_xlfn.LET(_xlpm.N,$B$49,_xlpm.R,$B$48,_xlpm.Start,$B$47,_xlpm.PlanWD,AL178,_xlpm.PlanRoth,AM178,_xlpm.PlanConv,AN178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15709.840000000002</v>
      </c>
      <c r="AP178" cm="1">
        <f t="array" ref="AP178">_xlfn.LET(_xlpm.N,$B$49,_xlpm.R,$B$48,_xlpm.Start,$B$47,_xlpm.PlanWD,AL178,_xlpm.PlanRoth,AM178,_xlpm.PlanConv,AN178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178" cm="1">
        <f t="array" ref="AQ178">_xlfn.LET(_xlpm.N,$B$49,_xlpm.R,$B$48,_xlpm.Start,$B$47,_xlpm.PlanWD,AL178,_xlpm.PlanRoth,AM178,_xlpm.PlanConv,AN178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993340.68142796762</v>
      </c>
      <c r="AR178" cm="1">
        <f t="array" ref="AR178">_xlfn.LET(_xlpm.N,$B$49,_xlpm.R,$B$48,_xlpm.Start,$B$47,_xlpm.PlanWD,AL178,_xlpm.PlanRoth,AM178,_xlpm.PlanConv,AN178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1183279.1125296501</v>
      </c>
      <c r="AS178">
        <f>--AND(AK178&lt;=SUM('Retirement Gap'!$B$24:$B$25,'Retirement Gap'!$B$27),AL178+AN178&lt;=$B$47,AM178&lt;='Retirement Gap'!$B$29,ABS(AK178+AL178+AM178-$B$10)&lt;1)</f>
        <v>1</v>
      </c>
      <c r="AT178" cm="1">
        <f t="array" ref="AT178">IF(AS178=0,1E+99,_xlfn.SWITCH(LEFT($E$39,1),"1",AO178,"2",AP178*1000000000+AO178,"3",-AQ178,"4",AO178+AP178*25000+AR178*0.005-AQ178*0.0001,AO178))</f>
        <v>-993340.68142796762</v>
      </c>
    </row>
    <row r="179" spans="33:46" x14ac:dyDescent="0.55000000000000004">
      <c r="AG179">
        <f t="shared" si="24"/>
        <v>178</v>
      </c>
      <c r="AH179">
        <f t="shared" si="25"/>
        <v>0.2</v>
      </c>
      <c r="AI179">
        <f t="shared" si="26"/>
        <v>0.7</v>
      </c>
      <c r="AJ179">
        <f t="shared" si="27"/>
        <v>0.6</v>
      </c>
      <c r="AK179">
        <f t="shared" si="28"/>
        <v>37744.921633416481</v>
      </c>
      <c r="AL179">
        <f t="shared" si="29"/>
        <v>12148.800000000001</v>
      </c>
      <c r="AM179">
        <f>MIN(MAX(0,$B$10-AL179)*AI179,'Retirement Gap'!$B$29)</f>
        <v>10850.278366583516</v>
      </c>
      <c r="AN179">
        <f>IF($E$40="B - Withdrawals + Roth conversions",AJ179*MAX(0,MIN($B$47-AL179,MIN($B$59,IRMAA!$C$16)-(AL179+$B$8*0.85+AK179*$B$46))),0)</f>
        <v>0</v>
      </c>
      <c r="AO179" cm="1">
        <f t="array" ref="AO179">_xlfn.LET(_xlpm.N,$B$49,_xlpm.R,$B$48,_xlpm.Start,$B$47,_xlpm.PlanWD,AL179,_xlpm.PlanRoth,AM179,_xlpm.PlanConv,AN179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15709.840000000002</v>
      </c>
      <c r="AP179" cm="1">
        <f t="array" ref="AP179">_xlfn.LET(_xlpm.N,$B$49,_xlpm.R,$B$48,_xlpm.Start,$B$47,_xlpm.PlanWD,AL179,_xlpm.PlanRoth,AM179,_xlpm.PlanConv,AN179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179" cm="1">
        <f t="array" ref="AQ179">_xlfn.LET(_xlpm.N,$B$49,_xlpm.R,$B$48,_xlpm.Start,$B$47,_xlpm.PlanWD,AL179,_xlpm.PlanRoth,AM179,_xlpm.PlanConv,AN179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993340.68142796762</v>
      </c>
      <c r="AR179" cm="1">
        <f t="array" ref="AR179">_xlfn.LET(_xlpm.N,$B$49,_xlpm.R,$B$48,_xlpm.Start,$B$47,_xlpm.PlanWD,AL179,_xlpm.PlanRoth,AM179,_xlpm.PlanConv,AN179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1183279.1125296501</v>
      </c>
      <c r="AS179">
        <f>--AND(AK179&lt;=SUM('Retirement Gap'!$B$24:$B$25,'Retirement Gap'!$B$27),AL179+AN179&lt;=$B$47,AM179&lt;='Retirement Gap'!$B$29,ABS(AK179+AL179+AM179-$B$10)&lt;1)</f>
        <v>1</v>
      </c>
      <c r="AT179" cm="1">
        <f t="array" ref="AT179">IF(AS179=0,1E+99,_xlfn.SWITCH(LEFT($E$39,1),"1",AO179,"2",AP179*1000000000+AO179,"3",-AQ179,"4",AO179+AP179*25000+AR179*0.005-AQ179*0.0001,AO179))</f>
        <v>-993340.68142796762</v>
      </c>
    </row>
    <row r="180" spans="33:46" x14ac:dyDescent="0.55000000000000004">
      <c r="AG180">
        <f t="shared" si="24"/>
        <v>179</v>
      </c>
      <c r="AH180">
        <f t="shared" si="25"/>
        <v>0.2</v>
      </c>
      <c r="AI180">
        <f t="shared" si="26"/>
        <v>0.7</v>
      </c>
      <c r="AJ180">
        <f t="shared" si="27"/>
        <v>0.8</v>
      </c>
      <c r="AK180">
        <f t="shared" si="28"/>
        <v>37744.921633416481</v>
      </c>
      <c r="AL180">
        <f t="shared" si="29"/>
        <v>12148.800000000001</v>
      </c>
      <c r="AM180">
        <f>MIN(MAX(0,$B$10-AL180)*AI180,'Retirement Gap'!$B$29)</f>
        <v>10850.278366583516</v>
      </c>
      <c r="AN180">
        <f>IF($E$40="B - Withdrawals + Roth conversions",AJ180*MAX(0,MIN($B$47-AL180,MIN($B$59,IRMAA!$C$16)-(AL180+$B$8*0.85+AK180*$B$46))),0)</f>
        <v>0</v>
      </c>
      <c r="AO180" cm="1">
        <f t="array" ref="AO180">_xlfn.LET(_xlpm.N,$B$49,_xlpm.R,$B$48,_xlpm.Start,$B$47,_xlpm.PlanWD,AL180,_xlpm.PlanRoth,AM180,_xlpm.PlanConv,AN180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15709.840000000002</v>
      </c>
      <c r="AP180" cm="1">
        <f t="array" ref="AP180">_xlfn.LET(_xlpm.N,$B$49,_xlpm.R,$B$48,_xlpm.Start,$B$47,_xlpm.PlanWD,AL180,_xlpm.PlanRoth,AM180,_xlpm.PlanConv,AN180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180" cm="1">
        <f t="array" ref="AQ180">_xlfn.LET(_xlpm.N,$B$49,_xlpm.R,$B$48,_xlpm.Start,$B$47,_xlpm.PlanWD,AL180,_xlpm.PlanRoth,AM180,_xlpm.PlanConv,AN180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993340.68142796762</v>
      </c>
      <c r="AR180" cm="1">
        <f t="array" ref="AR180">_xlfn.LET(_xlpm.N,$B$49,_xlpm.R,$B$48,_xlpm.Start,$B$47,_xlpm.PlanWD,AL180,_xlpm.PlanRoth,AM180,_xlpm.PlanConv,AN180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1183279.1125296501</v>
      </c>
      <c r="AS180">
        <f>--AND(AK180&lt;=SUM('Retirement Gap'!$B$24:$B$25,'Retirement Gap'!$B$27),AL180+AN180&lt;=$B$47,AM180&lt;='Retirement Gap'!$B$29,ABS(AK180+AL180+AM180-$B$10)&lt;1)</f>
        <v>1</v>
      </c>
      <c r="AT180" cm="1">
        <f t="array" ref="AT180">IF(AS180=0,1E+99,_xlfn.SWITCH(LEFT($E$39,1),"1",AO180,"2",AP180*1000000000+AO180,"3",-AQ180,"4",AO180+AP180*25000+AR180*0.005-AQ180*0.0001,AO180))</f>
        <v>-993340.68142796762</v>
      </c>
    </row>
    <row r="181" spans="33:46" x14ac:dyDescent="0.55000000000000004">
      <c r="AG181">
        <f t="shared" si="24"/>
        <v>180</v>
      </c>
      <c r="AH181">
        <f t="shared" si="25"/>
        <v>0.2</v>
      </c>
      <c r="AI181">
        <f t="shared" si="26"/>
        <v>0.7</v>
      </c>
      <c r="AJ181">
        <f t="shared" si="27"/>
        <v>1</v>
      </c>
      <c r="AK181">
        <f t="shared" si="28"/>
        <v>37744.921633416481</v>
      </c>
      <c r="AL181">
        <f t="shared" si="29"/>
        <v>12148.800000000001</v>
      </c>
      <c r="AM181">
        <f>MIN(MAX(0,$B$10-AL181)*AI181,'Retirement Gap'!$B$29)</f>
        <v>10850.278366583516</v>
      </c>
      <c r="AN181">
        <f>IF($E$40="B - Withdrawals + Roth conversions",AJ181*MAX(0,MIN($B$47-AL181,MIN($B$59,IRMAA!$C$16)-(AL181+$B$8*0.85+AK181*$B$46))),0)</f>
        <v>0</v>
      </c>
      <c r="AO181" cm="1">
        <f t="array" ref="AO181">_xlfn.LET(_xlpm.N,$B$49,_xlpm.R,$B$48,_xlpm.Start,$B$47,_xlpm.PlanWD,AL181,_xlpm.PlanRoth,AM181,_xlpm.PlanConv,AN181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15709.840000000002</v>
      </c>
      <c r="AP181" cm="1">
        <f t="array" ref="AP181">_xlfn.LET(_xlpm.N,$B$49,_xlpm.R,$B$48,_xlpm.Start,$B$47,_xlpm.PlanWD,AL181,_xlpm.PlanRoth,AM181,_xlpm.PlanConv,AN181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181" cm="1">
        <f t="array" ref="AQ181">_xlfn.LET(_xlpm.N,$B$49,_xlpm.R,$B$48,_xlpm.Start,$B$47,_xlpm.PlanWD,AL181,_xlpm.PlanRoth,AM181,_xlpm.PlanConv,AN181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993340.68142796762</v>
      </c>
      <c r="AR181" cm="1">
        <f t="array" ref="AR181">_xlfn.LET(_xlpm.N,$B$49,_xlpm.R,$B$48,_xlpm.Start,$B$47,_xlpm.PlanWD,AL181,_xlpm.PlanRoth,AM181,_xlpm.PlanConv,AN181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1183279.1125296501</v>
      </c>
      <c r="AS181">
        <f>--AND(AK181&lt;=SUM('Retirement Gap'!$B$24:$B$25,'Retirement Gap'!$B$27),AL181+AN181&lt;=$B$47,AM181&lt;='Retirement Gap'!$B$29,ABS(AK181+AL181+AM181-$B$10)&lt;1)</f>
        <v>1</v>
      </c>
      <c r="AT181" cm="1">
        <f t="array" ref="AT181">IF(AS181=0,1E+99,_xlfn.SWITCH(LEFT($E$39,1),"1",AO181,"2",AP181*1000000000+AO181,"3",-AQ181,"4",AO181+AP181*25000+AR181*0.005-AQ181*0.0001,AO181))</f>
        <v>-993340.68142796762</v>
      </c>
    </row>
    <row r="182" spans="33:46" x14ac:dyDescent="0.55000000000000004">
      <c r="AG182">
        <f t="shared" si="24"/>
        <v>181</v>
      </c>
      <c r="AH182">
        <f t="shared" si="25"/>
        <v>0.2</v>
      </c>
      <c r="AI182">
        <f t="shared" si="26"/>
        <v>0.8</v>
      </c>
      <c r="AJ182">
        <f t="shared" si="27"/>
        <v>0</v>
      </c>
      <c r="AK182">
        <f t="shared" si="28"/>
        <v>37744.921633416481</v>
      </c>
      <c r="AL182">
        <f t="shared" si="29"/>
        <v>12148.800000000001</v>
      </c>
      <c r="AM182">
        <f>MIN(MAX(0,$B$10-AL182)*AI182,'Retirement Gap'!$B$29)</f>
        <v>10850.278366583516</v>
      </c>
      <c r="AN182">
        <f>IF($E$40="B - Withdrawals + Roth conversions",AJ182*MAX(0,MIN($B$47-AL182,MIN($B$59,IRMAA!$C$16)-(AL182+$B$8*0.85+AK182*$B$46))),0)</f>
        <v>0</v>
      </c>
      <c r="AO182" cm="1">
        <f t="array" ref="AO182">_xlfn.LET(_xlpm.N,$B$49,_xlpm.R,$B$48,_xlpm.Start,$B$47,_xlpm.PlanWD,AL182,_xlpm.PlanRoth,AM182,_xlpm.PlanConv,AN182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15709.840000000002</v>
      </c>
      <c r="AP182" cm="1">
        <f t="array" ref="AP182">_xlfn.LET(_xlpm.N,$B$49,_xlpm.R,$B$48,_xlpm.Start,$B$47,_xlpm.PlanWD,AL182,_xlpm.PlanRoth,AM182,_xlpm.PlanConv,AN182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182" cm="1">
        <f t="array" ref="AQ182">_xlfn.LET(_xlpm.N,$B$49,_xlpm.R,$B$48,_xlpm.Start,$B$47,_xlpm.PlanWD,AL182,_xlpm.PlanRoth,AM182,_xlpm.PlanConv,AN182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993340.68142796762</v>
      </c>
      <c r="AR182" cm="1">
        <f t="array" ref="AR182">_xlfn.LET(_xlpm.N,$B$49,_xlpm.R,$B$48,_xlpm.Start,$B$47,_xlpm.PlanWD,AL182,_xlpm.PlanRoth,AM182,_xlpm.PlanConv,AN182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1183279.1125296501</v>
      </c>
      <c r="AS182">
        <f>--AND(AK182&lt;=SUM('Retirement Gap'!$B$24:$B$25,'Retirement Gap'!$B$27),AL182+AN182&lt;=$B$47,AM182&lt;='Retirement Gap'!$B$29,ABS(AK182+AL182+AM182-$B$10)&lt;1)</f>
        <v>1</v>
      </c>
      <c r="AT182" cm="1">
        <f t="array" ref="AT182">IF(AS182=0,1E+99,_xlfn.SWITCH(LEFT($E$39,1),"1",AO182,"2",AP182*1000000000+AO182,"3",-AQ182,"4",AO182+AP182*25000+AR182*0.005-AQ182*0.0001,AO182))</f>
        <v>-993340.68142796762</v>
      </c>
    </row>
    <row r="183" spans="33:46" x14ac:dyDescent="0.55000000000000004">
      <c r="AG183">
        <f t="shared" si="24"/>
        <v>182</v>
      </c>
      <c r="AH183">
        <f t="shared" si="25"/>
        <v>0.2</v>
      </c>
      <c r="AI183">
        <f t="shared" si="26"/>
        <v>0.8</v>
      </c>
      <c r="AJ183">
        <f t="shared" si="27"/>
        <v>0.2</v>
      </c>
      <c r="AK183">
        <f t="shared" si="28"/>
        <v>37744.921633416481</v>
      </c>
      <c r="AL183">
        <f t="shared" si="29"/>
        <v>12148.800000000001</v>
      </c>
      <c r="AM183">
        <f>MIN(MAX(0,$B$10-AL183)*AI183,'Retirement Gap'!$B$29)</f>
        <v>10850.278366583516</v>
      </c>
      <c r="AN183">
        <f>IF($E$40="B - Withdrawals + Roth conversions",AJ183*MAX(0,MIN($B$47-AL183,MIN($B$59,IRMAA!$C$16)-(AL183+$B$8*0.85+AK183*$B$46))),0)</f>
        <v>0</v>
      </c>
      <c r="AO183" cm="1">
        <f t="array" ref="AO183">_xlfn.LET(_xlpm.N,$B$49,_xlpm.R,$B$48,_xlpm.Start,$B$47,_xlpm.PlanWD,AL183,_xlpm.PlanRoth,AM183,_xlpm.PlanConv,AN183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15709.840000000002</v>
      </c>
      <c r="AP183" cm="1">
        <f t="array" ref="AP183">_xlfn.LET(_xlpm.N,$B$49,_xlpm.R,$B$48,_xlpm.Start,$B$47,_xlpm.PlanWD,AL183,_xlpm.PlanRoth,AM183,_xlpm.PlanConv,AN183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183" cm="1">
        <f t="array" ref="AQ183">_xlfn.LET(_xlpm.N,$B$49,_xlpm.R,$B$48,_xlpm.Start,$B$47,_xlpm.PlanWD,AL183,_xlpm.PlanRoth,AM183,_xlpm.PlanConv,AN183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993340.68142796762</v>
      </c>
      <c r="AR183" cm="1">
        <f t="array" ref="AR183">_xlfn.LET(_xlpm.N,$B$49,_xlpm.R,$B$48,_xlpm.Start,$B$47,_xlpm.PlanWD,AL183,_xlpm.PlanRoth,AM183,_xlpm.PlanConv,AN183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1183279.1125296501</v>
      </c>
      <c r="AS183">
        <f>--AND(AK183&lt;=SUM('Retirement Gap'!$B$24:$B$25,'Retirement Gap'!$B$27),AL183+AN183&lt;=$B$47,AM183&lt;='Retirement Gap'!$B$29,ABS(AK183+AL183+AM183-$B$10)&lt;1)</f>
        <v>1</v>
      </c>
      <c r="AT183" cm="1">
        <f t="array" ref="AT183">IF(AS183=0,1E+99,_xlfn.SWITCH(LEFT($E$39,1),"1",AO183,"2",AP183*1000000000+AO183,"3",-AQ183,"4",AO183+AP183*25000+AR183*0.005-AQ183*0.0001,AO183))</f>
        <v>-993340.68142796762</v>
      </c>
    </row>
    <row r="184" spans="33:46" x14ac:dyDescent="0.55000000000000004">
      <c r="AG184">
        <f t="shared" si="24"/>
        <v>183</v>
      </c>
      <c r="AH184">
        <f t="shared" si="25"/>
        <v>0.2</v>
      </c>
      <c r="AI184">
        <f t="shared" si="26"/>
        <v>0.8</v>
      </c>
      <c r="AJ184">
        <f t="shared" si="27"/>
        <v>0.4</v>
      </c>
      <c r="AK184">
        <f t="shared" si="28"/>
        <v>37744.921633416481</v>
      </c>
      <c r="AL184">
        <f t="shared" si="29"/>
        <v>12148.800000000001</v>
      </c>
      <c r="AM184">
        <f>MIN(MAX(0,$B$10-AL184)*AI184,'Retirement Gap'!$B$29)</f>
        <v>10850.278366583516</v>
      </c>
      <c r="AN184">
        <f>IF($E$40="B - Withdrawals + Roth conversions",AJ184*MAX(0,MIN($B$47-AL184,MIN($B$59,IRMAA!$C$16)-(AL184+$B$8*0.85+AK184*$B$46))),0)</f>
        <v>0</v>
      </c>
      <c r="AO184" cm="1">
        <f t="array" ref="AO184">_xlfn.LET(_xlpm.N,$B$49,_xlpm.R,$B$48,_xlpm.Start,$B$47,_xlpm.PlanWD,AL184,_xlpm.PlanRoth,AM184,_xlpm.PlanConv,AN184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15709.840000000002</v>
      </c>
      <c r="AP184" cm="1">
        <f t="array" ref="AP184">_xlfn.LET(_xlpm.N,$B$49,_xlpm.R,$B$48,_xlpm.Start,$B$47,_xlpm.PlanWD,AL184,_xlpm.PlanRoth,AM184,_xlpm.PlanConv,AN184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184" cm="1">
        <f t="array" ref="AQ184">_xlfn.LET(_xlpm.N,$B$49,_xlpm.R,$B$48,_xlpm.Start,$B$47,_xlpm.PlanWD,AL184,_xlpm.PlanRoth,AM184,_xlpm.PlanConv,AN184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993340.68142796762</v>
      </c>
      <c r="AR184" cm="1">
        <f t="array" ref="AR184">_xlfn.LET(_xlpm.N,$B$49,_xlpm.R,$B$48,_xlpm.Start,$B$47,_xlpm.PlanWD,AL184,_xlpm.PlanRoth,AM184,_xlpm.PlanConv,AN184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1183279.1125296501</v>
      </c>
      <c r="AS184">
        <f>--AND(AK184&lt;=SUM('Retirement Gap'!$B$24:$B$25,'Retirement Gap'!$B$27),AL184+AN184&lt;=$B$47,AM184&lt;='Retirement Gap'!$B$29,ABS(AK184+AL184+AM184-$B$10)&lt;1)</f>
        <v>1</v>
      </c>
      <c r="AT184" cm="1">
        <f t="array" ref="AT184">IF(AS184=0,1E+99,_xlfn.SWITCH(LEFT($E$39,1),"1",AO184,"2",AP184*1000000000+AO184,"3",-AQ184,"4",AO184+AP184*25000+AR184*0.005-AQ184*0.0001,AO184))</f>
        <v>-993340.68142796762</v>
      </c>
    </row>
    <row r="185" spans="33:46" x14ac:dyDescent="0.55000000000000004">
      <c r="AG185">
        <f t="shared" si="24"/>
        <v>184</v>
      </c>
      <c r="AH185">
        <f t="shared" si="25"/>
        <v>0.2</v>
      </c>
      <c r="AI185">
        <f t="shared" si="26"/>
        <v>0.8</v>
      </c>
      <c r="AJ185">
        <f t="shared" si="27"/>
        <v>0.6</v>
      </c>
      <c r="AK185">
        <f t="shared" si="28"/>
        <v>37744.921633416481</v>
      </c>
      <c r="AL185">
        <f t="shared" si="29"/>
        <v>12148.800000000001</v>
      </c>
      <c r="AM185">
        <f>MIN(MAX(0,$B$10-AL185)*AI185,'Retirement Gap'!$B$29)</f>
        <v>10850.278366583516</v>
      </c>
      <c r="AN185">
        <f>IF($E$40="B - Withdrawals + Roth conversions",AJ185*MAX(0,MIN($B$47-AL185,MIN($B$59,IRMAA!$C$16)-(AL185+$B$8*0.85+AK185*$B$46))),0)</f>
        <v>0</v>
      </c>
      <c r="AO185" cm="1">
        <f t="array" ref="AO185">_xlfn.LET(_xlpm.N,$B$49,_xlpm.R,$B$48,_xlpm.Start,$B$47,_xlpm.PlanWD,AL185,_xlpm.PlanRoth,AM185,_xlpm.PlanConv,AN185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15709.840000000002</v>
      </c>
      <c r="AP185" cm="1">
        <f t="array" ref="AP185">_xlfn.LET(_xlpm.N,$B$49,_xlpm.R,$B$48,_xlpm.Start,$B$47,_xlpm.PlanWD,AL185,_xlpm.PlanRoth,AM185,_xlpm.PlanConv,AN185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185" cm="1">
        <f t="array" ref="AQ185">_xlfn.LET(_xlpm.N,$B$49,_xlpm.R,$B$48,_xlpm.Start,$B$47,_xlpm.PlanWD,AL185,_xlpm.PlanRoth,AM185,_xlpm.PlanConv,AN185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993340.68142796762</v>
      </c>
      <c r="AR185" cm="1">
        <f t="array" ref="AR185">_xlfn.LET(_xlpm.N,$B$49,_xlpm.R,$B$48,_xlpm.Start,$B$47,_xlpm.PlanWD,AL185,_xlpm.PlanRoth,AM185,_xlpm.PlanConv,AN185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1183279.1125296501</v>
      </c>
      <c r="AS185">
        <f>--AND(AK185&lt;=SUM('Retirement Gap'!$B$24:$B$25,'Retirement Gap'!$B$27),AL185+AN185&lt;=$B$47,AM185&lt;='Retirement Gap'!$B$29,ABS(AK185+AL185+AM185-$B$10)&lt;1)</f>
        <v>1</v>
      </c>
      <c r="AT185" cm="1">
        <f t="array" ref="AT185">IF(AS185=0,1E+99,_xlfn.SWITCH(LEFT($E$39,1),"1",AO185,"2",AP185*1000000000+AO185,"3",-AQ185,"4",AO185+AP185*25000+AR185*0.005-AQ185*0.0001,AO185))</f>
        <v>-993340.68142796762</v>
      </c>
    </row>
    <row r="186" spans="33:46" x14ac:dyDescent="0.55000000000000004">
      <c r="AG186">
        <f t="shared" si="24"/>
        <v>185</v>
      </c>
      <c r="AH186">
        <f t="shared" si="25"/>
        <v>0.2</v>
      </c>
      <c r="AI186">
        <f t="shared" si="26"/>
        <v>0.8</v>
      </c>
      <c r="AJ186">
        <f t="shared" si="27"/>
        <v>0.8</v>
      </c>
      <c r="AK186">
        <f t="shared" si="28"/>
        <v>37744.921633416481</v>
      </c>
      <c r="AL186">
        <f t="shared" si="29"/>
        <v>12148.800000000001</v>
      </c>
      <c r="AM186">
        <f>MIN(MAX(0,$B$10-AL186)*AI186,'Retirement Gap'!$B$29)</f>
        <v>10850.278366583516</v>
      </c>
      <c r="AN186">
        <f>IF($E$40="B - Withdrawals + Roth conversions",AJ186*MAX(0,MIN($B$47-AL186,MIN($B$59,IRMAA!$C$16)-(AL186+$B$8*0.85+AK186*$B$46))),0)</f>
        <v>0</v>
      </c>
      <c r="AO186" cm="1">
        <f t="array" ref="AO186">_xlfn.LET(_xlpm.N,$B$49,_xlpm.R,$B$48,_xlpm.Start,$B$47,_xlpm.PlanWD,AL186,_xlpm.PlanRoth,AM186,_xlpm.PlanConv,AN186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15709.840000000002</v>
      </c>
      <c r="AP186" cm="1">
        <f t="array" ref="AP186">_xlfn.LET(_xlpm.N,$B$49,_xlpm.R,$B$48,_xlpm.Start,$B$47,_xlpm.PlanWD,AL186,_xlpm.PlanRoth,AM186,_xlpm.PlanConv,AN186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186" cm="1">
        <f t="array" ref="AQ186">_xlfn.LET(_xlpm.N,$B$49,_xlpm.R,$B$48,_xlpm.Start,$B$47,_xlpm.PlanWD,AL186,_xlpm.PlanRoth,AM186,_xlpm.PlanConv,AN186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993340.68142796762</v>
      </c>
      <c r="AR186" cm="1">
        <f t="array" ref="AR186">_xlfn.LET(_xlpm.N,$B$49,_xlpm.R,$B$48,_xlpm.Start,$B$47,_xlpm.PlanWD,AL186,_xlpm.PlanRoth,AM186,_xlpm.PlanConv,AN186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1183279.1125296501</v>
      </c>
      <c r="AS186">
        <f>--AND(AK186&lt;=SUM('Retirement Gap'!$B$24:$B$25,'Retirement Gap'!$B$27),AL186+AN186&lt;=$B$47,AM186&lt;='Retirement Gap'!$B$29,ABS(AK186+AL186+AM186-$B$10)&lt;1)</f>
        <v>1</v>
      </c>
      <c r="AT186" cm="1">
        <f t="array" ref="AT186">IF(AS186=0,1E+99,_xlfn.SWITCH(LEFT($E$39,1),"1",AO186,"2",AP186*1000000000+AO186,"3",-AQ186,"4",AO186+AP186*25000+AR186*0.005-AQ186*0.0001,AO186))</f>
        <v>-993340.68142796762</v>
      </c>
    </row>
    <row r="187" spans="33:46" x14ac:dyDescent="0.55000000000000004">
      <c r="AG187">
        <f t="shared" si="24"/>
        <v>186</v>
      </c>
      <c r="AH187">
        <f t="shared" si="25"/>
        <v>0.2</v>
      </c>
      <c r="AI187">
        <f t="shared" si="26"/>
        <v>0.8</v>
      </c>
      <c r="AJ187">
        <f t="shared" si="27"/>
        <v>1</v>
      </c>
      <c r="AK187">
        <f t="shared" si="28"/>
        <v>37744.921633416481</v>
      </c>
      <c r="AL187">
        <f t="shared" si="29"/>
        <v>12148.800000000001</v>
      </c>
      <c r="AM187">
        <f>MIN(MAX(0,$B$10-AL187)*AI187,'Retirement Gap'!$B$29)</f>
        <v>10850.278366583516</v>
      </c>
      <c r="AN187">
        <f>IF($E$40="B - Withdrawals + Roth conversions",AJ187*MAX(0,MIN($B$47-AL187,MIN($B$59,IRMAA!$C$16)-(AL187+$B$8*0.85+AK187*$B$46))),0)</f>
        <v>0</v>
      </c>
      <c r="AO187" cm="1">
        <f t="array" ref="AO187">_xlfn.LET(_xlpm.N,$B$49,_xlpm.R,$B$48,_xlpm.Start,$B$47,_xlpm.PlanWD,AL187,_xlpm.PlanRoth,AM187,_xlpm.PlanConv,AN187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15709.840000000002</v>
      </c>
      <c r="AP187" cm="1">
        <f t="array" ref="AP187">_xlfn.LET(_xlpm.N,$B$49,_xlpm.R,$B$48,_xlpm.Start,$B$47,_xlpm.PlanWD,AL187,_xlpm.PlanRoth,AM187,_xlpm.PlanConv,AN187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187" cm="1">
        <f t="array" ref="AQ187">_xlfn.LET(_xlpm.N,$B$49,_xlpm.R,$B$48,_xlpm.Start,$B$47,_xlpm.PlanWD,AL187,_xlpm.PlanRoth,AM187,_xlpm.PlanConv,AN187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993340.68142796762</v>
      </c>
      <c r="AR187" cm="1">
        <f t="array" ref="AR187">_xlfn.LET(_xlpm.N,$B$49,_xlpm.R,$B$48,_xlpm.Start,$B$47,_xlpm.PlanWD,AL187,_xlpm.PlanRoth,AM187,_xlpm.PlanConv,AN187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1183279.1125296501</v>
      </c>
      <c r="AS187">
        <f>--AND(AK187&lt;=SUM('Retirement Gap'!$B$24:$B$25,'Retirement Gap'!$B$27),AL187+AN187&lt;=$B$47,AM187&lt;='Retirement Gap'!$B$29,ABS(AK187+AL187+AM187-$B$10)&lt;1)</f>
        <v>1</v>
      </c>
      <c r="AT187" cm="1">
        <f t="array" ref="AT187">IF(AS187=0,1E+99,_xlfn.SWITCH(LEFT($E$39,1),"1",AO187,"2",AP187*1000000000+AO187,"3",-AQ187,"4",AO187+AP187*25000+AR187*0.005-AQ187*0.0001,AO187))</f>
        <v>-993340.68142796762</v>
      </c>
    </row>
    <row r="188" spans="33:46" x14ac:dyDescent="0.55000000000000004">
      <c r="AG188">
        <f t="shared" si="24"/>
        <v>187</v>
      </c>
      <c r="AH188">
        <f t="shared" si="25"/>
        <v>0.2</v>
      </c>
      <c r="AI188">
        <f t="shared" si="26"/>
        <v>0.9</v>
      </c>
      <c r="AJ188">
        <f t="shared" si="27"/>
        <v>0</v>
      </c>
      <c r="AK188">
        <f t="shared" si="28"/>
        <v>37744.921633416481</v>
      </c>
      <c r="AL188">
        <f t="shared" si="29"/>
        <v>12148.800000000001</v>
      </c>
      <c r="AM188">
        <f>MIN(MAX(0,$B$10-AL188)*AI188,'Retirement Gap'!$B$29)</f>
        <v>10850.278366583516</v>
      </c>
      <c r="AN188">
        <f>IF($E$40="B - Withdrawals + Roth conversions",AJ188*MAX(0,MIN($B$47-AL188,MIN($B$59,IRMAA!$C$16)-(AL188+$B$8*0.85+AK188*$B$46))),0)</f>
        <v>0</v>
      </c>
      <c r="AO188" cm="1">
        <f t="array" ref="AO188">_xlfn.LET(_xlpm.N,$B$49,_xlpm.R,$B$48,_xlpm.Start,$B$47,_xlpm.PlanWD,AL188,_xlpm.PlanRoth,AM188,_xlpm.PlanConv,AN188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15709.840000000002</v>
      </c>
      <c r="AP188" cm="1">
        <f t="array" ref="AP188">_xlfn.LET(_xlpm.N,$B$49,_xlpm.R,$B$48,_xlpm.Start,$B$47,_xlpm.PlanWD,AL188,_xlpm.PlanRoth,AM188,_xlpm.PlanConv,AN188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188" cm="1">
        <f t="array" ref="AQ188">_xlfn.LET(_xlpm.N,$B$49,_xlpm.R,$B$48,_xlpm.Start,$B$47,_xlpm.PlanWD,AL188,_xlpm.PlanRoth,AM188,_xlpm.PlanConv,AN188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993340.68142796762</v>
      </c>
      <c r="AR188" cm="1">
        <f t="array" ref="AR188">_xlfn.LET(_xlpm.N,$B$49,_xlpm.R,$B$48,_xlpm.Start,$B$47,_xlpm.PlanWD,AL188,_xlpm.PlanRoth,AM188,_xlpm.PlanConv,AN188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1183279.1125296501</v>
      </c>
      <c r="AS188">
        <f>--AND(AK188&lt;=SUM('Retirement Gap'!$B$24:$B$25,'Retirement Gap'!$B$27),AL188+AN188&lt;=$B$47,AM188&lt;='Retirement Gap'!$B$29,ABS(AK188+AL188+AM188-$B$10)&lt;1)</f>
        <v>1</v>
      </c>
      <c r="AT188" cm="1">
        <f t="array" ref="AT188">IF(AS188=0,1E+99,_xlfn.SWITCH(LEFT($E$39,1),"1",AO188,"2",AP188*1000000000+AO188,"3",-AQ188,"4",AO188+AP188*25000+AR188*0.005-AQ188*0.0001,AO188))</f>
        <v>-993340.68142796762</v>
      </c>
    </row>
    <row r="189" spans="33:46" x14ac:dyDescent="0.55000000000000004">
      <c r="AG189">
        <f t="shared" si="24"/>
        <v>188</v>
      </c>
      <c r="AH189">
        <f t="shared" si="25"/>
        <v>0.2</v>
      </c>
      <c r="AI189">
        <f t="shared" si="26"/>
        <v>0.9</v>
      </c>
      <c r="AJ189">
        <f t="shared" si="27"/>
        <v>0.2</v>
      </c>
      <c r="AK189">
        <f t="shared" si="28"/>
        <v>37744.921633416481</v>
      </c>
      <c r="AL189">
        <f t="shared" si="29"/>
        <v>12148.800000000001</v>
      </c>
      <c r="AM189">
        <f>MIN(MAX(0,$B$10-AL189)*AI189,'Retirement Gap'!$B$29)</f>
        <v>10850.278366583516</v>
      </c>
      <c r="AN189">
        <f>IF($E$40="B - Withdrawals + Roth conversions",AJ189*MAX(0,MIN($B$47-AL189,MIN($B$59,IRMAA!$C$16)-(AL189+$B$8*0.85+AK189*$B$46))),0)</f>
        <v>0</v>
      </c>
      <c r="AO189" cm="1">
        <f t="array" ref="AO189">_xlfn.LET(_xlpm.N,$B$49,_xlpm.R,$B$48,_xlpm.Start,$B$47,_xlpm.PlanWD,AL189,_xlpm.PlanRoth,AM189,_xlpm.PlanConv,AN189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15709.840000000002</v>
      </c>
      <c r="AP189" cm="1">
        <f t="array" ref="AP189">_xlfn.LET(_xlpm.N,$B$49,_xlpm.R,$B$48,_xlpm.Start,$B$47,_xlpm.PlanWD,AL189,_xlpm.PlanRoth,AM189,_xlpm.PlanConv,AN189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189" cm="1">
        <f t="array" ref="AQ189">_xlfn.LET(_xlpm.N,$B$49,_xlpm.R,$B$48,_xlpm.Start,$B$47,_xlpm.PlanWD,AL189,_xlpm.PlanRoth,AM189,_xlpm.PlanConv,AN189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993340.68142796762</v>
      </c>
      <c r="AR189" cm="1">
        <f t="array" ref="AR189">_xlfn.LET(_xlpm.N,$B$49,_xlpm.R,$B$48,_xlpm.Start,$B$47,_xlpm.PlanWD,AL189,_xlpm.PlanRoth,AM189,_xlpm.PlanConv,AN189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1183279.1125296501</v>
      </c>
      <c r="AS189">
        <f>--AND(AK189&lt;=SUM('Retirement Gap'!$B$24:$B$25,'Retirement Gap'!$B$27),AL189+AN189&lt;=$B$47,AM189&lt;='Retirement Gap'!$B$29,ABS(AK189+AL189+AM189-$B$10)&lt;1)</f>
        <v>1</v>
      </c>
      <c r="AT189" cm="1">
        <f t="array" ref="AT189">IF(AS189=0,1E+99,_xlfn.SWITCH(LEFT($E$39,1),"1",AO189,"2",AP189*1000000000+AO189,"3",-AQ189,"4",AO189+AP189*25000+AR189*0.005-AQ189*0.0001,AO189))</f>
        <v>-993340.68142796762</v>
      </c>
    </row>
    <row r="190" spans="33:46" x14ac:dyDescent="0.55000000000000004">
      <c r="AG190">
        <f t="shared" si="24"/>
        <v>189</v>
      </c>
      <c r="AH190">
        <f t="shared" si="25"/>
        <v>0.2</v>
      </c>
      <c r="AI190">
        <f t="shared" si="26"/>
        <v>0.9</v>
      </c>
      <c r="AJ190">
        <f t="shared" si="27"/>
        <v>0.4</v>
      </c>
      <c r="AK190">
        <f t="shared" si="28"/>
        <v>37744.921633416481</v>
      </c>
      <c r="AL190">
        <f t="shared" si="29"/>
        <v>12148.800000000001</v>
      </c>
      <c r="AM190">
        <f>MIN(MAX(0,$B$10-AL190)*AI190,'Retirement Gap'!$B$29)</f>
        <v>10850.278366583516</v>
      </c>
      <c r="AN190">
        <f>IF($E$40="B - Withdrawals + Roth conversions",AJ190*MAX(0,MIN($B$47-AL190,MIN($B$59,IRMAA!$C$16)-(AL190+$B$8*0.85+AK190*$B$46))),0)</f>
        <v>0</v>
      </c>
      <c r="AO190" cm="1">
        <f t="array" ref="AO190">_xlfn.LET(_xlpm.N,$B$49,_xlpm.R,$B$48,_xlpm.Start,$B$47,_xlpm.PlanWD,AL190,_xlpm.PlanRoth,AM190,_xlpm.PlanConv,AN190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15709.840000000002</v>
      </c>
      <c r="AP190" cm="1">
        <f t="array" ref="AP190">_xlfn.LET(_xlpm.N,$B$49,_xlpm.R,$B$48,_xlpm.Start,$B$47,_xlpm.PlanWD,AL190,_xlpm.PlanRoth,AM190,_xlpm.PlanConv,AN190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190" cm="1">
        <f t="array" ref="AQ190">_xlfn.LET(_xlpm.N,$B$49,_xlpm.R,$B$48,_xlpm.Start,$B$47,_xlpm.PlanWD,AL190,_xlpm.PlanRoth,AM190,_xlpm.PlanConv,AN190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993340.68142796762</v>
      </c>
      <c r="AR190" cm="1">
        <f t="array" ref="AR190">_xlfn.LET(_xlpm.N,$B$49,_xlpm.R,$B$48,_xlpm.Start,$B$47,_xlpm.PlanWD,AL190,_xlpm.PlanRoth,AM190,_xlpm.PlanConv,AN190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1183279.1125296501</v>
      </c>
      <c r="AS190">
        <f>--AND(AK190&lt;=SUM('Retirement Gap'!$B$24:$B$25,'Retirement Gap'!$B$27),AL190+AN190&lt;=$B$47,AM190&lt;='Retirement Gap'!$B$29,ABS(AK190+AL190+AM190-$B$10)&lt;1)</f>
        <v>1</v>
      </c>
      <c r="AT190" cm="1">
        <f t="array" ref="AT190">IF(AS190=0,1E+99,_xlfn.SWITCH(LEFT($E$39,1),"1",AO190,"2",AP190*1000000000+AO190,"3",-AQ190,"4",AO190+AP190*25000+AR190*0.005-AQ190*0.0001,AO190))</f>
        <v>-993340.68142796762</v>
      </c>
    </row>
    <row r="191" spans="33:46" x14ac:dyDescent="0.55000000000000004">
      <c r="AG191">
        <f t="shared" si="24"/>
        <v>190</v>
      </c>
      <c r="AH191">
        <f t="shared" si="25"/>
        <v>0.2</v>
      </c>
      <c r="AI191">
        <f t="shared" si="26"/>
        <v>0.9</v>
      </c>
      <c r="AJ191">
        <f t="shared" si="27"/>
        <v>0.6</v>
      </c>
      <c r="AK191">
        <f t="shared" si="28"/>
        <v>37744.921633416481</v>
      </c>
      <c r="AL191">
        <f t="shared" si="29"/>
        <v>12148.800000000001</v>
      </c>
      <c r="AM191">
        <f>MIN(MAX(0,$B$10-AL191)*AI191,'Retirement Gap'!$B$29)</f>
        <v>10850.278366583516</v>
      </c>
      <c r="AN191">
        <f>IF($E$40="B - Withdrawals + Roth conversions",AJ191*MAX(0,MIN($B$47-AL191,MIN($B$59,IRMAA!$C$16)-(AL191+$B$8*0.85+AK191*$B$46))),0)</f>
        <v>0</v>
      </c>
      <c r="AO191" cm="1">
        <f t="array" ref="AO191">_xlfn.LET(_xlpm.N,$B$49,_xlpm.R,$B$48,_xlpm.Start,$B$47,_xlpm.PlanWD,AL191,_xlpm.PlanRoth,AM191,_xlpm.PlanConv,AN191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15709.840000000002</v>
      </c>
      <c r="AP191" cm="1">
        <f t="array" ref="AP191">_xlfn.LET(_xlpm.N,$B$49,_xlpm.R,$B$48,_xlpm.Start,$B$47,_xlpm.PlanWD,AL191,_xlpm.PlanRoth,AM191,_xlpm.PlanConv,AN191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191" cm="1">
        <f t="array" ref="AQ191">_xlfn.LET(_xlpm.N,$B$49,_xlpm.R,$B$48,_xlpm.Start,$B$47,_xlpm.PlanWD,AL191,_xlpm.PlanRoth,AM191,_xlpm.PlanConv,AN191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993340.68142796762</v>
      </c>
      <c r="AR191" cm="1">
        <f t="array" ref="AR191">_xlfn.LET(_xlpm.N,$B$49,_xlpm.R,$B$48,_xlpm.Start,$B$47,_xlpm.PlanWD,AL191,_xlpm.PlanRoth,AM191,_xlpm.PlanConv,AN191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1183279.1125296501</v>
      </c>
      <c r="AS191">
        <f>--AND(AK191&lt;=SUM('Retirement Gap'!$B$24:$B$25,'Retirement Gap'!$B$27),AL191+AN191&lt;=$B$47,AM191&lt;='Retirement Gap'!$B$29,ABS(AK191+AL191+AM191-$B$10)&lt;1)</f>
        <v>1</v>
      </c>
      <c r="AT191" cm="1">
        <f t="array" ref="AT191">IF(AS191=0,1E+99,_xlfn.SWITCH(LEFT($E$39,1),"1",AO191,"2",AP191*1000000000+AO191,"3",-AQ191,"4",AO191+AP191*25000+AR191*0.005-AQ191*0.0001,AO191))</f>
        <v>-993340.68142796762</v>
      </c>
    </row>
    <row r="192" spans="33:46" x14ac:dyDescent="0.55000000000000004">
      <c r="AG192">
        <f t="shared" si="24"/>
        <v>191</v>
      </c>
      <c r="AH192">
        <f t="shared" si="25"/>
        <v>0.2</v>
      </c>
      <c r="AI192">
        <f t="shared" si="26"/>
        <v>0.9</v>
      </c>
      <c r="AJ192">
        <f t="shared" si="27"/>
        <v>0.8</v>
      </c>
      <c r="AK192">
        <f t="shared" si="28"/>
        <v>37744.921633416481</v>
      </c>
      <c r="AL192">
        <f t="shared" si="29"/>
        <v>12148.800000000001</v>
      </c>
      <c r="AM192">
        <f>MIN(MAX(0,$B$10-AL192)*AI192,'Retirement Gap'!$B$29)</f>
        <v>10850.278366583516</v>
      </c>
      <c r="AN192">
        <f>IF($E$40="B - Withdrawals + Roth conversions",AJ192*MAX(0,MIN($B$47-AL192,MIN($B$59,IRMAA!$C$16)-(AL192+$B$8*0.85+AK192*$B$46))),0)</f>
        <v>0</v>
      </c>
      <c r="AO192" cm="1">
        <f t="array" ref="AO192">_xlfn.LET(_xlpm.N,$B$49,_xlpm.R,$B$48,_xlpm.Start,$B$47,_xlpm.PlanWD,AL192,_xlpm.PlanRoth,AM192,_xlpm.PlanConv,AN192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15709.840000000002</v>
      </c>
      <c r="AP192" cm="1">
        <f t="array" ref="AP192">_xlfn.LET(_xlpm.N,$B$49,_xlpm.R,$B$48,_xlpm.Start,$B$47,_xlpm.PlanWD,AL192,_xlpm.PlanRoth,AM192,_xlpm.PlanConv,AN192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192" cm="1">
        <f t="array" ref="AQ192">_xlfn.LET(_xlpm.N,$B$49,_xlpm.R,$B$48,_xlpm.Start,$B$47,_xlpm.PlanWD,AL192,_xlpm.PlanRoth,AM192,_xlpm.PlanConv,AN192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993340.68142796762</v>
      </c>
      <c r="AR192" cm="1">
        <f t="array" ref="AR192">_xlfn.LET(_xlpm.N,$B$49,_xlpm.R,$B$48,_xlpm.Start,$B$47,_xlpm.PlanWD,AL192,_xlpm.PlanRoth,AM192,_xlpm.PlanConv,AN192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1183279.1125296501</v>
      </c>
      <c r="AS192">
        <f>--AND(AK192&lt;=SUM('Retirement Gap'!$B$24:$B$25,'Retirement Gap'!$B$27),AL192+AN192&lt;=$B$47,AM192&lt;='Retirement Gap'!$B$29,ABS(AK192+AL192+AM192-$B$10)&lt;1)</f>
        <v>1</v>
      </c>
      <c r="AT192" cm="1">
        <f t="array" ref="AT192">IF(AS192=0,1E+99,_xlfn.SWITCH(LEFT($E$39,1),"1",AO192,"2",AP192*1000000000+AO192,"3",-AQ192,"4",AO192+AP192*25000+AR192*0.005-AQ192*0.0001,AO192))</f>
        <v>-993340.68142796762</v>
      </c>
    </row>
    <row r="193" spans="33:46" x14ac:dyDescent="0.55000000000000004">
      <c r="AG193">
        <f t="shared" si="24"/>
        <v>192</v>
      </c>
      <c r="AH193">
        <f t="shared" si="25"/>
        <v>0.2</v>
      </c>
      <c r="AI193">
        <f t="shared" si="26"/>
        <v>0.9</v>
      </c>
      <c r="AJ193">
        <f t="shared" si="27"/>
        <v>1</v>
      </c>
      <c r="AK193">
        <f t="shared" si="28"/>
        <v>37744.921633416481</v>
      </c>
      <c r="AL193">
        <f t="shared" si="29"/>
        <v>12148.800000000001</v>
      </c>
      <c r="AM193">
        <f>MIN(MAX(0,$B$10-AL193)*AI193,'Retirement Gap'!$B$29)</f>
        <v>10850.278366583516</v>
      </c>
      <c r="AN193">
        <f>IF($E$40="B - Withdrawals + Roth conversions",AJ193*MAX(0,MIN($B$47-AL193,MIN($B$59,IRMAA!$C$16)-(AL193+$B$8*0.85+AK193*$B$46))),0)</f>
        <v>0</v>
      </c>
      <c r="AO193" cm="1">
        <f t="array" ref="AO193">_xlfn.LET(_xlpm.N,$B$49,_xlpm.R,$B$48,_xlpm.Start,$B$47,_xlpm.PlanWD,AL193,_xlpm.PlanRoth,AM193,_xlpm.PlanConv,AN193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15709.840000000002</v>
      </c>
      <c r="AP193" cm="1">
        <f t="array" ref="AP193">_xlfn.LET(_xlpm.N,$B$49,_xlpm.R,$B$48,_xlpm.Start,$B$47,_xlpm.PlanWD,AL193,_xlpm.PlanRoth,AM193,_xlpm.PlanConv,AN193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193" cm="1">
        <f t="array" ref="AQ193">_xlfn.LET(_xlpm.N,$B$49,_xlpm.R,$B$48,_xlpm.Start,$B$47,_xlpm.PlanWD,AL193,_xlpm.PlanRoth,AM193,_xlpm.PlanConv,AN193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993340.68142796762</v>
      </c>
      <c r="AR193" cm="1">
        <f t="array" ref="AR193">_xlfn.LET(_xlpm.N,$B$49,_xlpm.R,$B$48,_xlpm.Start,$B$47,_xlpm.PlanWD,AL193,_xlpm.PlanRoth,AM193,_xlpm.PlanConv,AN193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1183279.1125296501</v>
      </c>
      <c r="AS193">
        <f>--AND(AK193&lt;=SUM('Retirement Gap'!$B$24:$B$25,'Retirement Gap'!$B$27),AL193+AN193&lt;=$B$47,AM193&lt;='Retirement Gap'!$B$29,ABS(AK193+AL193+AM193-$B$10)&lt;1)</f>
        <v>1</v>
      </c>
      <c r="AT193" cm="1">
        <f t="array" ref="AT193">IF(AS193=0,1E+99,_xlfn.SWITCH(LEFT($E$39,1),"1",AO193,"2",AP193*1000000000+AO193,"3",-AQ193,"4",AO193+AP193*25000+AR193*0.005-AQ193*0.0001,AO193))</f>
        <v>-993340.68142796762</v>
      </c>
    </row>
    <row r="194" spans="33:46" x14ac:dyDescent="0.55000000000000004">
      <c r="AG194">
        <f t="shared" si="24"/>
        <v>193</v>
      </c>
      <c r="AH194">
        <f t="shared" si="25"/>
        <v>0.2</v>
      </c>
      <c r="AI194">
        <f t="shared" si="26"/>
        <v>1</v>
      </c>
      <c r="AJ194">
        <f t="shared" si="27"/>
        <v>0</v>
      </c>
      <c r="AK194">
        <f t="shared" si="28"/>
        <v>37744.921633416481</v>
      </c>
      <c r="AL194">
        <f t="shared" si="29"/>
        <v>12148.800000000001</v>
      </c>
      <c r="AM194">
        <f>MIN(MAX(0,$B$10-AL194)*AI194,'Retirement Gap'!$B$29)</f>
        <v>10850.278366583516</v>
      </c>
      <c r="AN194">
        <f>IF($E$40="B - Withdrawals + Roth conversions",AJ194*MAX(0,MIN($B$47-AL194,MIN($B$59,IRMAA!$C$16)-(AL194+$B$8*0.85+AK194*$B$46))),0)</f>
        <v>0</v>
      </c>
      <c r="AO194" cm="1">
        <f t="array" ref="AO194">_xlfn.LET(_xlpm.N,$B$49,_xlpm.R,$B$48,_xlpm.Start,$B$47,_xlpm.PlanWD,AL194,_xlpm.PlanRoth,AM194,_xlpm.PlanConv,AN194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15709.840000000002</v>
      </c>
      <c r="AP194" cm="1">
        <f t="array" ref="AP194">_xlfn.LET(_xlpm.N,$B$49,_xlpm.R,$B$48,_xlpm.Start,$B$47,_xlpm.PlanWD,AL194,_xlpm.PlanRoth,AM194,_xlpm.PlanConv,AN194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194" cm="1">
        <f t="array" ref="AQ194">_xlfn.LET(_xlpm.N,$B$49,_xlpm.R,$B$48,_xlpm.Start,$B$47,_xlpm.PlanWD,AL194,_xlpm.PlanRoth,AM194,_xlpm.PlanConv,AN194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993340.68142796762</v>
      </c>
      <c r="AR194" cm="1">
        <f t="array" ref="AR194">_xlfn.LET(_xlpm.N,$B$49,_xlpm.R,$B$48,_xlpm.Start,$B$47,_xlpm.PlanWD,AL194,_xlpm.PlanRoth,AM194,_xlpm.PlanConv,AN194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1183279.1125296501</v>
      </c>
      <c r="AS194">
        <f>--AND(AK194&lt;=SUM('Retirement Gap'!$B$24:$B$25,'Retirement Gap'!$B$27),AL194+AN194&lt;=$B$47,AM194&lt;='Retirement Gap'!$B$29,ABS(AK194+AL194+AM194-$B$10)&lt;1)</f>
        <v>1</v>
      </c>
      <c r="AT194" cm="1">
        <f t="array" ref="AT194">IF(AS194=0,1E+99,_xlfn.SWITCH(LEFT($E$39,1),"1",AO194,"2",AP194*1000000000+AO194,"3",-AQ194,"4",AO194+AP194*25000+AR194*0.005-AQ194*0.0001,AO194))</f>
        <v>-993340.68142796762</v>
      </c>
    </row>
    <row r="195" spans="33:46" x14ac:dyDescent="0.55000000000000004">
      <c r="AG195">
        <f t="shared" ref="AG195:AG258" si="30">ROW()-1</f>
        <v>194</v>
      </c>
      <c r="AH195">
        <f t="shared" ref="AH195:AH258" si="31">INT((AG195-1)/66)/10</f>
        <v>0.2</v>
      </c>
      <c r="AI195">
        <f t="shared" ref="AI195:AI258" si="32">MOD(INT((AG195-1)/6),11)/10</f>
        <v>1</v>
      </c>
      <c r="AJ195">
        <f t="shared" ref="AJ195:AJ258" si="33">MOD(AG195-1,6)/5</f>
        <v>0.2</v>
      </c>
      <c r="AK195">
        <f t="shared" ref="AK195:AK258" si="34">MAX(0,$B$10-AL195-AM195)</f>
        <v>37744.921633416481</v>
      </c>
      <c r="AL195">
        <f t="shared" ref="AL195:AL258" si="35">MIN($B$10*AH195,$B$47)</f>
        <v>12148.800000000001</v>
      </c>
      <c r="AM195">
        <f>MIN(MAX(0,$B$10-AL195)*AI195,'Retirement Gap'!$B$29)</f>
        <v>10850.278366583516</v>
      </c>
      <c r="AN195">
        <f>IF($E$40="B - Withdrawals + Roth conversions",AJ195*MAX(0,MIN($B$47-AL195,MIN($B$59,IRMAA!$C$16)-(AL195+$B$8*0.85+AK195*$B$46))),0)</f>
        <v>0</v>
      </c>
      <c r="AO195" cm="1">
        <f t="array" ref="AO195">_xlfn.LET(_xlpm.N,$B$49,_xlpm.R,$B$48,_xlpm.Start,$B$47,_xlpm.PlanWD,AL195,_xlpm.PlanRoth,AM195,_xlpm.PlanConv,AN195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15709.840000000002</v>
      </c>
      <c r="AP195" cm="1">
        <f t="array" ref="AP195">_xlfn.LET(_xlpm.N,$B$49,_xlpm.R,$B$48,_xlpm.Start,$B$47,_xlpm.PlanWD,AL195,_xlpm.PlanRoth,AM195,_xlpm.PlanConv,AN195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195" cm="1">
        <f t="array" ref="AQ195">_xlfn.LET(_xlpm.N,$B$49,_xlpm.R,$B$48,_xlpm.Start,$B$47,_xlpm.PlanWD,AL195,_xlpm.PlanRoth,AM195,_xlpm.PlanConv,AN195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993340.68142796762</v>
      </c>
      <c r="AR195" cm="1">
        <f t="array" ref="AR195">_xlfn.LET(_xlpm.N,$B$49,_xlpm.R,$B$48,_xlpm.Start,$B$47,_xlpm.PlanWD,AL195,_xlpm.PlanRoth,AM195,_xlpm.PlanConv,AN195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1183279.1125296501</v>
      </c>
      <c r="AS195">
        <f>--AND(AK195&lt;=SUM('Retirement Gap'!$B$24:$B$25,'Retirement Gap'!$B$27),AL195+AN195&lt;=$B$47,AM195&lt;='Retirement Gap'!$B$29,ABS(AK195+AL195+AM195-$B$10)&lt;1)</f>
        <v>1</v>
      </c>
      <c r="AT195" cm="1">
        <f t="array" ref="AT195">IF(AS195=0,1E+99,_xlfn.SWITCH(LEFT($E$39,1),"1",AO195,"2",AP195*1000000000+AO195,"3",-AQ195,"4",AO195+AP195*25000+AR195*0.005-AQ195*0.0001,AO195))</f>
        <v>-993340.68142796762</v>
      </c>
    </row>
    <row r="196" spans="33:46" x14ac:dyDescent="0.55000000000000004">
      <c r="AG196">
        <f t="shared" si="30"/>
        <v>195</v>
      </c>
      <c r="AH196">
        <f t="shared" si="31"/>
        <v>0.2</v>
      </c>
      <c r="AI196">
        <f t="shared" si="32"/>
        <v>1</v>
      </c>
      <c r="AJ196">
        <f t="shared" si="33"/>
        <v>0.4</v>
      </c>
      <c r="AK196">
        <f t="shared" si="34"/>
        <v>37744.921633416481</v>
      </c>
      <c r="AL196">
        <f t="shared" si="35"/>
        <v>12148.800000000001</v>
      </c>
      <c r="AM196">
        <f>MIN(MAX(0,$B$10-AL196)*AI196,'Retirement Gap'!$B$29)</f>
        <v>10850.278366583516</v>
      </c>
      <c r="AN196">
        <f>IF($E$40="B - Withdrawals + Roth conversions",AJ196*MAX(0,MIN($B$47-AL196,MIN($B$59,IRMAA!$C$16)-(AL196+$B$8*0.85+AK196*$B$46))),0)</f>
        <v>0</v>
      </c>
      <c r="AO196" cm="1">
        <f t="array" ref="AO196">_xlfn.LET(_xlpm.N,$B$49,_xlpm.R,$B$48,_xlpm.Start,$B$47,_xlpm.PlanWD,AL196,_xlpm.PlanRoth,AM196,_xlpm.PlanConv,AN196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15709.840000000002</v>
      </c>
      <c r="AP196" cm="1">
        <f t="array" ref="AP196">_xlfn.LET(_xlpm.N,$B$49,_xlpm.R,$B$48,_xlpm.Start,$B$47,_xlpm.PlanWD,AL196,_xlpm.PlanRoth,AM196,_xlpm.PlanConv,AN196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196" cm="1">
        <f t="array" ref="AQ196">_xlfn.LET(_xlpm.N,$B$49,_xlpm.R,$B$48,_xlpm.Start,$B$47,_xlpm.PlanWD,AL196,_xlpm.PlanRoth,AM196,_xlpm.PlanConv,AN196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993340.68142796762</v>
      </c>
      <c r="AR196" cm="1">
        <f t="array" ref="AR196">_xlfn.LET(_xlpm.N,$B$49,_xlpm.R,$B$48,_xlpm.Start,$B$47,_xlpm.PlanWD,AL196,_xlpm.PlanRoth,AM196,_xlpm.PlanConv,AN196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1183279.1125296501</v>
      </c>
      <c r="AS196">
        <f>--AND(AK196&lt;=SUM('Retirement Gap'!$B$24:$B$25,'Retirement Gap'!$B$27),AL196+AN196&lt;=$B$47,AM196&lt;='Retirement Gap'!$B$29,ABS(AK196+AL196+AM196-$B$10)&lt;1)</f>
        <v>1</v>
      </c>
      <c r="AT196" cm="1">
        <f t="array" ref="AT196">IF(AS196=0,1E+99,_xlfn.SWITCH(LEFT($E$39,1),"1",AO196,"2",AP196*1000000000+AO196,"3",-AQ196,"4",AO196+AP196*25000+AR196*0.005-AQ196*0.0001,AO196))</f>
        <v>-993340.68142796762</v>
      </c>
    </row>
    <row r="197" spans="33:46" x14ac:dyDescent="0.55000000000000004">
      <c r="AG197">
        <f t="shared" si="30"/>
        <v>196</v>
      </c>
      <c r="AH197">
        <f t="shared" si="31"/>
        <v>0.2</v>
      </c>
      <c r="AI197">
        <f t="shared" si="32"/>
        <v>1</v>
      </c>
      <c r="AJ197">
        <f t="shared" si="33"/>
        <v>0.6</v>
      </c>
      <c r="AK197">
        <f t="shared" si="34"/>
        <v>37744.921633416481</v>
      </c>
      <c r="AL197">
        <f t="shared" si="35"/>
        <v>12148.800000000001</v>
      </c>
      <c r="AM197">
        <f>MIN(MAX(0,$B$10-AL197)*AI197,'Retirement Gap'!$B$29)</f>
        <v>10850.278366583516</v>
      </c>
      <c r="AN197">
        <f>IF($E$40="B - Withdrawals + Roth conversions",AJ197*MAX(0,MIN($B$47-AL197,MIN($B$59,IRMAA!$C$16)-(AL197+$B$8*0.85+AK197*$B$46))),0)</f>
        <v>0</v>
      </c>
      <c r="AO197" cm="1">
        <f t="array" ref="AO197">_xlfn.LET(_xlpm.N,$B$49,_xlpm.R,$B$48,_xlpm.Start,$B$47,_xlpm.PlanWD,AL197,_xlpm.PlanRoth,AM197,_xlpm.PlanConv,AN197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15709.840000000002</v>
      </c>
      <c r="AP197" cm="1">
        <f t="array" ref="AP197">_xlfn.LET(_xlpm.N,$B$49,_xlpm.R,$B$48,_xlpm.Start,$B$47,_xlpm.PlanWD,AL197,_xlpm.PlanRoth,AM197,_xlpm.PlanConv,AN197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197" cm="1">
        <f t="array" ref="AQ197">_xlfn.LET(_xlpm.N,$B$49,_xlpm.R,$B$48,_xlpm.Start,$B$47,_xlpm.PlanWD,AL197,_xlpm.PlanRoth,AM197,_xlpm.PlanConv,AN197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993340.68142796762</v>
      </c>
      <c r="AR197" cm="1">
        <f t="array" ref="AR197">_xlfn.LET(_xlpm.N,$B$49,_xlpm.R,$B$48,_xlpm.Start,$B$47,_xlpm.PlanWD,AL197,_xlpm.PlanRoth,AM197,_xlpm.PlanConv,AN197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1183279.1125296501</v>
      </c>
      <c r="AS197">
        <f>--AND(AK197&lt;=SUM('Retirement Gap'!$B$24:$B$25,'Retirement Gap'!$B$27),AL197+AN197&lt;=$B$47,AM197&lt;='Retirement Gap'!$B$29,ABS(AK197+AL197+AM197-$B$10)&lt;1)</f>
        <v>1</v>
      </c>
      <c r="AT197" cm="1">
        <f t="array" ref="AT197">IF(AS197=0,1E+99,_xlfn.SWITCH(LEFT($E$39,1),"1",AO197,"2",AP197*1000000000+AO197,"3",-AQ197,"4",AO197+AP197*25000+AR197*0.005-AQ197*0.0001,AO197))</f>
        <v>-993340.68142796762</v>
      </c>
    </row>
    <row r="198" spans="33:46" x14ac:dyDescent="0.55000000000000004">
      <c r="AG198">
        <f t="shared" si="30"/>
        <v>197</v>
      </c>
      <c r="AH198">
        <f t="shared" si="31"/>
        <v>0.2</v>
      </c>
      <c r="AI198">
        <f t="shared" si="32"/>
        <v>1</v>
      </c>
      <c r="AJ198">
        <f t="shared" si="33"/>
        <v>0.8</v>
      </c>
      <c r="AK198">
        <f t="shared" si="34"/>
        <v>37744.921633416481</v>
      </c>
      <c r="AL198">
        <f t="shared" si="35"/>
        <v>12148.800000000001</v>
      </c>
      <c r="AM198">
        <f>MIN(MAX(0,$B$10-AL198)*AI198,'Retirement Gap'!$B$29)</f>
        <v>10850.278366583516</v>
      </c>
      <c r="AN198">
        <f>IF($E$40="B - Withdrawals + Roth conversions",AJ198*MAX(0,MIN($B$47-AL198,MIN($B$59,IRMAA!$C$16)-(AL198+$B$8*0.85+AK198*$B$46))),0)</f>
        <v>0</v>
      </c>
      <c r="AO198" cm="1">
        <f t="array" ref="AO198">_xlfn.LET(_xlpm.N,$B$49,_xlpm.R,$B$48,_xlpm.Start,$B$47,_xlpm.PlanWD,AL198,_xlpm.PlanRoth,AM198,_xlpm.PlanConv,AN198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15709.840000000002</v>
      </c>
      <c r="AP198" cm="1">
        <f t="array" ref="AP198">_xlfn.LET(_xlpm.N,$B$49,_xlpm.R,$B$48,_xlpm.Start,$B$47,_xlpm.PlanWD,AL198,_xlpm.PlanRoth,AM198,_xlpm.PlanConv,AN198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198" cm="1">
        <f t="array" ref="AQ198">_xlfn.LET(_xlpm.N,$B$49,_xlpm.R,$B$48,_xlpm.Start,$B$47,_xlpm.PlanWD,AL198,_xlpm.PlanRoth,AM198,_xlpm.PlanConv,AN198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993340.68142796762</v>
      </c>
      <c r="AR198" cm="1">
        <f t="array" ref="AR198">_xlfn.LET(_xlpm.N,$B$49,_xlpm.R,$B$48,_xlpm.Start,$B$47,_xlpm.PlanWD,AL198,_xlpm.PlanRoth,AM198,_xlpm.PlanConv,AN198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1183279.1125296501</v>
      </c>
      <c r="AS198">
        <f>--AND(AK198&lt;=SUM('Retirement Gap'!$B$24:$B$25,'Retirement Gap'!$B$27),AL198+AN198&lt;=$B$47,AM198&lt;='Retirement Gap'!$B$29,ABS(AK198+AL198+AM198-$B$10)&lt;1)</f>
        <v>1</v>
      </c>
      <c r="AT198" cm="1">
        <f t="array" ref="AT198">IF(AS198=0,1E+99,_xlfn.SWITCH(LEFT($E$39,1),"1",AO198,"2",AP198*1000000000+AO198,"3",-AQ198,"4",AO198+AP198*25000+AR198*0.005-AQ198*0.0001,AO198))</f>
        <v>-993340.68142796762</v>
      </c>
    </row>
    <row r="199" spans="33:46" x14ac:dyDescent="0.55000000000000004">
      <c r="AG199">
        <f t="shared" si="30"/>
        <v>198</v>
      </c>
      <c r="AH199">
        <f t="shared" si="31"/>
        <v>0.2</v>
      </c>
      <c r="AI199">
        <f t="shared" si="32"/>
        <v>1</v>
      </c>
      <c r="AJ199">
        <f t="shared" si="33"/>
        <v>1</v>
      </c>
      <c r="AK199">
        <f t="shared" si="34"/>
        <v>37744.921633416481</v>
      </c>
      <c r="AL199">
        <f t="shared" si="35"/>
        <v>12148.800000000001</v>
      </c>
      <c r="AM199">
        <f>MIN(MAX(0,$B$10-AL199)*AI199,'Retirement Gap'!$B$29)</f>
        <v>10850.278366583516</v>
      </c>
      <c r="AN199">
        <f>IF($E$40="B - Withdrawals + Roth conversions",AJ199*MAX(0,MIN($B$47-AL199,MIN($B$59,IRMAA!$C$16)-(AL199+$B$8*0.85+AK199*$B$46))),0)</f>
        <v>0</v>
      </c>
      <c r="AO199" cm="1">
        <f t="array" ref="AO199">_xlfn.LET(_xlpm.N,$B$49,_xlpm.R,$B$48,_xlpm.Start,$B$47,_xlpm.PlanWD,AL199,_xlpm.PlanRoth,AM199,_xlpm.PlanConv,AN199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15709.840000000002</v>
      </c>
      <c r="AP199" cm="1">
        <f t="array" ref="AP199">_xlfn.LET(_xlpm.N,$B$49,_xlpm.R,$B$48,_xlpm.Start,$B$47,_xlpm.PlanWD,AL199,_xlpm.PlanRoth,AM199,_xlpm.PlanConv,AN199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199" cm="1">
        <f t="array" ref="AQ199">_xlfn.LET(_xlpm.N,$B$49,_xlpm.R,$B$48,_xlpm.Start,$B$47,_xlpm.PlanWD,AL199,_xlpm.PlanRoth,AM199,_xlpm.PlanConv,AN199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993340.68142796762</v>
      </c>
      <c r="AR199" cm="1">
        <f t="array" ref="AR199">_xlfn.LET(_xlpm.N,$B$49,_xlpm.R,$B$48,_xlpm.Start,$B$47,_xlpm.PlanWD,AL199,_xlpm.PlanRoth,AM199,_xlpm.PlanConv,AN199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1183279.1125296501</v>
      </c>
      <c r="AS199">
        <f>--AND(AK199&lt;=SUM('Retirement Gap'!$B$24:$B$25,'Retirement Gap'!$B$27),AL199+AN199&lt;=$B$47,AM199&lt;='Retirement Gap'!$B$29,ABS(AK199+AL199+AM199-$B$10)&lt;1)</f>
        <v>1</v>
      </c>
      <c r="AT199" cm="1">
        <f t="array" ref="AT199">IF(AS199=0,1E+99,_xlfn.SWITCH(LEFT($E$39,1),"1",AO199,"2",AP199*1000000000+AO199,"3",-AQ199,"4",AO199+AP199*25000+AR199*0.005-AQ199*0.0001,AO199))</f>
        <v>-993340.68142796762</v>
      </c>
    </row>
    <row r="200" spans="33:46" x14ac:dyDescent="0.55000000000000004">
      <c r="AG200">
        <f t="shared" si="30"/>
        <v>199</v>
      </c>
      <c r="AH200">
        <f t="shared" si="31"/>
        <v>0.3</v>
      </c>
      <c r="AI200">
        <f t="shared" si="32"/>
        <v>0</v>
      </c>
      <c r="AJ200">
        <f t="shared" si="33"/>
        <v>0</v>
      </c>
      <c r="AK200">
        <f t="shared" si="34"/>
        <v>42520.800000000003</v>
      </c>
      <c r="AL200">
        <f t="shared" si="35"/>
        <v>18223.2</v>
      </c>
      <c r="AM200">
        <f>MIN(MAX(0,$B$10-AL200)*AI200,'Retirement Gap'!$B$29)</f>
        <v>0</v>
      </c>
      <c r="AN200">
        <f>IF($E$40="B - Withdrawals + Roth conversions",AJ200*MAX(0,MIN($B$47-AL200,MIN($B$59,IRMAA!$C$16)-(AL200+$B$8*0.85+AK200*$B$46))),0)</f>
        <v>0</v>
      </c>
      <c r="AO200" cm="1">
        <f t="array" ref="AO200">_xlfn.LET(_xlpm.N,$B$49,_xlpm.R,$B$48,_xlpm.Start,$B$47,_xlpm.PlanWD,AL200,_xlpm.PlanRoth,AM200,_xlpm.PlanConv,AN200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19354.48</v>
      </c>
      <c r="AP200" cm="1">
        <f t="array" ref="AP200">_xlfn.LET(_xlpm.N,$B$49,_xlpm.R,$B$48,_xlpm.Start,$B$47,_xlpm.PlanWD,AL200,_xlpm.PlanRoth,AM200,_xlpm.PlanConv,AN200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200" cm="1">
        <f t="array" ref="AQ200">_xlfn.LET(_xlpm.N,$B$49,_xlpm.R,$B$48,_xlpm.Start,$B$47,_xlpm.PlanWD,AL200,_xlpm.PlanRoth,AM200,_xlpm.PlanConv,AN200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989231.64653082099</v>
      </c>
      <c r="AR200" cm="1">
        <f t="array" ref="AR200">_xlfn.LET(_xlpm.N,$B$49,_xlpm.R,$B$48,_xlpm.Start,$B$47,_xlpm.PlanWD,AL200,_xlpm.PlanRoth,AM200,_xlpm.PlanConv,AN200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1149037.1550534267</v>
      </c>
      <c r="AS200">
        <f>--AND(AK200&lt;=SUM('Retirement Gap'!$B$24:$B$25,'Retirement Gap'!$B$27),AL200+AN200&lt;=$B$47,AM200&lt;='Retirement Gap'!$B$29,ABS(AK200+AL200+AM200-$B$10)&lt;1)</f>
        <v>1</v>
      </c>
      <c r="AT200" cm="1">
        <f t="array" ref="AT200">IF(AS200=0,1E+99,_xlfn.SWITCH(LEFT($E$39,1),"1",AO200,"2",AP200*1000000000+AO200,"3",-AQ200,"4",AO200+AP200*25000+AR200*0.005-AQ200*0.0001,AO200))</f>
        <v>-989231.64653082099</v>
      </c>
    </row>
    <row r="201" spans="33:46" x14ac:dyDescent="0.55000000000000004">
      <c r="AG201">
        <f t="shared" si="30"/>
        <v>200</v>
      </c>
      <c r="AH201">
        <f t="shared" si="31"/>
        <v>0.3</v>
      </c>
      <c r="AI201">
        <f t="shared" si="32"/>
        <v>0</v>
      </c>
      <c r="AJ201">
        <f t="shared" si="33"/>
        <v>0.2</v>
      </c>
      <c r="AK201">
        <f t="shared" si="34"/>
        <v>42520.800000000003</v>
      </c>
      <c r="AL201">
        <f t="shared" si="35"/>
        <v>18223.2</v>
      </c>
      <c r="AM201">
        <f>MIN(MAX(0,$B$10-AL201)*AI201,'Retirement Gap'!$B$29)</f>
        <v>0</v>
      </c>
      <c r="AN201">
        <f>IF($E$40="B - Withdrawals + Roth conversions",AJ201*MAX(0,MIN($B$47-AL201,MIN($B$59,IRMAA!$C$16)-(AL201+$B$8*0.85+AK201*$B$46))),0)</f>
        <v>0</v>
      </c>
      <c r="AO201" cm="1">
        <f t="array" ref="AO201">_xlfn.LET(_xlpm.N,$B$49,_xlpm.R,$B$48,_xlpm.Start,$B$47,_xlpm.PlanWD,AL201,_xlpm.PlanRoth,AM201,_xlpm.PlanConv,AN201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19354.48</v>
      </c>
      <c r="AP201" cm="1">
        <f t="array" ref="AP201">_xlfn.LET(_xlpm.N,$B$49,_xlpm.R,$B$48,_xlpm.Start,$B$47,_xlpm.PlanWD,AL201,_xlpm.PlanRoth,AM201,_xlpm.PlanConv,AN201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201" cm="1">
        <f t="array" ref="AQ201">_xlfn.LET(_xlpm.N,$B$49,_xlpm.R,$B$48,_xlpm.Start,$B$47,_xlpm.PlanWD,AL201,_xlpm.PlanRoth,AM201,_xlpm.PlanConv,AN201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989231.64653082099</v>
      </c>
      <c r="AR201" cm="1">
        <f t="array" ref="AR201">_xlfn.LET(_xlpm.N,$B$49,_xlpm.R,$B$48,_xlpm.Start,$B$47,_xlpm.PlanWD,AL201,_xlpm.PlanRoth,AM201,_xlpm.PlanConv,AN201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1149037.1550534267</v>
      </c>
      <c r="AS201">
        <f>--AND(AK201&lt;=SUM('Retirement Gap'!$B$24:$B$25,'Retirement Gap'!$B$27),AL201+AN201&lt;=$B$47,AM201&lt;='Retirement Gap'!$B$29,ABS(AK201+AL201+AM201-$B$10)&lt;1)</f>
        <v>1</v>
      </c>
      <c r="AT201" cm="1">
        <f t="array" ref="AT201">IF(AS201=0,1E+99,_xlfn.SWITCH(LEFT($E$39,1),"1",AO201,"2",AP201*1000000000+AO201,"3",-AQ201,"4",AO201+AP201*25000+AR201*0.005-AQ201*0.0001,AO201))</f>
        <v>-989231.64653082099</v>
      </c>
    </row>
    <row r="202" spans="33:46" x14ac:dyDescent="0.55000000000000004">
      <c r="AG202">
        <f t="shared" si="30"/>
        <v>201</v>
      </c>
      <c r="AH202">
        <f t="shared" si="31"/>
        <v>0.3</v>
      </c>
      <c r="AI202">
        <f t="shared" si="32"/>
        <v>0</v>
      </c>
      <c r="AJ202">
        <f t="shared" si="33"/>
        <v>0.4</v>
      </c>
      <c r="AK202">
        <f t="shared" si="34"/>
        <v>42520.800000000003</v>
      </c>
      <c r="AL202">
        <f t="shared" si="35"/>
        <v>18223.2</v>
      </c>
      <c r="AM202">
        <f>MIN(MAX(0,$B$10-AL202)*AI202,'Retirement Gap'!$B$29)</f>
        <v>0</v>
      </c>
      <c r="AN202">
        <f>IF($E$40="B - Withdrawals + Roth conversions",AJ202*MAX(0,MIN($B$47-AL202,MIN($B$59,IRMAA!$C$16)-(AL202+$B$8*0.85+AK202*$B$46))),0)</f>
        <v>0</v>
      </c>
      <c r="AO202" cm="1">
        <f t="array" ref="AO202">_xlfn.LET(_xlpm.N,$B$49,_xlpm.R,$B$48,_xlpm.Start,$B$47,_xlpm.PlanWD,AL202,_xlpm.PlanRoth,AM202,_xlpm.PlanConv,AN202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19354.48</v>
      </c>
      <c r="AP202" cm="1">
        <f t="array" ref="AP202">_xlfn.LET(_xlpm.N,$B$49,_xlpm.R,$B$48,_xlpm.Start,$B$47,_xlpm.PlanWD,AL202,_xlpm.PlanRoth,AM202,_xlpm.PlanConv,AN202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202" cm="1">
        <f t="array" ref="AQ202">_xlfn.LET(_xlpm.N,$B$49,_xlpm.R,$B$48,_xlpm.Start,$B$47,_xlpm.PlanWD,AL202,_xlpm.PlanRoth,AM202,_xlpm.PlanConv,AN202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989231.64653082099</v>
      </c>
      <c r="AR202" cm="1">
        <f t="array" ref="AR202">_xlfn.LET(_xlpm.N,$B$49,_xlpm.R,$B$48,_xlpm.Start,$B$47,_xlpm.PlanWD,AL202,_xlpm.PlanRoth,AM202,_xlpm.PlanConv,AN202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1149037.1550534267</v>
      </c>
      <c r="AS202">
        <f>--AND(AK202&lt;=SUM('Retirement Gap'!$B$24:$B$25,'Retirement Gap'!$B$27),AL202+AN202&lt;=$B$47,AM202&lt;='Retirement Gap'!$B$29,ABS(AK202+AL202+AM202-$B$10)&lt;1)</f>
        <v>1</v>
      </c>
      <c r="AT202" cm="1">
        <f t="array" ref="AT202">IF(AS202=0,1E+99,_xlfn.SWITCH(LEFT($E$39,1),"1",AO202,"2",AP202*1000000000+AO202,"3",-AQ202,"4",AO202+AP202*25000+AR202*0.005-AQ202*0.0001,AO202))</f>
        <v>-989231.64653082099</v>
      </c>
    </row>
    <row r="203" spans="33:46" x14ac:dyDescent="0.55000000000000004">
      <c r="AG203">
        <f t="shared" si="30"/>
        <v>202</v>
      </c>
      <c r="AH203">
        <f t="shared" si="31"/>
        <v>0.3</v>
      </c>
      <c r="AI203">
        <f t="shared" si="32"/>
        <v>0</v>
      </c>
      <c r="AJ203">
        <f t="shared" si="33"/>
        <v>0.6</v>
      </c>
      <c r="AK203">
        <f t="shared" si="34"/>
        <v>42520.800000000003</v>
      </c>
      <c r="AL203">
        <f t="shared" si="35"/>
        <v>18223.2</v>
      </c>
      <c r="AM203">
        <f>MIN(MAX(0,$B$10-AL203)*AI203,'Retirement Gap'!$B$29)</f>
        <v>0</v>
      </c>
      <c r="AN203">
        <f>IF($E$40="B - Withdrawals + Roth conversions",AJ203*MAX(0,MIN($B$47-AL203,MIN($B$59,IRMAA!$C$16)-(AL203+$B$8*0.85+AK203*$B$46))),0)</f>
        <v>0</v>
      </c>
      <c r="AO203" cm="1">
        <f t="array" ref="AO203">_xlfn.LET(_xlpm.N,$B$49,_xlpm.R,$B$48,_xlpm.Start,$B$47,_xlpm.PlanWD,AL203,_xlpm.PlanRoth,AM203,_xlpm.PlanConv,AN203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19354.48</v>
      </c>
      <c r="AP203" cm="1">
        <f t="array" ref="AP203">_xlfn.LET(_xlpm.N,$B$49,_xlpm.R,$B$48,_xlpm.Start,$B$47,_xlpm.PlanWD,AL203,_xlpm.PlanRoth,AM203,_xlpm.PlanConv,AN203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203" cm="1">
        <f t="array" ref="AQ203">_xlfn.LET(_xlpm.N,$B$49,_xlpm.R,$B$48,_xlpm.Start,$B$47,_xlpm.PlanWD,AL203,_xlpm.PlanRoth,AM203,_xlpm.PlanConv,AN203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989231.64653082099</v>
      </c>
      <c r="AR203" cm="1">
        <f t="array" ref="AR203">_xlfn.LET(_xlpm.N,$B$49,_xlpm.R,$B$48,_xlpm.Start,$B$47,_xlpm.PlanWD,AL203,_xlpm.PlanRoth,AM203,_xlpm.PlanConv,AN203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1149037.1550534267</v>
      </c>
      <c r="AS203">
        <f>--AND(AK203&lt;=SUM('Retirement Gap'!$B$24:$B$25,'Retirement Gap'!$B$27),AL203+AN203&lt;=$B$47,AM203&lt;='Retirement Gap'!$B$29,ABS(AK203+AL203+AM203-$B$10)&lt;1)</f>
        <v>1</v>
      </c>
      <c r="AT203" cm="1">
        <f t="array" ref="AT203">IF(AS203=0,1E+99,_xlfn.SWITCH(LEFT($E$39,1),"1",AO203,"2",AP203*1000000000+AO203,"3",-AQ203,"4",AO203+AP203*25000+AR203*0.005-AQ203*0.0001,AO203))</f>
        <v>-989231.64653082099</v>
      </c>
    </row>
    <row r="204" spans="33:46" x14ac:dyDescent="0.55000000000000004">
      <c r="AG204">
        <f t="shared" si="30"/>
        <v>203</v>
      </c>
      <c r="AH204">
        <f t="shared" si="31"/>
        <v>0.3</v>
      </c>
      <c r="AI204">
        <f t="shared" si="32"/>
        <v>0</v>
      </c>
      <c r="AJ204">
        <f t="shared" si="33"/>
        <v>0.8</v>
      </c>
      <c r="AK204">
        <f t="shared" si="34"/>
        <v>42520.800000000003</v>
      </c>
      <c r="AL204">
        <f t="shared" si="35"/>
        <v>18223.2</v>
      </c>
      <c r="AM204">
        <f>MIN(MAX(0,$B$10-AL204)*AI204,'Retirement Gap'!$B$29)</f>
        <v>0</v>
      </c>
      <c r="AN204">
        <f>IF($E$40="B - Withdrawals + Roth conversions",AJ204*MAX(0,MIN($B$47-AL204,MIN($B$59,IRMAA!$C$16)-(AL204+$B$8*0.85+AK204*$B$46))),0)</f>
        <v>0</v>
      </c>
      <c r="AO204" cm="1">
        <f t="array" ref="AO204">_xlfn.LET(_xlpm.N,$B$49,_xlpm.R,$B$48,_xlpm.Start,$B$47,_xlpm.PlanWD,AL204,_xlpm.PlanRoth,AM204,_xlpm.PlanConv,AN204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19354.48</v>
      </c>
      <c r="AP204" cm="1">
        <f t="array" ref="AP204">_xlfn.LET(_xlpm.N,$B$49,_xlpm.R,$B$48,_xlpm.Start,$B$47,_xlpm.PlanWD,AL204,_xlpm.PlanRoth,AM204,_xlpm.PlanConv,AN204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204" cm="1">
        <f t="array" ref="AQ204">_xlfn.LET(_xlpm.N,$B$49,_xlpm.R,$B$48,_xlpm.Start,$B$47,_xlpm.PlanWD,AL204,_xlpm.PlanRoth,AM204,_xlpm.PlanConv,AN204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989231.64653082099</v>
      </c>
      <c r="AR204" cm="1">
        <f t="array" ref="AR204">_xlfn.LET(_xlpm.N,$B$49,_xlpm.R,$B$48,_xlpm.Start,$B$47,_xlpm.PlanWD,AL204,_xlpm.PlanRoth,AM204,_xlpm.PlanConv,AN204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1149037.1550534267</v>
      </c>
      <c r="AS204">
        <f>--AND(AK204&lt;=SUM('Retirement Gap'!$B$24:$B$25,'Retirement Gap'!$B$27),AL204+AN204&lt;=$B$47,AM204&lt;='Retirement Gap'!$B$29,ABS(AK204+AL204+AM204-$B$10)&lt;1)</f>
        <v>1</v>
      </c>
      <c r="AT204" cm="1">
        <f t="array" ref="AT204">IF(AS204=0,1E+99,_xlfn.SWITCH(LEFT($E$39,1),"1",AO204,"2",AP204*1000000000+AO204,"3",-AQ204,"4",AO204+AP204*25000+AR204*0.005-AQ204*0.0001,AO204))</f>
        <v>-989231.64653082099</v>
      </c>
    </row>
    <row r="205" spans="33:46" x14ac:dyDescent="0.55000000000000004">
      <c r="AG205">
        <f t="shared" si="30"/>
        <v>204</v>
      </c>
      <c r="AH205">
        <f t="shared" si="31"/>
        <v>0.3</v>
      </c>
      <c r="AI205">
        <f t="shared" si="32"/>
        <v>0</v>
      </c>
      <c r="AJ205">
        <f t="shared" si="33"/>
        <v>1</v>
      </c>
      <c r="AK205">
        <f t="shared" si="34"/>
        <v>42520.800000000003</v>
      </c>
      <c r="AL205">
        <f t="shared" si="35"/>
        <v>18223.2</v>
      </c>
      <c r="AM205">
        <f>MIN(MAX(0,$B$10-AL205)*AI205,'Retirement Gap'!$B$29)</f>
        <v>0</v>
      </c>
      <c r="AN205">
        <f>IF($E$40="B - Withdrawals + Roth conversions",AJ205*MAX(0,MIN($B$47-AL205,MIN($B$59,IRMAA!$C$16)-(AL205+$B$8*0.85+AK205*$B$46))),0)</f>
        <v>0</v>
      </c>
      <c r="AO205" cm="1">
        <f t="array" ref="AO205">_xlfn.LET(_xlpm.N,$B$49,_xlpm.R,$B$48,_xlpm.Start,$B$47,_xlpm.PlanWD,AL205,_xlpm.PlanRoth,AM205,_xlpm.PlanConv,AN205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19354.48</v>
      </c>
      <c r="AP205" cm="1">
        <f t="array" ref="AP205">_xlfn.LET(_xlpm.N,$B$49,_xlpm.R,$B$48,_xlpm.Start,$B$47,_xlpm.PlanWD,AL205,_xlpm.PlanRoth,AM205,_xlpm.PlanConv,AN205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205" cm="1">
        <f t="array" ref="AQ205">_xlfn.LET(_xlpm.N,$B$49,_xlpm.R,$B$48,_xlpm.Start,$B$47,_xlpm.PlanWD,AL205,_xlpm.PlanRoth,AM205,_xlpm.PlanConv,AN205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989231.64653082099</v>
      </c>
      <c r="AR205" cm="1">
        <f t="array" ref="AR205">_xlfn.LET(_xlpm.N,$B$49,_xlpm.R,$B$48,_xlpm.Start,$B$47,_xlpm.PlanWD,AL205,_xlpm.PlanRoth,AM205,_xlpm.PlanConv,AN205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1149037.1550534267</v>
      </c>
      <c r="AS205">
        <f>--AND(AK205&lt;=SUM('Retirement Gap'!$B$24:$B$25,'Retirement Gap'!$B$27),AL205+AN205&lt;=$B$47,AM205&lt;='Retirement Gap'!$B$29,ABS(AK205+AL205+AM205-$B$10)&lt;1)</f>
        <v>1</v>
      </c>
      <c r="AT205" cm="1">
        <f t="array" ref="AT205">IF(AS205=0,1E+99,_xlfn.SWITCH(LEFT($E$39,1),"1",AO205,"2",AP205*1000000000+AO205,"3",-AQ205,"4",AO205+AP205*25000+AR205*0.005-AQ205*0.0001,AO205))</f>
        <v>-989231.64653082099</v>
      </c>
    </row>
    <row r="206" spans="33:46" x14ac:dyDescent="0.55000000000000004">
      <c r="AG206">
        <f t="shared" si="30"/>
        <v>205</v>
      </c>
      <c r="AH206">
        <f t="shared" si="31"/>
        <v>0.3</v>
      </c>
      <c r="AI206">
        <f t="shared" si="32"/>
        <v>0.1</v>
      </c>
      <c r="AJ206">
        <f t="shared" si="33"/>
        <v>0</v>
      </c>
      <c r="AK206">
        <f t="shared" si="34"/>
        <v>38268.720000000001</v>
      </c>
      <c r="AL206">
        <f t="shared" si="35"/>
        <v>18223.2</v>
      </c>
      <c r="AM206">
        <f>MIN(MAX(0,$B$10-AL206)*AI206,'Retirement Gap'!$B$29)</f>
        <v>4252.0800000000008</v>
      </c>
      <c r="AN206">
        <f>IF($E$40="B - Withdrawals + Roth conversions",AJ206*MAX(0,MIN($B$47-AL206,MIN($B$59,IRMAA!$C$16)-(AL206+$B$8*0.85+AK206*$B$46))),0)</f>
        <v>0</v>
      </c>
      <c r="AO206" cm="1">
        <f t="array" ref="AO206">_xlfn.LET(_xlpm.N,$B$49,_xlpm.R,$B$48,_xlpm.Start,$B$47,_xlpm.PlanWD,AL206,_xlpm.PlanRoth,AM206,_xlpm.PlanConv,AN206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19354.48</v>
      </c>
      <c r="AP206" cm="1">
        <f t="array" ref="AP206">_xlfn.LET(_xlpm.N,$B$49,_xlpm.R,$B$48,_xlpm.Start,$B$47,_xlpm.PlanWD,AL206,_xlpm.PlanRoth,AM206,_xlpm.PlanConv,AN206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206" cm="1">
        <f t="array" ref="AQ206">_xlfn.LET(_xlpm.N,$B$49,_xlpm.R,$B$48,_xlpm.Start,$B$47,_xlpm.PlanWD,AL206,_xlpm.PlanRoth,AM206,_xlpm.PlanConv,AN206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989231.64653082099</v>
      </c>
      <c r="AR206" cm="1">
        <f t="array" ref="AR206">_xlfn.LET(_xlpm.N,$B$49,_xlpm.R,$B$48,_xlpm.Start,$B$47,_xlpm.PlanWD,AL206,_xlpm.PlanRoth,AM206,_xlpm.PlanConv,AN206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1149037.1550534267</v>
      </c>
      <c r="AS206">
        <f>--AND(AK206&lt;=SUM('Retirement Gap'!$B$24:$B$25,'Retirement Gap'!$B$27),AL206+AN206&lt;=$B$47,AM206&lt;='Retirement Gap'!$B$29,ABS(AK206+AL206+AM206-$B$10)&lt;1)</f>
        <v>1</v>
      </c>
      <c r="AT206" cm="1">
        <f t="array" ref="AT206">IF(AS206=0,1E+99,_xlfn.SWITCH(LEFT($E$39,1),"1",AO206,"2",AP206*1000000000+AO206,"3",-AQ206,"4",AO206+AP206*25000+AR206*0.005-AQ206*0.0001,AO206))</f>
        <v>-989231.64653082099</v>
      </c>
    </row>
    <row r="207" spans="33:46" x14ac:dyDescent="0.55000000000000004">
      <c r="AG207">
        <f t="shared" si="30"/>
        <v>206</v>
      </c>
      <c r="AH207">
        <f t="shared" si="31"/>
        <v>0.3</v>
      </c>
      <c r="AI207">
        <f t="shared" si="32"/>
        <v>0.1</v>
      </c>
      <c r="AJ207">
        <f t="shared" si="33"/>
        <v>0.2</v>
      </c>
      <c r="AK207">
        <f t="shared" si="34"/>
        <v>38268.720000000001</v>
      </c>
      <c r="AL207">
        <f t="shared" si="35"/>
        <v>18223.2</v>
      </c>
      <c r="AM207">
        <f>MIN(MAX(0,$B$10-AL207)*AI207,'Retirement Gap'!$B$29)</f>
        <v>4252.0800000000008</v>
      </c>
      <c r="AN207">
        <f>IF($E$40="B - Withdrawals + Roth conversions",AJ207*MAX(0,MIN($B$47-AL207,MIN($B$59,IRMAA!$C$16)-(AL207+$B$8*0.85+AK207*$B$46))),0)</f>
        <v>0</v>
      </c>
      <c r="AO207" cm="1">
        <f t="array" ref="AO207">_xlfn.LET(_xlpm.N,$B$49,_xlpm.R,$B$48,_xlpm.Start,$B$47,_xlpm.PlanWD,AL207,_xlpm.PlanRoth,AM207,_xlpm.PlanConv,AN207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19354.48</v>
      </c>
      <c r="AP207" cm="1">
        <f t="array" ref="AP207">_xlfn.LET(_xlpm.N,$B$49,_xlpm.R,$B$48,_xlpm.Start,$B$47,_xlpm.PlanWD,AL207,_xlpm.PlanRoth,AM207,_xlpm.PlanConv,AN207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207" cm="1">
        <f t="array" ref="AQ207">_xlfn.LET(_xlpm.N,$B$49,_xlpm.R,$B$48,_xlpm.Start,$B$47,_xlpm.PlanWD,AL207,_xlpm.PlanRoth,AM207,_xlpm.PlanConv,AN207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989231.64653082099</v>
      </c>
      <c r="AR207" cm="1">
        <f t="array" ref="AR207">_xlfn.LET(_xlpm.N,$B$49,_xlpm.R,$B$48,_xlpm.Start,$B$47,_xlpm.PlanWD,AL207,_xlpm.PlanRoth,AM207,_xlpm.PlanConv,AN207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1149037.1550534267</v>
      </c>
      <c r="AS207">
        <f>--AND(AK207&lt;=SUM('Retirement Gap'!$B$24:$B$25,'Retirement Gap'!$B$27),AL207+AN207&lt;=$B$47,AM207&lt;='Retirement Gap'!$B$29,ABS(AK207+AL207+AM207-$B$10)&lt;1)</f>
        <v>1</v>
      </c>
      <c r="AT207" cm="1">
        <f t="array" ref="AT207">IF(AS207=0,1E+99,_xlfn.SWITCH(LEFT($E$39,1),"1",AO207,"2",AP207*1000000000+AO207,"3",-AQ207,"4",AO207+AP207*25000+AR207*0.005-AQ207*0.0001,AO207))</f>
        <v>-989231.64653082099</v>
      </c>
    </row>
    <row r="208" spans="33:46" x14ac:dyDescent="0.55000000000000004">
      <c r="AG208">
        <f t="shared" si="30"/>
        <v>207</v>
      </c>
      <c r="AH208">
        <f t="shared" si="31"/>
        <v>0.3</v>
      </c>
      <c r="AI208">
        <f t="shared" si="32"/>
        <v>0.1</v>
      </c>
      <c r="AJ208">
        <f t="shared" si="33"/>
        <v>0.4</v>
      </c>
      <c r="AK208">
        <f t="shared" si="34"/>
        <v>38268.720000000001</v>
      </c>
      <c r="AL208">
        <f t="shared" si="35"/>
        <v>18223.2</v>
      </c>
      <c r="AM208">
        <f>MIN(MAX(0,$B$10-AL208)*AI208,'Retirement Gap'!$B$29)</f>
        <v>4252.0800000000008</v>
      </c>
      <c r="AN208">
        <f>IF($E$40="B - Withdrawals + Roth conversions",AJ208*MAX(0,MIN($B$47-AL208,MIN($B$59,IRMAA!$C$16)-(AL208+$B$8*0.85+AK208*$B$46))),0)</f>
        <v>0</v>
      </c>
      <c r="AO208" cm="1">
        <f t="array" ref="AO208">_xlfn.LET(_xlpm.N,$B$49,_xlpm.R,$B$48,_xlpm.Start,$B$47,_xlpm.PlanWD,AL208,_xlpm.PlanRoth,AM208,_xlpm.PlanConv,AN208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19354.48</v>
      </c>
      <c r="AP208" cm="1">
        <f t="array" ref="AP208">_xlfn.LET(_xlpm.N,$B$49,_xlpm.R,$B$48,_xlpm.Start,$B$47,_xlpm.PlanWD,AL208,_xlpm.PlanRoth,AM208,_xlpm.PlanConv,AN208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208" cm="1">
        <f t="array" ref="AQ208">_xlfn.LET(_xlpm.N,$B$49,_xlpm.R,$B$48,_xlpm.Start,$B$47,_xlpm.PlanWD,AL208,_xlpm.PlanRoth,AM208,_xlpm.PlanConv,AN208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989231.64653082099</v>
      </c>
      <c r="AR208" cm="1">
        <f t="array" ref="AR208">_xlfn.LET(_xlpm.N,$B$49,_xlpm.R,$B$48,_xlpm.Start,$B$47,_xlpm.PlanWD,AL208,_xlpm.PlanRoth,AM208,_xlpm.PlanConv,AN208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1149037.1550534267</v>
      </c>
      <c r="AS208">
        <f>--AND(AK208&lt;=SUM('Retirement Gap'!$B$24:$B$25,'Retirement Gap'!$B$27),AL208+AN208&lt;=$B$47,AM208&lt;='Retirement Gap'!$B$29,ABS(AK208+AL208+AM208-$B$10)&lt;1)</f>
        <v>1</v>
      </c>
      <c r="AT208" cm="1">
        <f t="array" ref="AT208">IF(AS208=0,1E+99,_xlfn.SWITCH(LEFT($E$39,1),"1",AO208,"2",AP208*1000000000+AO208,"3",-AQ208,"4",AO208+AP208*25000+AR208*0.005-AQ208*0.0001,AO208))</f>
        <v>-989231.64653082099</v>
      </c>
    </row>
    <row r="209" spans="33:46" x14ac:dyDescent="0.55000000000000004">
      <c r="AG209">
        <f t="shared" si="30"/>
        <v>208</v>
      </c>
      <c r="AH209">
        <f t="shared" si="31"/>
        <v>0.3</v>
      </c>
      <c r="AI209">
        <f t="shared" si="32"/>
        <v>0.1</v>
      </c>
      <c r="AJ209">
        <f t="shared" si="33"/>
        <v>0.6</v>
      </c>
      <c r="AK209">
        <f t="shared" si="34"/>
        <v>38268.720000000001</v>
      </c>
      <c r="AL209">
        <f t="shared" si="35"/>
        <v>18223.2</v>
      </c>
      <c r="AM209">
        <f>MIN(MAX(0,$B$10-AL209)*AI209,'Retirement Gap'!$B$29)</f>
        <v>4252.0800000000008</v>
      </c>
      <c r="AN209">
        <f>IF($E$40="B - Withdrawals + Roth conversions",AJ209*MAX(0,MIN($B$47-AL209,MIN($B$59,IRMAA!$C$16)-(AL209+$B$8*0.85+AK209*$B$46))),0)</f>
        <v>0</v>
      </c>
      <c r="AO209" cm="1">
        <f t="array" ref="AO209">_xlfn.LET(_xlpm.N,$B$49,_xlpm.R,$B$48,_xlpm.Start,$B$47,_xlpm.PlanWD,AL209,_xlpm.PlanRoth,AM209,_xlpm.PlanConv,AN209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19354.48</v>
      </c>
      <c r="AP209" cm="1">
        <f t="array" ref="AP209">_xlfn.LET(_xlpm.N,$B$49,_xlpm.R,$B$48,_xlpm.Start,$B$47,_xlpm.PlanWD,AL209,_xlpm.PlanRoth,AM209,_xlpm.PlanConv,AN209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209" cm="1">
        <f t="array" ref="AQ209">_xlfn.LET(_xlpm.N,$B$49,_xlpm.R,$B$48,_xlpm.Start,$B$47,_xlpm.PlanWD,AL209,_xlpm.PlanRoth,AM209,_xlpm.PlanConv,AN209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989231.64653082099</v>
      </c>
      <c r="AR209" cm="1">
        <f t="array" ref="AR209">_xlfn.LET(_xlpm.N,$B$49,_xlpm.R,$B$48,_xlpm.Start,$B$47,_xlpm.PlanWD,AL209,_xlpm.PlanRoth,AM209,_xlpm.PlanConv,AN209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1149037.1550534267</v>
      </c>
      <c r="AS209">
        <f>--AND(AK209&lt;=SUM('Retirement Gap'!$B$24:$B$25,'Retirement Gap'!$B$27),AL209+AN209&lt;=$B$47,AM209&lt;='Retirement Gap'!$B$29,ABS(AK209+AL209+AM209-$B$10)&lt;1)</f>
        <v>1</v>
      </c>
      <c r="AT209" cm="1">
        <f t="array" ref="AT209">IF(AS209=0,1E+99,_xlfn.SWITCH(LEFT($E$39,1),"1",AO209,"2",AP209*1000000000+AO209,"3",-AQ209,"4",AO209+AP209*25000+AR209*0.005-AQ209*0.0001,AO209))</f>
        <v>-989231.64653082099</v>
      </c>
    </row>
    <row r="210" spans="33:46" x14ac:dyDescent="0.55000000000000004">
      <c r="AG210">
        <f t="shared" si="30"/>
        <v>209</v>
      </c>
      <c r="AH210">
        <f t="shared" si="31"/>
        <v>0.3</v>
      </c>
      <c r="AI210">
        <f t="shared" si="32"/>
        <v>0.1</v>
      </c>
      <c r="AJ210">
        <f t="shared" si="33"/>
        <v>0.8</v>
      </c>
      <c r="AK210">
        <f t="shared" si="34"/>
        <v>38268.720000000001</v>
      </c>
      <c r="AL210">
        <f t="shared" si="35"/>
        <v>18223.2</v>
      </c>
      <c r="AM210">
        <f>MIN(MAX(0,$B$10-AL210)*AI210,'Retirement Gap'!$B$29)</f>
        <v>4252.0800000000008</v>
      </c>
      <c r="AN210">
        <f>IF($E$40="B - Withdrawals + Roth conversions",AJ210*MAX(0,MIN($B$47-AL210,MIN($B$59,IRMAA!$C$16)-(AL210+$B$8*0.85+AK210*$B$46))),0)</f>
        <v>0</v>
      </c>
      <c r="AO210" cm="1">
        <f t="array" ref="AO210">_xlfn.LET(_xlpm.N,$B$49,_xlpm.R,$B$48,_xlpm.Start,$B$47,_xlpm.PlanWD,AL210,_xlpm.PlanRoth,AM210,_xlpm.PlanConv,AN210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19354.48</v>
      </c>
      <c r="AP210" cm="1">
        <f t="array" ref="AP210">_xlfn.LET(_xlpm.N,$B$49,_xlpm.R,$B$48,_xlpm.Start,$B$47,_xlpm.PlanWD,AL210,_xlpm.PlanRoth,AM210,_xlpm.PlanConv,AN210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210" cm="1">
        <f t="array" ref="AQ210">_xlfn.LET(_xlpm.N,$B$49,_xlpm.R,$B$48,_xlpm.Start,$B$47,_xlpm.PlanWD,AL210,_xlpm.PlanRoth,AM210,_xlpm.PlanConv,AN210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989231.64653082099</v>
      </c>
      <c r="AR210" cm="1">
        <f t="array" ref="AR210">_xlfn.LET(_xlpm.N,$B$49,_xlpm.R,$B$48,_xlpm.Start,$B$47,_xlpm.PlanWD,AL210,_xlpm.PlanRoth,AM210,_xlpm.PlanConv,AN210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1149037.1550534267</v>
      </c>
      <c r="AS210">
        <f>--AND(AK210&lt;=SUM('Retirement Gap'!$B$24:$B$25,'Retirement Gap'!$B$27),AL210+AN210&lt;=$B$47,AM210&lt;='Retirement Gap'!$B$29,ABS(AK210+AL210+AM210-$B$10)&lt;1)</f>
        <v>1</v>
      </c>
      <c r="AT210" cm="1">
        <f t="array" ref="AT210">IF(AS210=0,1E+99,_xlfn.SWITCH(LEFT($E$39,1),"1",AO210,"2",AP210*1000000000+AO210,"3",-AQ210,"4",AO210+AP210*25000+AR210*0.005-AQ210*0.0001,AO210))</f>
        <v>-989231.64653082099</v>
      </c>
    </row>
    <row r="211" spans="33:46" x14ac:dyDescent="0.55000000000000004">
      <c r="AG211">
        <f t="shared" si="30"/>
        <v>210</v>
      </c>
      <c r="AH211">
        <f t="shared" si="31"/>
        <v>0.3</v>
      </c>
      <c r="AI211">
        <f t="shared" si="32"/>
        <v>0.1</v>
      </c>
      <c r="AJ211">
        <f t="shared" si="33"/>
        <v>1</v>
      </c>
      <c r="AK211">
        <f t="shared" si="34"/>
        <v>38268.720000000001</v>
      </c>
      <c r="AL211">
        <f t="shared" si="35"/>
        <v>18223.2</v>
      </c>
      <c r="AM211">
        <f>MIN(MAX(0,$B$10-AL211)*AI211,'Retirement Gap'!$B$29)</f>
        <v>4252.0800000000008</v>
      </c>
      <c r="AN211">
        <f>IF($E$40="B - Withdrawals + Roth conversions",AJ211*MAX(0,MIN($B$47-AL211,MIN($B$59,IRMAA!$C$16)-(AL211+$B$8*0.85+AK211*$B$46))),0)</f>
        <v>0</v>
      </c>
      <c r="AO211" cm="1">
        <f t="array" ref="AO211">_xlfn.LET(_xlpm.N,$B$49,_xlpm.R,$B$48,_xlpm.Start,$B$47,_xlpm.PlanWD,AL211,_xlpm.PlanRoth,AM211,_xlpm.PlanConv,AN211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19354.48</v>
      </c>
      <c r="AP211" cm="1">
        <f t="array" ref="AP211">_xlfn.LET(_xlpm.N,$B$49,_xlpm.R,$B$48,_xlpm.Start,$B$47,_xlpm.PlanWD,AL211,_xlpm.PlanRoth,AM211,_xlpm.PlanConv,AN211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211" cm="1">
        <f t="array" ref="AQ211">_xlfn.LET(_xlpm.N,$B$49,_xlpm.R,$B$48,_xlpm.Start,$B$47,_xlpm.PlanWD,AL211,_xlpm.PlanRoth,AM211,_xlpm.PlanConv,AN211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989231.64653082099</v>
      </c>
      <c r="AR211" cm="1">
        <f t="array" ref="AR211">_xlfn.LET(_xlpm.N,$B$49,_xlpm.R,$B$48,_xlpm.Start,$B$47,_xlpm.PlanWD,AL211,_xlpm.PlanRoth,AM211,_xlpm.PlanConv,AN211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1149037.1550534267</v>
      </c>
      <c r="AS211">
        <f>--AND(AK211&lt;=SUM('Retirement Gap'!$B$24:$B$25,'Retirement Gap'!$B$27),AL211+AN211&lt;=$B$47,AM211&lt;='Retirement Gap'!$B$29,ABS(AK211+AL211+AM211-$B$10)&lt;1)</f>
        <v>1</v>
      </c>
      <c r="AT211" cm="1">
        <f t="array" ref="AT211">IF(AS211=0,1E+99,_xlfn.SWITCH(LEFT($E$39,1),"1",AO211,"2",AP211*1000000000+AO211,"3",-AQ211,"4",AO211+AP211*25000+AR211*0.005-AQ211*0.0001,AO211))</f>
        <v>-989231.64653082099</v>
      </c>
    </row>
    <row r="212" spans="33:46" x14ac:dyDescent="0.55000000000000004">
      <c r="AG212">
        <f t="shared" si="30"/>
        <v>211</v>
      </c>
      <c r="AH212">
        <f t="shared" si="31"/>
        <v>0.3</v>
      </c>
      <c r="AI212">
        <f t="shared" si="32"/>
        <v>0.2</v>
      </c>
      <c r="AJ212">
        <f t="shared" si="33"/>
        <v>0</v>
      </c>
      <c r="AK212">
        <f t="shared" si="34"/>
        <v>34016.639999999999</v>
      </c>
      <c r="AL212">
        <f t="shared" si="35"/>
        <v>18223.2</v>
      </c>
      <c r="AM212">
        <f>MIN(MAX(0,$B$10-AL212)*AI212,'Retirement Gap'!$B$29)</f>
        <v>8504.1600000000017</v>
      </c>
      <c r="AN212">
        <f>IF($E$40="B - Withdrawals + Roth conversions",AJ212*MAX(0,MIN($B$47-AL212,MIN($B$59,IRMAA!$C$16)-(AL212+$B$8*0.85+AK212*$B$46))),0)</f>
        <v>0</v>
      </c>
      <c r="AO212" cm="1">
        <f t="array" ref="AO212">_xlfn.LET(_xlpm.N,$B$49,_xlpm.R,$B$48,_xlpm.Start,$B$47,_xlpm.PlanWD,AL212,_xlpm.PlanRoth,AM212,_xlpm.PlanConv,AN212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19354.48</v>
      </c>
      <c r="AP212" cm="1">
        <f t="array" ref="AP212">_xlfn.LET(_xlpm.N,$B$49,_xlpm.R,$B$48,_xlpm.Start,$B$47,_xlpm.PlanWD,AL212,_xlpm.PlanRoth,AM212,_xlpm.PlanConv,AN212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212" cm="1">
        <f t="array" ref="AQ212">_xlfn.LET(_xlpm.N,$B$49,_xlpm.R,$B$48,_xlpm.Start,$B$47,_xlpm.PlanWD,AL212,_xlpm.PlanRoth,AM212,_xlpm.PlanConv,AN212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989231.64653082099</v>
      </c>
      <c r="AR212" cm="1">
        <f t="array" ref="AR212">_xlfn.LET(_xlpm.N,$B$49,_xlpm.R,$B$48,_xlpm.Start,$B$47,_xlpm.PlanWD,AL212,_xlpm.PlanRoth,AM212,_xlpm.PlanConv,AN212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1149037.1550534267</v>
      </c>
      <c r="AS212">
        <f>--AND(AK212&lt;=SUM('Retirement Gap'!$B$24:$B$25,'Retirement Gap'!$B$27),AL212+AN212&lt;=$B$47,AM212&lt;='Retirement Gap'!$B$29,ABS(AK212+AL212+AM212-$B$10)&lt;1)</f>
        <v>1</v>
      </c>
      <c r="AT212" cm="1">
        <f t="array" ref="AT212">IF(AS212=0,1E+99,_xlfn.SWITCH(LEFT($E$39,1),"1",AO212,"2",AP212*1000000000+AO212,"3",-AQ212,"4",AO212+AP212*25000+AR212*0.005-AQ212*0.0001,AO212))</f>
        <v>-989231.64653082099</v>
      </c>
    </row>
    <row r="213" spans="33:46" x14ac:dyDescent="0.55000000000000004">
      <c r="AG213">
        <f t="shared" si="30"/>
        <v>212</v>
      </c>
      <c r="AH213">
        <f t="shared" si="31"/>
        <v>0.3</v>
      </c>
      <c r="AI213">
        <f t="shared" si="32"/>
        <v>0.2</v>
      </c>
      <c r="AJ213">
        <f t="shared" si="33"/>
        <v>0.2</v>
      </c>
      <c r="AK213">
        <f t="shared" si="34"/>
        <v>34016.639999999999</v>
      </c>
      <c r="AL213">
        <f t="shared" si="35"/>
        <v>18223.2</v>
      </c>
      <c r="AM213">
        <f>MIN(MAX(0,$B$10-AL213)*AI213,'Retirement Gap'!$B$29)</f>
        <v>8504.1600000000017</v>
      </c>
      <c r="AN213">
        <f>IF($E$40="B - Withdrawals + Roth conversions",AJ213*MAX(0,MIN($B$47-AL213,MIN($B$59,IRMAA!$C$16)-(AL213+$B$8*0.85+AK213*$B$46))),0)</f>
        <v>0</v>
      </c>
      <c r="AO213" cm="1">
        <f t="array" ref="AO213">_xlfn.LET(_xlpm.N,$B$49,_xlpm.R,$B$48,_xlpm.Start,$B$47,_xlpm.PlanWD,AL213,_xlpm.PlanRoth,AM213,_xlpm.PlanConv,AN213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19354.48</v>
      </c>
      <c r="AP213" cm="1">
        <f t="array" ref="AP213">_xlfn.LET(_xlpm.N,$B$49,_xlpm.R,$B$48,_xlpm.Start,$B$47,_xlpm.PlanWD,AL213,_xlpm.PlanRoth,AM213,_xlpm.PlanConv,AN213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213" cm="1">
        <f t="array" ref="AQ213">_xlfn.LET(_xlpm.N,$B$49,_xlpm.R,$B$48,_xlpm.Start,$B$47,_xlpm.PlanWD,AL213,_xlpm.PlanRoth,AM213,_xlpm.PlanConv,AN213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989231.64653082099</v>
      </c>
      <c r="AR213" cm="1">
        <f t="array" ref="AR213">_xlfn.LET(_xlpm.N,$B$49,_xlpm.R,$B$48,_xlpm.Start,$B$47,_xlpm.PlanWD,AL213,_xlpm.PlanRoth,AM213,_xlpm.PlanConv,AN213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1149037.1550534267</v>
      </c>
      <c r="AS213">
        <f>--AND(AK213&lt;=SUM('Retirement Gap'!$B$24:$B$25,'Retirement Gap'!$B$27),AL213+AN213&lt;=$B$47,AM213&lt;='Retirement Gap'!$B$29,ABS(AK213+AL213+AM213-$B$10)&lt;1)</f>
        <v>1</v>
      </c>
      <c r="AT213" cm="1">
        <f t="array" ref="AT213">IF(AS213=0,1E+99,_xlfn.SWITCH(LEFT($E$39,1),"1",AO213,"2",AP213*1000000000+AO213,"3",-AQ213,"4",AO213+AP213*25000+AR213*0.005-AQ213*0.0001,AO213))</f>
        <v>-989231.64653082099</v>
      </c>
    </row>
    <row r="214" spans="33:46" x14ac:dyDescent="0.55000000000000004">
      <c r="AG214">
        <f t="shared" si="30"/>
        <v>213</v>
      </c>
      <c r="AH214">
        <f t="shared" si="31"/>
        <v>0.3</v>
      </c>
      <c r="AI214">
        <f t="shared" si="32"/>
        <v>0.2</v>
      </c>
      <c r="AJ214">
        <f t="shared" si="33"/>
        <v>0.4</v>
      </c>
      <c r="AK214">
        <f t="shared" si="34"/>
        <v>34016.639999999999</v>
      </c>
      <c r="AL214">
        <f t="shared" si="35"/>
        <v>18223.2</v>
      </c>
      <c r="AM214">
        <f>MIN(MAX(0,$B$10-AL214)*AI214,'Retirement Gap'!$B$29)</f>
        <v>8504.1600000000017</v>
      </c>
      <c r="AN214">
        <f>IF($E$40="B - Withdrawals + Roth conversions",AJ214*MAX(0,MIN($B$47-AL214,MIN($B$59,IRMAA!$C$16)-(AL214+$B$8*0.85+AK214*$B$46))),0)</f>
        <v>0</v>
      </c>
      <c r="AO214" cm="1">
        <f t="array" ref="AO214">_xlfn.LET(_xlpm.N,$B$49,_xlpm.R,$B$48,_xlpm.Start,$B$47,_xlpm.PlanWD,AL214,_xlpm.PlanRoth,AM214,_xlpm.PlanConv,AN214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19354.48</v>
      </c>
      <c r="AP214" cm="1">
        <f t="array" ref="AP214">_xlfn.LET(_xlpm.N,$B$49,_xlpm.R,$B$48,_xlpm.Start,$B$47,_xlpm.PlanWD,AL214,_xlpm.PlanRoth,AM214,_xlpm.PlanConv,AN214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214" cm="1">
        <f t="array" ref="AQ214">_xlfn.LET(_xlpm.N,$B$49,_xlpm.R,$B$48,_xlpm.Start,$B$47,_xlpm.PlanWD,AL214,_xlpm.PlanRoth,AM214,_xlpm.PlanConv,AN214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989231.64653082099</v>
      </c>
      <c r="AR214" cm="1">
        <f t="array" ref="AR214">_xlfn.LET(_xlpm.N,$B$49,_xlpm.R,$B$48,_xlpm.Start,$B$47,_xlpm.PlanWD,AL214,_xlpm.PlanRoth,AM214,_xlpm.PlanConv,AN214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1149037.1550534267</v>
      </c>
      <c r="AS214">
        <f>--AND(AK214&lt;=SUM('Retirement Gap'!$B$24:$B$25,'Retirement Gap'!$B$27),AL214+AN214&lt;=$B$47,AM214&lt;='Retirement Gap'!$B$29,ABS(AK214+AL214+AM214-$B$10)&lt;1)</f>
        <v>1</v>
      </c>
      <c r="AT214" cm="1">
        <f t="array" ref="AT214">IF(AS214=0,1E+99,_xlfn.SWITCH(LEFT($E$39,1),"1",AO214,"2",AP214*1000000000+AO214,"3",-AQ214,"4",AO214+AP214*25000+AR214*0.005-AQ214*0.0001,AO214))</f>
        <v>-989231.64653082099</v>
      </c>
    </row>
    <row r="215" spans="33:46" x14ac:dyDescent="0.55000000000000004">
      <c r="AG215">
        <f t="shared" si="30"/>
        <v>214</v>
      </c>
      <c r="AH215">
        <f t="shared" si="31"/>
        <v>0.3</v>
      </c>
      <c r="AI215">
        <f t="shared" si="32"/>
        <v>0.2</v>
      </c>
      <c r="AJ215">
        <f t="shared" si="33"/>
        <v>0.6</v>
      </c>
      <c r="AK215">
        <f t="shared" si="34"/>
        <v>34016.639999999999</v>
      </c>
      <c r="AL215">
        <f t="shared" si="35"/>
        <v>18223.2</v>
      </c>
      <c r="AM215">
        <f>MIN(MAX(0,$B$10-AL215)*AI215,'Retirement Gap'!$B$29)</f>
        <v>8504.1600000000017</v>
      </c>
      <c r="AN215">
        <f>IF($E$40="B - Withdrawals + Roth conversions",AJ215*MAX(0,MIN($B$47-AL215,MIN($B$59,IRMAA!$C$16)-(AL215+$B$8*0.85+AK215*$B$46))),0)</f>
        <v>0</v>
      </c>
      <c r="AO215" cm="1">
        <f t="array" ref="AO215">_xlfn.LET(_xlpm.N,$B$49,_xlpm.R,$B$48,_xlpm.Start,$B$47,_xlpm.PlanWD,AL215,_xlpm.PlanRoth,AM215,_xlpm.PlanConv,AN215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19354.48</v>
      </c>
      <c r="AP215" cm="1">
        <f t="array" ref="AP215">_xlfn.LET(_xlpm.N,$B$49,_xlpm.R,$B$48,_xlpm.Start,$B$47,_xlpm.PlanWD,AL215,_xlpm.PlanRoth,AM215,_xlpm.PlanConv,AN215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215" cm="1">
        <f t="array" ref="AQ215">_xlfn.LET(_xlpm.N,$B$49,_xlpm.R,$B$48,_xlpm.Start,$B$47,_xlpm.PlanWD,AL215,_xlpm.PlanRoth,AM215,_xlpm.PlanConv,AN215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989231.64653082099</v>
      </c>
      <c r="AR215" cm="1">
        <f t="array" ref="AR215">_xlfn.LET(_xlpm.N,$B$49,_xlpm.R,$B$48,_xlpm.Start,$B$47,_xlpm.PlanWD,AL215,_xlpm.PlanRoth,AM215,_xlpm.PlanConv,AN215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1149037.1550534267</v>
      </c>
      <c r="AS215">
        <f>--AND(AK215&lt;=SUM('Retirement Gap'!$B$24:$B$25,'Retirement Gap'!$B$27),AL215+AN215&lt;=$B$47,AM215&lt;='Retirement Gap'!$B$29,ABS(AK215+AL215+AM215-$B$10)&lt;1)</f>
        <v>1</v>
      </c>
      <c r="AT215" cm="1">
        <f t="array" ref="AT215">IF(AS215=0,1E+99,_xlfn.SWITCH(LEFT($E$39,1),"1",AO215,"2",AP215*1000000000+AO215,"3",-AQ215,"4",AO215+AP215*25000+AR215*0.005-AQ215*0.0001,AO215))</f>
        <v>-989231.64653082099</v>
      </c>
    </row>
    <row r="216" spans="33:46" x14ac:dyDescent="0.55000000000000004">
      <c r="AG216">
        <f t="shared" si="30"/>
        <v>215</v>
      </c>
      <c r="AH216">
        <f t="shared" si="31"/>
        <v>0.3</v>
      </c>
      <c r="AI216">
        <f t="shared" si="32"/>
        <v>0.2</v>
      </c>
      <c r="AJ216">
        <f t="shared" si="33"/>
        <v>0.8</v>
      </c>
      <c r="AK216">
        <f t="shared" si="34"/>
        <v>34016.639999999999</v>
      </c>
      <c r="AL216">
        <f t="shared" si="35"/>
        <v>18223.2</v>
      </c>
      <c r="AM216">
        <f>MIN(MAX(0,$B$10-AL216)*AI216,'Retirement Gap'!$B$29)</f>
        <v>8504.1600000000017</v>
      </c>
      <c r="AN216">
        <f>IF($E$40="B - Withdrawals + Roth conversions",AJ216*MAX(0,MIN($B$47-AL216,MIN($B$59,IRMAA!$C$16)-(AL216+$B$8*0.85+AK216*$B$46))),0)</f>
        <v>0</v>
      </c>
      <c r="AO216" cm="1">
        <f t="array" ref="AO216">_xlfn.LET(_xlpm.N,$B$49,_xlpm.R,$B$48,_xlpm.Start,$B$47,_xlpm.PlanWD,AL216,_xlpm.PlanRoth,AM216,_xlpm.PlanConv,AN216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19354.48</v>
      </c>
      <c r="AP216" cm="1">
        <f t="array" ref="AP216">_xlfn.LET(_xlpm.N,$B$49,_xlpm.R,$B$48,_xlpm.Start,$B$47,_xlpm.PlanWD,AL216,_xlpm.PlanRoth,AM216,_xlpm.PlanConv,AN216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216" cm="1">
        <f t="array" ref="AQ216">_xlfn.LET(_xlpm.N,$B$49,_xlpm.R,$B$48,_xlpm.Start,$B$47,_xlpm.PlanWD,AL216,_xlpm.PlanRoth,AM216,_xlpm.PlanConv,AN216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989231.64653082099</v>
      </c>
      <c r="AR216" cm="1">
        <f t="array" ref="AR216">_xlfn.LET(_xlpm.N,$B$49,_xlpm.R,$B$48,_xlpm.Start,$B$47,_xlpm.PlanWD,AL216,_xlpm.PlanRoth,AM216,_xlpm.PlanConv,AN216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1149037.1550534267</v>
      </c>
      <c r="AS216">
        <f>--AND(AK216&lt;=SUM('Retirement Gap'!$B$24:$B$25,'Retirement Gap'!$B$27),AL216+AN216&lt;=$B$47,AM216&lt;='Retirement Gap'!$B$29,ABS(AK216+AL216+AM216-$B$10)&lt;1)</f>
        <v>1</v>
      </c>
      <c r="AT216" cm="1">
        <f t="array" ref="AT216">IF(AS216=0,1E+99,_xlfn.SWITCH(LEFT($E$39,1),"1",AO216,"2",AP216*1000000000+AO216,"3",-AQ216,"4",AO216+AP216*25000+AR216*0.005-AQ216*0.0001,AO216))</f>
        <v>-989231.64653082099</v>
      </c>
    </row>
    <row r="217" spans="33:46" x14ac:dyDescent="0.55000000000000004">
      <c r="AG217">
        <f t="shared" si="30"/>
        <v>216</v>
      </c>
      <c r="AH217">
        <f t="shared" si="31"/>
        <v>0.3</v>
      </c>
      <c r="AI217">
        <f t="shared" si="32"/>
        <v>0.2</v>
      </c>
      <c r="AJ217">
        <f t="shared" si="33"/>
        <v>1</v>
      </c>
      <c r="AK217">
        <f t="shared" si="34"/>
        <v>34016.639999999999</v>
      </c>
      <c r="AL217">
        <f t="shared" si="35"/>
        <v>18223.2</v>
      </c>
      <c r="AM217">
        <f>MIN(MAX(0,$B$10-AL217)*AI217,'Retirement Gap'!$B$29)</f>
        <v>8504.1600000000017</v>
      </c>
      <c r="AN217">
        <f>IF($E$40="B - Withdrawals + Roth conversions",AJ217*MAX(0,MIN($B$47-AL217,MIN($B$59,IRMAA!$C$16)-(AL217+$B$8*0.85+AK217*$B$46))),0)</f>
        <v>0</v>
      </c>
      <c r="AO217" cm="1">
        <f t="array" ref="AO217">_xlfn.LET(_xlpm.N,$B$49,_xlpm.R,$B$48,_xlpm.Start,$B$47,_xlpm.PlanWD,AL217,_xlpm.PlanRoth,AM217,_xlpm.PlanConv,AN217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19354.48</v>
      </c>
      <c r="AP217" cm="1">
        <f t="array" ref="AP217">_xlfn.LET(_xlpm.N,$B$49,_xlpm.R,$B$48,_xlpm.Start,$B$47,_xlpm.PlanWD,AL217,_xlpm.PlanRoth,AM217,_xlpm.PlanConv,AN217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217" cm="1">
        <f t="array" ref="AQ217">_xlfn.LET(_xlpm.N,$B$49,_xlpm.R,$B$48,_xlpm.Start,$B$47,_xlpm.PlanWD,AL217,_xlpm.PlanRoth,AM217,_xlpm.PlanConv,AN217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989231.64653082099</v>
      </c>
      <c r="AR217" cm="1">
        <f t="array" ref="AR217">_xlfn.LET(_xlpm.N,$B$49,_xlpm.R,$B$48,_xlpm.Start,$B$47,_xlpm.PlanWD,AL217,_xlpm.PlanRoth,AM217,_xlpm.PlanConv,AN217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1149037.1550534267</v>
      </c>
      <c r="AS217">
        <f>--AND(AK217&lt;=SUM('Retirement Gap'!$B$24:$B$25,'Retirement Gap'!$B$27),AL217+AN217&lt;=$B$47,AM217&lt;='Retirement Gap'!$B$29,ABS(AK217+AL217+AM217-$B$10)&lt;1)</f>
        <v>1</v>
      </c>
      <c r="AT217" cm="1">
        <f t="array" ref="AT217">IF(AS217=0,1E+99,_xlfn.SWITCH(LEFT($E$39,1),"1",AO217,"2",AP217*1000000000+AO217,"3",-AQ217,"4",AO217+AP217*25000+AR217*0.005-AQ217*0.0001,AO217))</f>
        <v>-989231.64653082099</v>
      </c>
    </row>
    <row r="218" spans="33:46" x14ac:dyDescent="0.55000000000000004">
      <c r="AG218">
        <f t="shared" si="30"/>
        <v>217</v>
      </c>
      <c r="AH218">
        <f t="shared" si="31"/>
        <v>0.3</v>
      </c>
      <c r="AI218">
        <f t="shared" si="32"/>
        <v>0.3</v>
      </c>
      <c r="AJ218">
        <f t="shared" si="33"/>
        <v>0</v>
      </c>
      <c r="AK218">
        <f t="shared" si="34"/>
        <v>31670.521633416487</v>
      </c>
      <c r="AL218">
        <f t="shared" si="35"/>
        <v>18223.2</v>
      </c>
      <c r="AM218">
        <f>MIN(MAX(0,$B$10-AL218)*AI218,'Retirement Gap'!$B$29)</f>
        <v>10850.278366583516</v>
      </c>
      <c r="AN218">
        <f>IF($E$40="B - Withdrawals + Roth conversions",AJ218*MAX(0,MIN($B$47-AL218,MIN($B$59,IRMAA!$C$16)-(AL218+$B$8*0.85+AK218*$B$46))),0)</f>
        <v>0</v>
      </c>
      <c r="AO218" cm="1">
        <f t="array" ref="AO218">_xlfn.LET(_xlpm.N,$B$49,_xlpm.R,$B$48,_xlpm.Start,$B$47,_xlpm.PlanWD,AL218,_xlpm.PlanRoth,AM218,_xlpm.PlanConv,AN218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19354.48</v>
      </c>
      <c r="AP218" cm="1">
        <f t="array" ref="AP218">_xlfn.LET(_xlpm.N,$B$49,_xlpm.R,$B$48,_xlpm.Start,$B$47,_xlpm.PlanWD,AL218,_xlpm.PlanRoth,AM218,_xlpm.PlanConv,AN218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218" cm="1">
        <f t="array" ref="AQ218">_xlfn.LET(_xlpm.N,$B$49,_xlpm.R,$B$48,_xlpm.Start,$B$47,_xlpm.PlanWD,AL218,_xlpm.PlanRoth,AM218,_xlpm.PlanConv,AN218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989231.64653082099</v>
      </c>
      <c r="AR218" cm="1">
        <f t="array" ref="AR218">_xlfn.LET(_xlpm.N,$B$49,_xlpm.R,$B$48,_xlpm.Start,$B$47,_xlpm.PlanWD,AL218,_xlpm.PlanRoth,AM218,_xlpm.PlanConv,AN218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1149037.1550534267</v>
      </c>
      <c r="AS218">
        <f>--AND(AK218&lt;=SUM('Retirement Gap'!$B$24:$B$25,'Retirement Gap'!$B$27),AL218+AN218&lt;=$B$47,AM218&lt;='Retirement Gap'!$B$29,ABS(AK218+AL218+AM218-$B$10)&lt;1)</f>
        <v>1</v>
      </c>
      <c r="AT218" cm="1">
        <f t="array" ref="AT218">IF(AS218=0,1E+99,_xlfn.SWITCH(LEFT($E$39,1),"1",AO218,"2",AP218*1000000000+AO218,"3",-AQ218,"4",AO218+AP218*25000+AR218*0.005-AQ218*0.0001,AO218))</f>
        <v>-989231.64653082099</v>
      </c>
    </row>
    <row r="219" spans="33:46" x14ac:dyDescent="0.55000000000000004">
      <c r="AG219">
        <f t="shared" si="30"/>
        <v>218</v>
      </c>
      <c r="AH219">
        <f t="shared" si="31"/>
        <v>0.3</v>
      </c>
      <c r="AI219">
        <f t="shared" si="32"/>
        <v>0.3</v>
      </c>
      <c r="AJ219">
        <f t="shared" si="33"/>
        <v>0.2</v>
      </c>
      <c r="AK219">
        <f t="shared" si="34"/>
        <v>31670.521633416487</v>
      </c>
      <c r="AL219">
        <f t="shared" si="35"/>
        <v>18223.2</v>
      </c>
      <c r="AM219">
        <f>MIN(MAX(0,$B$10-AL219)*AI219,'Retirement Gap'!$B$29)</f>
        <v>10850.278366583516</v>
      </c>
      <c r="AN219">
        <f>IF($E$40="B - Withdrawals + Roth conversions",AJ219*MAX(0,MIN($B$47-AL219,MIN($B$59,IRMAA!$C$16)-(AL219+$B$8*0.85+AK219*$B$46))),0)</f>
        <v>0</v>
      </c>
      <c r="AO219" cm="1">
        <f t="array" ref="AO219">_xlfn.LET(_xlpm.N,$B$49,_xlpm.R,$B$48,_xlpm.Start,$B$47,_xlpm.PlanWD,AL219,_xlpm.PlanRoth,AM219,_xlpm.PlanConv,AN219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19354.48</v>
      </c>
      <c r="AP219" cm="1">
        <f t="array" ref="AP219">_xlfn.LET(_xlpm.N,$B$49,_xlpm.R,$B$48,_xlpm.Start,$B$47,_xlpm.PlanWD,AL219,_xlpm.PlanRoth,AM219,_xlpm.PlanConv,AN219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219" cm="1">
        <f t="array" ref="AQ219">_xlfn.LET(_xlpm.N,$B$49,_xlpm.R,$B$48,_xlpm.Start,$B$47,_xlpm.PlanWD,AL219,_xlpm.PlanRoth,AM219,_xlpm.PlanConv,AN219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989231.64653082099</v>
      </c>
      <c r="AR219" cm="1">
        <f t="array" ref="AR219">_xlfn.LET(_xlpm.N,$B$49,_xlpm.R,$B$48,_xlpm.Start,$B$47,_xlpm.PlanWD,AL219,_xlpm.PlanRoth,AM219,_xlpm.PlanConv,AN219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1149037.1550534267</v>
      </c>
      <c r="AS219">
        <f>--AND(AK219&lt;=SUM('Retirement Gap'!$B$24:$B$25,'Retirement Gap'!$B$27),AL219+AN219&lt;=$B$47,AM219&lt;='Retirement Gap'!$B$29,ABS(AK219+AL219+AM219-$B$10)&lt;1)</f>
        <v>1</v>
      </c>
      <c r="AT219" cm="1">
        <f t="array" ref="AT219">IF(AS219=0,1E+99,_xlfn.SWITCH(LEFT($E$39,1),"1",AO219,"2",AP219*1000000000+AO219,"3",-AQ219,"4",AO219+AP219*25000+AR219*0.005-AQ219*0.0001,AO219))</f>
        <v>-989231.64653082099</v>
      </c>
    </row>
    <row r="220" spans="33:46" x14ac:dyDescent="0.55000000000000004">
      <c r="AG220">
        <f t="shared" si="30"/>
        <v>219</v>
      </c>
      <c r="AH220">
        <f t="shared" si="31"/>
        <v>0.3</v>
      </c>
      <c r="AI220">
        <f t="shared" si="32"/>
        <v>0.3</v>
      </c>
      <c r="AJ220">
        <f t="shared" si="33"/>
        <v>0.4</v>
      </c>
      <c r="AK220">
        <f t="shared" si="34"/>
        <v>31670.521633416487</v>
      </c>
      <c r="AL220">
        <f t="shared" si="35"/>
        <v>18223.2</v>
      </c>
      <c r="AM220">
        <f>MIN(MAX(0,$B$10-AL220)*AI220,'Retirement Gap'!$B$29)</f>
        <v>10850.278366583516</v>
      </c>
      <c r="AN220">
        <f>IF($E$40="B - Withdrawals + Roth conversions",AJ220*MAX(0,MIN($B$47-AL220,MIN($B$59,IRMAA!$C$16)-(AL220+$B$8*0.85+AK220*$B$46))),0)</f>
        <v>0</v>
      </c>
      <c r="AO220" cm="1">
        <f t="array" ref="AO220">_xlfn.LET(_xlpm.N,$B$49,_xlpm.R,$B$48,_xlpm.Start,$B$47,_xlpm.PlanWD,AL220,_xlpm.PlanRoth,AM220,_xlpm.PlanConv,AN220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19354.48</v>
      </c>
      <c r="AP220" cm="1">
        <f t="array" ref="AP220">_xlfn.LET(_xlpm.N,$B$49,_xlpm.R,$B$48,_xlpm.Start,$B$47,_xlpm.PlanWD,AL220,_xlpm.PlanRoth,AM220,_xlpm.PlanConv,AN220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220" cm="1">
        <f t="array" ref="AQ220">_xlfn.LET(_xlpm.N,$B$49,_xlpm.R,$B$48,_xlpm.Start,$B$47,_xlpm.PlanWD,AL220,_xlpm.PlanRoth,AM220,_xlpm.PlanConv,AN220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989231.64653082099</v>
      </c>
      <c r="AR220" cm="1">
        <f t="array" ref="AR220">_xlfn.LET(_xlpm.N,$B$49,_xlpm.R,$B$48,_xlpm.Start,$B$47,_xlpm.PlanWD,AL220,_xlpm.PlanRoth,AM220,_xlpm.PlanConv,AN220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1149037.1550534267</v>
      </c>
      <c r="AS220">
        <f>--AND(AK220&lt;=SUM('Retirement Gap'!$B$24:$B$25,'Retirement Gap'!$B$27),AL220+AN220&lt;=$B$47,AM220&lt;='Retirement Gap'!$B$29,ABS(AK220+AL220+AM220-$B$10)&lt;1)</f>
        <v>1</v>
      </c>
      <c r="AT220" cm="1">
        <f t="array" ref="AT220">IF(AS220=0,1E+99,_xlfn.SWITCH(LEFT($E$39,1),"1",AO220,"2",AP220*1000000000+AO220,"3",-AQ220,"4",AO220+AP220*25000+AR220*0.005-AQ220*0.0001,AO220))</f>
        <v>-989231.64653082099</v>
      </c>
    </row>
    <row r="221" spans="33:46" x14ac:dyDescent="0.55000000000000004">
      <c r="AG221">
        <f t="shared" si="30"/>
        <v>220</v>
      </c>
      <c r="AH221">
        <f t="shared" si="31"/>
        <v>0.3</v>
      </c>
      <c r="AI221">
        <f t="shared" si="32"/>
        <v>0.3</v>
      </c>
      <c r="AJ221">
        <f t="shared" si="33"/>
        <v>0.6</v>
      </c>
      <c r="AK221">
        <f t="shared" si="34"/>
        <v>31670.521633416487</v>
      </c>
      <c r="AL221">
        <f t="shared" si="35"/>
        <v>18223.2</v>
      </c>
      <c r="AM221">
        <f>MIN(MAX(0,$B$10-AL221)*AI221,'Retirement Gap'!$B$29)</f>
        <v>10850.278366583516</v>
      </c>
      <c r="AN221">
        <f>IF($E$40="B - Withdrawals + Roth conversions",AJ221*MAX(0,MIN($B$47-AL221,MIN($B$59,IRMAA!$C$16)-(AL221+$B$8*0.85+AK221*$B$46))),0)</f>
        <v>0</v>
      </c>
      <c r="AO221" cm="1">
        <f t="array" ref="AO221">_xlfn.LET(_xlpm.N,$B$49,_xlpm.R,$B$48,_xlpm.Start,$B$47,_xlpm.PlanWD,AL221,_xlpm.PlanRoth,AM221,_xlpm.PlanConv,AN221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19354.48</v>
      </c>
      <c r="AP221" cm="1">
        <f t="array" ref="AP221">_xlfn.LET(_xlpm.N,$B$49,_xlpm.R,$B$48,_xlpm.Start,$B$47,_xlpm.PlanWD,AL221,_xlpm.PlanRoth,AM221,_xlpm.PlanConv,AN221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221" cm="1">
        <f t="array" ref="AQ221">_xlfn.LET(_xlpm.N,$B$49,_xlpm.R,$B$48,_xlpm.Start,$B$47,_xlpm.PlanWD,AL221,_xlpm.PlanRoth,AM221,_xlpm.PlanConv,AN221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989231.64653082099</v>
      </c>
      <c r="AR221" cm="1">
        <f t="array" ref="AR221">_xlfn.LET(_xlpm.N,$B$49,_xlpm.R,$B$48,_xlpm.Start,$B$47,_xlpm.PlanWD,AL221,_xlpm.PlanRoth,AM221,_xlpm.PlanConv,AN221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1149037.1550534267</v>
      </c>
      <c r="AS221">
        <f>--AND(AK221&lt;=SUM('Retirement Gap'!$B$24:$B$25,'Retirement Gap'!$B$27),AL221+AN221&lt;=$B$47,AM221&lt;='Retirement Gap'!$B$29,ABS(AK221+AL221+AM221-$B$10)&lt;1)</f>
        <v>1</v>
      </c>
      <c r="AT221" cm="1">
        <f t="array" ref="AT221">IF(AS221=0,1E+99,_xlfn.SWITCH(LEFT($E$39,1),"1",AO221,"2",AP221*1000000000+AO221,"3",-AQ221,"4",AO221+AP221*25000+AR221*0.005-AQ221*0.0001,AO221))</f>
        <v>-989231.64653082099</v>
      </c>
    </row>
    <row r="222" spans="33:46" x14ac:dyDescent="0.55000000000000004">
      <c r="AG222">
        <f t="shared" si="30"/>
        <v>221</v>
      </c>
      <c r="AH222">
        <f t="shared" si="31"/>
        <v>0.3</v>
      </c>
      <c r="AI222">
        <f t="shared" si="32"/>
        <v>0.3</v>
      </c>
      <c r="AJ222">
        <f t="shared" si="33"/>
        <v>0.8</v>
      </c>
      <c r="AK222">
        <f t="shared" si="34"/>
        <v>31670.521633416487</v>
      </c>
      <c r="AL222">
        <f t="shared" si="35"/>
        <v>18223.2</v>
      </c>
      <c r="AM222">
        <f>MIN(MAX(0,$B$10-AL222)*AI222,'Retirement Gap'!$B$29)</f>
        <v>10850.278366583516</v>
      </c>
      <c r="AN222">
        <f>IF($E$40="B - Withdrawals + Roth conversions",AJ222*MAX(0,MIN($B$47-AL222,MIN($B$59,IRMAA!$C$16)-(AL222+$B$8*0.85+AK222*$B$46))),0)</f>
        <v>0</v>
      </c>
      <c r="AO222" cm="1">
        <f t="array" ref="AO222">_xlfn.LET(_xlpm.N,$B$49,_xlpm.R,$B$48,_xlpm.Start,$B$47,_xlpm.PlanWD,AL222,_xlpm.PlanRoth,AM222,_xlpm.PlanConv,AN222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19354.48</v>
      </c>
      <c r="AP222" cm="1">
        <f t="array" ref="AP222">_xlfn.LET(_xlpm.N,$B$49,_xlpm.R,$B$48,_xlpm.Start,$B$47,_xlpm.PlanWD,AL222,_xlpm.PlanRoth,AM222,_xlpm.PlanConv,AN222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222" cm="1">
        <f t="array" ref="AQ222">_xlfn.LET(_xlpm.N,$B$49,_xlpm.R,$B$48,_xlpm.Start,$B$47,_xlpm.PlanWD,AL222,_xlpm.PlanRoth,AM222,_xlpm.PlanConv,AN222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989231.64653082099</v>
      </c>
      <c r="AR222" cm="1">
        <f t="array" ref="AR222">_xlfn.LET(_xlpm.N,$B$49,_xlpm.R,$B$48,_xlpm.Start,$B$47,_xlpm.PlanWD,AL222,_xlpm.PlanRoth,AM222,_xlpm.PlanConv,AN222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1149037.1550534267</v>
      </c>
      <c r="AS222">
        <f>--AND(AK222&lt;=SUM('Retirement Gap'!$B$24:$B$25,'Retirement Gap'!$B$27),AL222+AN222&lt;=$B$47,AM222&lt;='Retirement Gap'!$B$29,ABS(AK222+AL222+AM222-$B$10)&lt;1)</f>
        <v>1</v>
      </c>
      <c r="AT222" cm="1">
        <f t="array" ref="AT222">IF(AS222=0,1E+99,_xlfn.SWITCH(LEFT($E$39,1),"1",AO222,"2",AP222*1000000000+AO222,"3",-AQ222,"4",AO222+AP222*25000+AR222*0.005-AQ222*0.0001,AO222))</f>
        <v>-989231.64653082099</v>
      </c>
    </row>
    <row r="223" spans="33:46" x14ac:dyDescent="0.55000000000000004">
      <c r="AG223">
        <f t="shared" si="30"/>
        <v>222</v>
      </c>
      <c r="AH223">
        <f t="shared" si="31"/>
        <v>0.3</v>
      </c>
      <c r="AI223">
        <f t="shared" si="32"/>
        <v>0.3</v>
      </c>
      <c r="AJ223">
        <f t="shared" si="33"/>
        <v>1</v>
      </c>
      <c r="AK223">
        <f t="shared" si="34"/>
        <v>31670.521633416487</v>
      </c>
      <c r="AL223">
        <f t="shared" si="35"/>
        <v>18223.2</v>
      </c>
      <c r="AM223">
        <f>MIN(MAX(0,$B$10-AL223)*AI223,'Retirement Gap'!$B$29)</f>
        <v>10850.278366583516</v>
      </c>
      <c r="AN223">
        <f>IF($E$40="B - Withdrawals + Roth conversions",AJ223*MAX(0,MIN($B$47-AL223,MIN($B$59,IRMAA!$C$16)-(AL223+$B$8*0.85+AK223*$B$46))),0)</f>
        <v>0</v>
      </c>
      <c r="AO223" cm="1">
        <f t="array" ref="AO223">_xlfn.LET(_xlpm.N,$B$49,_xlpm.R,$B$48,_xlpm.Start,$B$47,_xlpm.PlanWD,AL223,_xlpm.PlanRoth,AM223,_xlpm.PlanConv,AN223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19354.48</v>
      </c>
      <c r="AP223" cm="1">
        <f t="array" ref="AP223">_xlfn.LET(_xlpm.N,$B$49,_xlpm.R,$B$48,_xlpm.Start,$B$47,_xlpm.PlanWD,AL223,_xlpm.PlanRoth,AM223,_xlpm.PlanConv,AN223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223" cm="1">
        <f t="array" ref="AQ223">_xlfn.LET(_xlpm.N,$B$49,_xlpm.R,$B$48,_xlpm.Start,$B$47,_xlpm.PlanWD,AL223,_xlpm.PlanRoth,AM223,_xlpm.PlanConv,AN223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989231.64653082099</v>
      </c>
      <c r="AR223" cm="1">
        <f t="array" ref="AR223">_xlfn.LET(_xlpm.N,$B$49,_xlpm.R,$B$48,_xlpm.Start,$B$47,_xlpm.PlanWD,AL223,_xlpm.PlanRoth,AM223,_xlpm.PlanConv,AN223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1149037.1550534267</v>
      </c>
      <c r="AS223">
        <f>--AND(AK223&lt;=SUM('Retirement Gap'!$B$24:$B$25,'Retirement Gap'!$B$27),AL223+AN223&lt;=$B$47,AM223&lt;='Retirement Gap'!$B$29,ABS(AK223+AL223+AM223-$B$10)&lt;1)</f>
        <v>1</v>
      </c>
      <c r="AT223" cm="1">
        <f t="array" ref="AT223">IF(AS223=0,1E+99,_xlfn.SWITCH(LEFT($E$39,1),"1",AO223,"2",AP223*1000000000+AO223,"3",-AQ223,"4",AO223+AP223*25000+AR223*0.005-AQ223*0.0001,AO223))</f>
        <v>-989231.64653082099</v>
      </c>
    </row>
    <row r="224" spans="33:46" x14ac:dyDescent="0.55000000000000004">
      <c r="AG224">
        <f t="shared" si="30"/>
        <v>223</v>
      </c>
      <c r="AH224">
        <f t="shared" si="31"/>
        <v>0.3</v>
      </c>
      <c r="AI224">
        <f t="shared" si="32"/>
        <v>0.4</v>
      </c>
      <c r="AJ224">
        <f t="shared" si="33"/>
        <v>0</v>
      </c>
      <c r="AK224">
        <f t="shared" si="34"/>
        <v>31670.521633416487</v>
      </c>
      <c r="AL224">
        <f t="shared" si="35"/>
        <v>18223.2</v>
      </c>
      <c r="AM224">
        <f>MIN(MAX(0,$B$10-AL224)*AI224,'Retirement Gap'!$B$29)</f>
        <v>10850.278366583516</v>
      </c>
      <c r="AN224">
        <f>IF($E$40="B - Withdrawals + Roth conversions",AJ224*MAX(0,MIN($B$47-AL224,MIN($B$59,IRMAA!$C$16)-(AL224+$B$8*0.85+AK224*$B$46))),0)</f>
        <v>0</v>
      </c>
      <c r="AO224" cm="1">
        <f t="array" ref="AO224">_xlfn.LET(_xlpm.N,$B$49,_xlpm.R,$B$48,_xlpm.Start,$B$47,_xlpm.PlanWD,AL224,_xlpm.PlanRoth,AM224,_xlpm.PlanConv,AN224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19354.48</v>
      </c>
      <c r="AP224" cm="1">
        <f t="array" ref="AP224">_xlfn.LET(_xlpm.N,$B$49,_xlpm.R,$B$48,_xlpm.Start,$B$47,_xlpm.PlanWD,AL224,_xlpm.PlanRoth,AM224,_xlpm.PlanConv,AN224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224" cm="1">
        <f t="array" ref="AQ224">_xlfn.LET(_xlpm.N,$B$49,_xlpm.R,$B$48,_xlpm.Start,$B$47,_xlpm.PlanWD,AL224,_xlpm.PlanRoth,AM224,_xlpm.PlanConv,AN224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989231.64653082099</v>
      </c>
      <c r="AR224" cm="1">
        <f t="array" ref="AR224">_xlfn.LET(_xlpm.N,$B$49,_xlpm.R,$B$48,_xlpm.Start,$B$47,_xlpm.PlanWD,AL224,_xlpm.PlanRoth,AM224,_xlpm.PlanConv,AN224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1149037.1550534267</v>
      </c>
      <c r="AS224">
        <f>--AND(AK224&lt;=SUM('Retirement Gap'!$B$24:$B$25,'Retirement Gap'!$B$27),AL224+AN224&lt;=$B$47,AM224&lt;='Retirement Gap'!$B$29,ABS(AK224+AL224+AM224-$B$10)&lt;1)</f>
        <v>1</v>
      </c>
      <c r="AT224" cm="1">
        <f t="array" ref="AT224">IF(AS224=0,1E+99,_xlfn.SWITCH(LEFT($E$39,1),"1",AO224,"2",AP224*1000000000+AO224,"3",-AQ224,"4",AO224+AP224*25000+AR224*0.005-AQ224*0.0001,AO224))</f>
        <v>-989231.64653082099</v>
      </c>
    </row>
    <row r="225" spans="33:46" x14ac:dyDescent="0.55000000000000004">
      <c r="AG225">
        <f t="shared" si="30"/>
        <v>224</v>
      </c>
      <c r="AH225">
        <f t="shared" si="31"/>
        <v>0.3</v>
      </c>
      <c r="AI225">
        <f t="shared" si="32"/>
        <v>0.4</v>
      </c>
      <c r="AJ225">
        <f t="shared" si="33"/>
        <v>0.2</v>
      </c>
      <c r="AK225">
        <f t="shared" si="34"/>
        <v>31670.521633416487</v>
      </c>
      <c r="AL225">
        <f t="shared" si="35"/>
        <v>18223.2</v>
      </c>
      <c r="AM225">
        <f>MIN(MAX(0,$B$10-AL225)*AI225,'Retirement Gap'!$B$29)</f>
        <v>10850.278366583516</v>
      </c>
      <c r="AN225">
        <f>IF($E$40="B - Withdrawals + Roth conversions",AJ225*MAX(0,MIN($B$47-AL225,MIN($B$59,IRMAA!$C$16)-(AL225+$B$8*0.85+AK225*$B$46))),0)</f>
        <v>0</v>
      </c>
      <c r="AO225" cm="1">
        <f t="array" ref="AO225">_xlfn.LET(_xlpm.N,$B$49,_xlpm.R,$B$48,_xlpm.Start,$B$47,_xlpm.PlanWD,AL225,_xlpm.PlanRoth,AM225,_xlpm.PlanConv,AN225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19354.48</v>
      </c>
      <c r="AP225" cm="1">
        <f t="array" ref="AP225">_xlfn.LET(_xlpm.N,$B$49,_xlpm.R,$B$48,_xlpm.Start,$B$47,_xlpm.PlanWD,AL225,_xlpm.PlanRoth,AM225,_xlpm.PlanConv,AN225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225" cm="1">
        <f t="array" ref="AQ225">_xlfn.LET(_xlpm.N,$B$49,_xlpm.R,$B$48,_xlpm.Start,$B$47,_xlpm.PlanWD,AL225,_xlpm.PlanRoth,AM225,_xlpm.PlanConv,AN225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989231.64653082099</v>
      </c>
      <c r="AR225" cm="1">
        <f t="array" ref="AR225">_xlfn.LET(_xlpm.N,$B$49,_xlpm.R,$B$48,_xlpm.Start,$B$47,_xlpm.PlanWD,AL225,_xlpm.PlanRoth,AM225,_xlpm.PlanConv,AN225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1149037.1550534267</v>
      </c>
      <c r="AS225">
        <f>--AND(AK225&lt;=SUM('Retirement Gap'!$B$24:$B$25,'Retirement Gap'!$B$27),AL225+AN225&lt;=$B$47,AM225&lt;='Retirement Gap'!$B$29,ABS(AK225+AL225+AM225-$B$10)&lt;1)</f>
        <v>1</v>
      </c>
      <c r="AT225" cm="1">
        <f t="array" ref="AT225">IF(AS225=0,1E+99,_xlfn.SWITCH(LEFT($E$39,1),"1",AO225,"2",AP225*1000000000+AO225,"3",-AQ225,"4",AO225+AP225*25000+AR225*0.005-AQ225*0.0001,AO225))</f>
        <v>-989231.64653082099</v>
      </c>
    </row>
    <row r="226" spans="33:46" x14ac:dyDescent="0.55000000000000004">
      <c r="AG226">
        <f t="shared" si="30"/>
        <v>225</v>
      </c>
      <c r="AH226">
        <f t="shared" si="31"/>
        <v>0.3</v>
      </c>
      <c r="AI226">
        <f t="shared" si="32"/>
        <v>0.4</v>
      </c>
      <c r="AJ226">
        <f t="shared" si="33"/>
        <v>0.4</v>
      </c>
      <c r="AK226">
        <f t="shared" si="34"/>
        <v>31670.521633416487</v>
      </c>
      <c r="AL226">
        <f t="shared" si="35"/>
        <v>18223.2</v>
      </c>
      <c r="AM226">
        <f>MIN(MAX(0,$B$10-AL226)*AI226,'Retirement Gap'!$B$29)</f>
        <v>10850.278366583516</v>
      </c>
      <c r="AN226">
        <f>IF($E$40="B - Withdrawals + Roth conversions",AJ226*MAX(0,MIN($B$47-AL226,MIN($B$59,IRMAA!$C$16)-(AL226+$B$8*0.85+AK226*$B$46))),0)</f>
        <v>0</v>
      </c>
      <c r="AO226" cm="1">
        <f t="array" ref="AO226">_xlfn.LET(_xlpm.N,$B$49,_xlpm.R,$B$48,_xlpm.Start,$B$47,_xlpm.PlanWD,AL226,_xlpm.PlanRoth,AM226,_xlpm.PlanConv,AN226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19354.48</v>
      </c>
      <c r="AP226" cm="1">
        <f t="array" ref="AP226">_xlfn.LET(_xlpm.N,$B$49,_xlpm.R,$B$48,_xlpm.Start,$B$47,_xlpm.PlanWD,AL226,_xlpm.PlanRoth,AM226,_xlpm.PlanConv,AN226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226" cm="1">
        <f t="array" ref="AQ226">_xlfn.LET(_xlpm.N,$B$49,_xlpm.R,$B$48,_xlpm.Start,$B$47,_xlpm.PlanWD,AL226,_xlpm.PlanRoth,AM226,_xlpm.PlanConv,AN226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989231.64653082099</v>
      </c>
      <c r="AR226" cm="1">
        <f t="array" ref="AR226">_xlfn.LET(_xlpm.N,$B$49,_xlpm.R,$B$48,_xlpm.Start,$B$47,_xlpm.PlanWD,AL226,_xlpm.PlanRoth,AM226,_xlpm.PlanConv,AN226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1149037.1550534267</v>
      </c>
      <c r="AS226">
        <f>--AND(AK226&lt;=SUM('Retirement Gap'!$B$24:$B$25,'Retirement Gap'!$B$27),AL226+AN226&lt;=$B$47,AM226&lt;='Retirement Gap'!$B$29,ABS(AK226+AL226+AM226-$B$10)&lt;1)</f>
        <v>1</v>
      </c>
      <c r="AT226" cm="1">
        <f t="array" ref="AT226">IF(AS226=0,1E+99,_xlfn.SWITCH(LEFT($E$39,1),"1",AO226,"2",AP226*1000000000+AO226,"3",-AQ226,"4",AO226+AP226*25000+AR226*0.005-AQ226*0.0001,AO226))</f>
        <v>-989231.64653082099</v>
      </c>
    </row>
    <row r="227" spans="33:46" x14ac:dyDescent="0.55000000000000004">
      <c r="AG227">
        <f t="shared" si="30"/>
        <v>226</v>
      </c>
      <c r="AH227">
        <f t="shared" si="31"/>
        <v>0.3</v>
      </c>
      <c r="AI227">
        <f t="shared" si="32"/>
        <v>0.4</v>
      </c>
      <c r="AJ227">
        <f t="shared" si="33"/>
        <v>0.6</v>
      </c>
      <c r="AK227">
        <f t="shared" si="34"/>
        <v>31670.521633416487</v>
      </c>
      <c r="AL227">
        <f t="shared" si="35"/>
        <v>18223.2</v>
      </c>
      <c r="AM227">
        <f>MIN(MAX(0,$B$10-AL227)*AI227,'Retirement Gap'!$B$29)</f>
        <v>10850.278366583516</v>
      </c>
      <c r="AN227">
        <f>IF($E$40="B - Withdrawals + Roth conversions",AJ227*MAX(0,MIN($B$47-AL227,MIN($B$59,IRMAA!$C$16)-(AL227+$B$8*0.85+AK227*$B$46))),0)</f>
        <v>0</v>
      </c>
      <c r="AO227" cm="1">
        <f t="array" ref="AO227">_xlfn.LET(_xlpm.N,$B$49,_xlpm.R,$B$48,_xlpm.Start,$B$47,_xlpm.PlanWD,AL227,_xlpm.PlanRoth,AM227,_xlpm.PlanConv,AN227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19354.48</v>
      </c>
      <c r="AP227" cm="1">
        <f t="array" ref="AP227">_xlfn.LET(_xlpm.N,$B$49,_xlpm.R,$B$48,_xlpm.Start,$B$47,_xlpm.PlanWD,AL227,_xlpm.PlanRoth,AM227,_xlpm.PlanConv,AN227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227" cm="1">
        <f t="array" ref="AQ227">_xlfn.LET(_xlpm.N,$B$49,_xlpm.R,$B$48,_xlpm.Start,$B$47,_xlpm.PlanWD,AL227,_xlpm.PlanRoth,AM227,_xlpm.PlanConv,AN227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989231.64653082099</v>
      </c>
      <c r="AR227" cm="1">
        <f t="array" ref="AR227">_xlfn.LET(_xlpm.N,$B$49,_xlpm.R,$B$48,_xlpm.Start,$B$47,_xlpm.PlanWD,AL227,_xlpm.PlanRoth,AM227,_xlpm.PlanConv,AN227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1149037.1550534267</v>
      </c>
      <c r="AS227">
        <f>--AND(AK227&lt;=SUM('Retirement Gap'!$B$24:$B$25,'Retirement Gap'!$B$27),AL227+AN227&lt;=$B$47,AM227&lt;='Retirement Gap'!$B$29,ABS(AK227+AL227+AM227-$B$10)&lt;1)</f>
        <v>1</v>
      </c>
      <c r="AT227" cm="1">
        <f t="array" ref="AT227">IF(AS227=0,1E+99,_xlfn.SWITCH(LEFT($E$39,1),"1",AO227,"2",AP227*1000000000+AO227,"3",-AQ227,"4",AO227+AP227*25000+AR227*0.005-AQ227*0.0001,AO227))</f>
        <v>-989231.64653082099</v>
      </c>
    </row>
    <row r="228" spans="33:46" x14ac:dyDescent="0.55000000000000004">
      <c r="AG228">
        <f t="shared" si="30"/>
        <v>227</v>
      </c>
      <c r="AH228">
        <f t="shared" si="31"/>
        <v>0.3</v>
      </c>
      <c r="AI228">
        <f t="shared" si="32"/>
        <v>0.4</v>
      </c>
      <c r="AJ228">
        <f t="shared" si="33"/>
        <v>0.8</v>
      </c>
      <c r="AK228">
        <f t="shared" si="34"/>
        <v>31670.521633416487</v>
      </c>
      <c r="AL228">
        <f t="shared" si="35"/>
        <v>18223.2</v>
      </c>
      <c r="AM228">
        <f>MIN(MAX(0,$B$10-AL228)*AI228,'Retirement Gap'!$B$29)</f>
        <v>10850.278366583516</v>
      </c>
      <c r="AN228">
        <f>IF($E$40="B - Withdrawals + Roth conversions",AJ228*MAX(0,MIN($B$47-AL228,MIN($B$59,IRMAA!$C$16)-(AL228+$B$8*0.85+AK228*$B$46))),0)</f>
        <v>0</v>
      </c>
      <c r="AO228" cm="1">
        <f t="array" ref="AO228">_xlfn.LET(_xlpm.N,$B$49,_xlpm.R,$B$48,_xlpm.Start,$B$47,_xlpm.PlanWD,AL228,_xlpm.PlanRoth,AM228,_xlpm.PlanConv,AN228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19354.48</v>
      </c>
      <c r="AP228" cm="1">
        <f t="array" ref="AP228">_xlfn.LET(_xlpm.N,$B$49,_xlpm.R,$B$48,_xlpm.Start,$B$47,_xlpm.PlanWD,AL228,_xlpm.PlanRoth,AM228,_xlpm.PlanConv,AN228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228" cm="1">
        <f t="array" ref="AQ228">_xlfn.LET(_xlpm.N,$B$49,_xlpm.R,$B$48,_xlpm.Start,$B$47,_xlpm.PlanWD,AL228,_xlpm.PlanRoth,AM228,_xlpm.PlanConv,AN228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989231.64653082099</v>
      </c>
      <c r="AR228" cm="1">
        <f t="array" ref="AR228">_xlfn.LET(_xlpm.N,$B$49,_xlpm.R,$B$48,_xlpm.Start,$B$47,_xlpm.PlanWD,AL228,_xlpm.PlanRoth,AM228,_xlpm.PlanConv,AN228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1149037.1550534267</v>
      </c>
      <c r="AS228">
        <f>--AND(AK228&lt;=SUM('Retirement Gap'!$B$24:$B$25,'Retirement Gap'!$B$27),AL228+AN228&lt;=$B$47,AM228&lt;='Retirement Gap'!$B$29,ABS(AK228+AL228+AM228-$B$10)&lt;1)</f>
        <v>1</v>
      </c>
      <c r="AT228" cm="1">
        <f t="array" ref="AT228">IF(AS228=0,1E+99,_xlfn.SWITCH(LEFT($E$39,1),"1",AO228,"2",AP228*1000000000+AO228,"3",-AQ228,"4",AO228+AP228*25000+AR228*0.005-AQ228*0.0001,AO228))</f>
        <v>-989231.64653082099</v>
      </c>
    </row>
    <row r="229" spans="33:46" x14ac:dyDescent="0.55000000000000004">
      <c r="AG229">
        <f t="shared" si="30"/>
        <v>228</v>
      </c>
      <c r="AH229">
        <f t="shared" si="31"/>
        <v>0.3</v>
      </c>
      <c r="AI229">
        <f t="shared" si="32"/>
        <v>0.4</v>
      </c>
      <c r="AJ229">
        <f t="shared" si="33"/>
        <v>1</v>
      </c>
      <c r="AK229">
        <f t="shared" si="34"/>
        <v>31670.521633416487</v>
      </c>
      <c r="AL229">
        <f t="shared" si="35"/>
        <v>18223.2</v>
      </c>
      <c r="AM229">
        <f>MIN(MAX(0,$B$10-AL229)*AI229,'Retirement Gap'!$B$29)</f>
        <v>10850.278366583516</v>
      </c>
      <c r="AN229">
        <f>IF($E$40="B - Withdrawals + Roth conversions",AJ229*MAX(0,MIN($B$47-AL229,MIN($B$59,IRMAA!$C$16)-(AL229+$B$8*0.85+AK229*$B$46))),0)</f>
        <v>0</v>
      </c>
      <c r="AO229" cm="1">
        <f t="array" ref="AO229">_xlfn.LET(_xlpm.N,$B$49,_xlpm.R,$B$48,_xlpm.Start,$B$47,_xlpm.PlanWD,AL229,_xlpm.PlanRoth,AM229,_xlpm.PlanConv,AN229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19354.48</v>
      </c>
      <c r="AP229" cm="1">
        <f t="array" ref="AP229">_xlfn.LET(_xlpm.N,$B$49,_xlpm.R,$B$48,_xlpm.Start,$B$47,_xlpm.PlanWD,AL229,_xlpm.PlanRoth,AM229,_xlpm.PlanConv,AN229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229" cm="1">
        <f t="array" ref="AQ229">_xlfn.LET(_xlpm.N,$B$49,_xlpm.R,$B$48,_xlpm.Start,$B$47,_xlpm.PlanWD,AL229,_xlpm.PlanRoth,AM229,_xlpm.PlanConv,AN229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989231.64653082099</v>
      </c>
      <c r="AR229" cm="1">
        <f t="array" ref="AR229">_xlfn.LET(_xlpm.N,$B$49,_xlpm.R,$B$48,_xlpm.Start,$B$47,_xlpm.PlanWD,AL229,_xlpm.PlanRoth,AM229,_xlpm.PlanConv,AN229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1149037.1550534267</v>
      </c>
      <c r="AS229">
        <f>--AND(AK229&lt;=SUM('Retirement Gap'!$B$24:$B$25,'Retirement Gap'!$B$27),AL229+AN229&lt;=$B$47,AM229&lt;='Retirement Gap'!$B$29,ABS(AK229+AL229+AM229-$B$10)&lt;1)</f>
        <v>1</v>
      </c>
      <c r="AT229" cm="1">
        <f t="array" ref="AT229">IF(AS229=0,1E+99,_xlfn.SWITCH(LEFT($E$39,1),"1",AO229,"2",AP229*1000000000+AO229,"3",-AQ229,"4",AO229+AP229*25000+AR229*0.005-AQ229*0.0001,AO229))</f>
        <v>-989231.64653082099</v>
      </c>
    </row>
    <row r="230" spans="33:46" x14ac:dyDescent="0.55000000000000004">
      <c r="AG230">
        <f t="shared" si="30"/>
        <v>229</v>
      </c>
      <c r="AH230">
        <f t="shared" si="31"/>
        <v>0.3</v>
      </c>
      <c r="AI230">
        <f t="shared" si="32"/>
        <v>0.5</v>
      </c>
      <c r="AJ230">
        <f t="shared" si="33"/>
        <v>0</v>
      </c>
      <c r="AK230">
        <f t="shared" si="34"/>
        <v>31670.521633416487</v>
      </c>
      <c r="AL230">
        <f t="shared" si="35"/>
        <v>18223.2</v>
      </c>
      <c r="AM230">
        <f>MIN(MAX(0,$B$10-AL230)*AI230,'Retirement Gap'!$B$29)</f>
        <v>10850.278366583516</v>
      </c>
      <c r="AN230">
        <f>IF($E$40="B - Withdrawals + Roth conversions",AJ230*MAX(0,MIN($B$47-AL230,MIN($B$59,IRMAA!$C$16)-(AL230+$B$8*0.85+AK230*$B$46))),0)</f>
        <v>0</v>
      </c>
      <c r="AO230" cm="1">
        <f t="array" ref="AO230">_xlfn.LET(_xlpm.N,$B$49,_xlpm.R,$B$48,_xlpm.Start,$B$47,_xlpm.PlanWD,AL230,_xlpm.PlanRoth,AM230,_xlpm.PlanConv,AN230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19354.48</v>
      </c>
      <c r="AP230" cm="1">
        <f t="array" ref="AP230">_xlfn.LET(_xlpm.N,$B$49,_xlpm.R,$B$48,_xlpm.Start,$B$47,_xlpm.PlanWD,AL230,_xlpm.PlanRoth,AM230,_xlpm.PlanConv,AN230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230" cm="1">
        <f t="array" ref="AQ230">_xlfn.LET(_xlpm.N,$B$49,_xlpm.R,$B$48,_xlpm.Start,$B$47,_xlpm.PlanWD,AL230,_xlpm.PlanRoth,AM230,_xlpm.PlanConv,AN230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989231.64653082099</v>
      </c>
      <c r="AR230" cm="1">
        <f t="array" ref="AR230">_xlfn.LET(_xlpm.N,$B$49,_xlpm.R,$B$48,_xlpm.Start,$B$47,_xlpm.PlanWD,AL230,_xlpm.PlanRoth,AM230,_xlpm.PlanConv,AN230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1149037.1550534267</v>
      </c>
      <c r="AS230">
        <f>--AND(AK230&lt;=SUM('Retirement Gap'!$B$24:$B$25,'Retirement Gap'!$B$27),AL230+AN230&lt;=$B$47,AM230&lt;='Retirement Gap'!$B$29,ABS(AK230+AL230+AM230-$B$10)&lt;1)</f>
        <v>1</v>
      </c>
      <c r="AT230" cm="1">
        <f t="array" ref="AT230">IF(AS230=0,1E+99,_xlfn.SWITCH(LEFT($E$39,1),"1",AO230,"2",AP230*1000000000+AO230,"3",-AQ230,"4",AO230+AP230*25000+AR230*0.005-AQ230*0.0001,AO230))</f>
        <v>-989231.64653082099</v>
      </c>
    </row>
    <row r="231" spans="33:46" x14ac:dyDescent="0.55000000000000004">
      <c r="AG231">
        <f t="shared" si="30"/>
        <v>230</v>
      </c>
      <c r="AH231">
        <f t="shared" si="31"/>
        <v>0.3</v>
      </c>
      <c r="AI231">
        <f t="shared" si="32"/>
        <v>0.5</v>
      </c>
      <c r="AJ231">
        <f t="shared" si="33"/>
        <v>0.2</v>
      </c>
      <c r="AK231">
        <f t="shared" si="34"/>
        <v>31670.521633416487</v>
      </c>
      <c r="AL231">
        <f t="shared" si="35"/>
        <v>18223.2</v>
      </c>
      <c r="AM231">
        <f>MIN(MAX(0,$B$10-AL231)*AI231,'Retirement Gap'!$B$29)</f>
        <v>10850.278366583516</v>
      </c>
      <c r="AN231">
        <f>IF($E$40="B - Withdrawals + Roth conversions",AJ231*MAX(0,MIN($B$47-AL231,MIN($B$59,IRMAA!$C$16)-(AL231+$B$8*0.85+AK231*$B$46))),0)</f>
        <v>0</v>
      </c>
      <c r="AO231" cm="1">
        <f t="array" ref="AO231">_xlfn.LET(_xlpm.N,$B$49,_xlpm.R,$B$48,_xlpm.Start,$B$47,_xlpm.PlanWD,AL231,_xlpm.PlanRoth,AM231,_xlpm.PlanConv,AN231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19354.48</v>
      </c>
      <c r="AP231" cm="1">
        <f t="array" ref="AP231">_xlfn.LET(_xlpm.N,$B$49,_xlpm.R,$B$48,_xlpm.Start,$B$47,_xlpm.PlanWD,AL231,_xlpm.PlanRoth,AM231,_xlpm.PlanConv,AN231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231" cm="1">
        <f t="array" ref="AQ231">_xlfn.LET(_xlpm.N,$B$49,_xlpm.R,$B$48,_xlpm.Start,$B$47,_xlpm.PlanWD,AL231,_xlpm.PlanRoth,AM231,_xlpm.PlanConv,AN231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989231.64653082099</v>
      </c>
      <c r="AR231" cm="1">
        <f t="array" ref="AR231">_xlfn.LET(_xlpm.N,$B$49,_xlpm.R,$B$48,_xlpm.Start,$B$47,_xlpm.PlanWD,AL231,_xlpm.PlanRoth,AM231,_xlpm.PlanConv,AN231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1149037.1550534267</v>
      </c>
      <c r="AS231">
        <f>--AND(AK231&lt;=SUM('Retirement Gap'!$B$24:$B$25,'Retirement Gap'!$B$27),AL231+AN231&lt;=$B$47,AM231&lt;='Retirement Gap'!$B$29,ABS(AK231+AL231+AM231-$B$10)&lt;1)</f>
        <v>1</v>
      </c>
      <c r="AT231" cm="1">
        <f t="array" ref="AT231">IF(AS231=0,1E+99,_xlfn.SWITCH(LEFT($E$39,1),"1",AO231,"2",AP231*1000000000+AO231,"3",-AQ231,"4",AO231+AP231*25000+AR231*0.005-AQ231*0.0001,AO231))</f>
        <v>-989231.64653082099</v>
      </c>
    </row>
    <row r="232" spans="33:46" x14ac:dyDescent="0.55000000000000004">
      <c r="AG232">
        <f t="shared" si="30"/>
        <v>231</v>
      </c>
      <c r="AH232">
        <f t="shared" si="31"/>
        <v>0.3</v>
      </c>
      <c r="AI232">
        <f t="shared" si="32"/>
        <v>0.5</v>
      </c>
      <c r="AJ232">
        <f t="shared" si="33"/>
        <v>0.4</v>
      </c>
      <c r="AK232">
        <f t="shared" si="34"/>
        <v>31670.521633416487</v>
      </c>
      <c r="AL232">
        <f t="shared" si="35"/>
        <v>18223.2</v>
      </c>
      <c r="AM232">
        <f>MIN(MAX(0,$B$10-AL232)*AI232,'Retirement Gap'!$B$29)</f>
        <v>10850.278366583516</v>
      </c>
      <c r="AN232">
        <f>IF($E$40="B - Withdrawals + Roth conversions",AJ232*MAX(0,MIN($B$47-AL232,MIN($B$59,IRMAA!$C$16)-(AL232+$B$8*0.85+AK232*$B$46))),0)</f>
        <v>0</v>
      </c>
      <c r="AO232" cm="1">
        <f t="array" ref="AO232">_xlfn.LET(_xlpm.N,$B$49,_xlpm.R,$B$48,_xlpm.Start,$B$47,_xlpm.PlanWD,AL232,_xlpm.PlanRoth,AM232,_xlpm.PlanConv,AN232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19354.48</v>
      </c>
      <c r="AP232" cm="1">
        <f t="array" ref="AP232">_xlfn.LET(_xlpm.N,$B$49,_xlpm.R,$B$48,_xlpm.Start,$B$47,_xlpm.PlanWD,AL232,_xlpm.PlanRoth,AM232,_xlpm.PlanConv,AN232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232" cm="1">
        <f t="array" ref="AQ232">_xlfn.LET(_xlpm.N,$B$49,_xlpm.R,$B$48,_xlpm.Start,$B$47,_xlpm.PlanWD,AL232,_xlpm.PlanRoth,AM232,_xlpm.PlanConv,AN232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989231.64653082099</v>
      </c>
      <c r="AR232" cm="1">
        <f t="array" ref="AR232">_xlfn.LET(_xlpm.N,$B$49,_xlpm.R,$B$48,_xlpm.Start,$B$47,_xlpm.PlanWD,AL232,_xlpm.PlanRoth,AM232,_xlpm.PlanConv,AN232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1149037.1550534267</v>
      </c>
      <c r="AS232">
        <f>--AND(AK232&lt;=SUM('Retirement Gap'!$B$24:$B$25,'Retirement Gap'!$B$27),AL232+AN232&lt;=$B$47,AM232&lt;='Retirement Gap'!$B$29,ABS(AK232+AL232+AM232-$B$10)&lt;1)</f>
        <v>1</v>
      </c>
      <c r="AT232" cm="1">
        <f t="array" ref="AT232">IF(AS232=0,1E+99,_xlfn.SWITCH(LEFT($E$39,1),"1",AO232,"2",AP232*1000000000+AO232,"3",-AQ232,"4",AO232+AP232*25000+AR232*0.005-AQ232*0.0001,AO232))</f>
        <v>-989231.64653082099</v>
      </c>
    </row>
    <row r="233" spans="33:46" x14ac:dyDescent="0.55000000000000004">
      <c r="AG233">
        <f t="shared" si="30"/>
        <v>232</v>
      </c>
      <c r="AH233">
        <f t="shared" si="31"/>
        <v>0.3</v>
      </c>
      <c r="AI233">
        <f t="shared" si="32"/>
        <v>0.5</v>
      </c>
      <c r="AJ233">
        <f t="shared" si="33"/>
        <v>0.6</v>
      </c>
      <c r="AK233">
        <f t="shared" si="34"/>
        <v>31670.521633416487</v>
      </c>
      <c r="AL233">
        <f t="shared" si="35"/>
        <v>18223.2</v>
      </c>
      <c r="AM233">
        <f>MIN(MAX(0,$B$10-AL233)*AI233,'Retirement Gap'!$B$29)</f>
        <v>10850.278366583516</v>
      </c>
      <c r="AN233">
        <f>IF($E$40="B - Withdrawals + Roth conversions",AJ233*MAX(0,MIN($B$47-AL233,MIN($B$59,IRMAA!$C$16)-(AL233+$B$8*0.85+AK233*$B$46))),0)</f>
        <v>0</v>
      </c>
      <c r="AO233" cm="1">
        <f t="array" ref="AO233">_xlfn.LET(_xlpm.N,$B$49,_xlpm.R,$B$48,_xlpm.Start,$B$47,_xlpm.PlanWD,AL233,_xlpm.PlanRoth,AM233,_xlpm.PlanConv,AN233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19354.48</v>
      </c>
      <c r="AP233" cm="1">
        <f t="array" ref="AP233">_xlfn.LET(_xlpm.N,$B$49,_xlpm.R,$B$48,_xlpm.Start,$B$47,_xlpm.PlanWD,AL233,_xlpm.PlanRoth,AM233,_xlpm.PlanConv,AN233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233" cm="1">
        <f t="array" ref="AQ233">_xlfn.LET(_xlpm.N,$B$49,_xlpm.R,$B$48,_xlpm.Start,$B$47,_xlpm.PlanWD,AL233,_xlpm.PlanRoth,AM233,_xlpm.PlanConv,AN233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989231.64653082099</v>
      </c>
      <c r="AR233" cm="1">
        <f t="array" ref="AR233">_xlfn.LET(_xlpm.N,$B$49,_xlpm.R,$B$48,_xlpm.Start,$B$47,_xlpm.PlanWD,AL233,_xlpm.PlanRoth,AM233,_xlpm.PlanConv,AN233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1149037.1550534267</v>
      </c>
      <c r="AS233">
        <f>--AND(AK233&lt;=SUM('Retirement Gap'!$B$24:$B$25,'Retirement Gap'!$B$27),AL233+AN233&lt;=$B$47,AM233&lt;='Retirement Gap'!$B$29,ABS(AK233+AL233+AM233-$B$10)&lt;1)</f>
        <v>1</v>
      </c>
      <c r="AT233" cm="1">
        <f t="array" ref="AT233">IF(AS233=0,1E+99,_xlfn.SWITCH(LEFT($E$39,1),"1",AO233,"2",AP233*1000000000+AO233,"3",-AQ233,"4",AO233+AP233*25000+AR233*0.005-AQ233*0.0001,AO233))</f>
        <v>-989231.64653082099</v>
      </c>
    </row>
    <row r="234" spans="33:46" x14ac:dyDescent="0.55000000000000004">
      <c r="AG234">
        <f t="shared" si="30"/>
        <v>233</v>
      </c>
      <c r="AH234">
        <f t="shared" si="31"/>
        <v>0.3</v>
      </c>
      <c r="AI234">
        <f t="shared" si="32"/>
        <v>0.5</v>
      </c>
      <c r="AJ234">
        <f t="shared" si="33"/>
        <v>0.8</v>
      </c>
      <c r="AK234">
        <f t="shared" si="34"/>
        <v>31670.521633416487</v>
      </c>
      <c r="AL234">
        <f t="shared" si="35"/>
        <v>18223.2</v>
      </c>
      <c r="AM234">
        <f>MIN(MAX(0,$B$10-AL234)*AI234,'Retirement Gap'!$B$29)</f>
        <v>10850.278366583516</v>
      </c>
      <c r="AN234">
        <f>IF($E$40="B - Withdrawals + Roth conversions",AJ234*MAX(0,MIN($B$47-AL234,MIN($B$59,IRMAA!$C$16)-(AL234+$B$8*0.85+AK234*$B$46))),0)</f>
        <v>0</v>
      </c>
      <c r="AO234" cm="1">
        <f t="array" ref="AO234">_xlfn.LET(_xlpm.N,$B$49,_xlpm.R,$B$48,_xlpm.Start,$B$47,_xlpm.PlanWD,AL234,_xlpm.PlanRoth,AM234,_xlpm.PlanConv,AN234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19354.48</v>
      </c>
      <c r="AP234" cm="1">
        <f t="array" ref="AP234">_xlfn.LET(_xlpm.N,$B$49,_xlpm.R,$B$48,_xlpm.Start,$B$47,_xlpm.PlanWD,AL234,_xlpm.PlanRoth,AM234,_xlpm.PlanConv,AN234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234" cm="1">
        <f t="array" ref="AQ234">_xlfn.LET(_xlpm.N,$B$49,_xlpm.R,$B$48,_xlpm.Start,$B$47,_xlpm.PlanWD,AL234,_xlpm.PlanRoth,AM234,_xlpm.PlanConv,AN234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989231.64653082099</v>
      </c>
      <c r="AR234" cm="1">
        <f t="array" ref="AR234">_xlfn.LET(_xlpm.N,$B$49,_xlpm.R,$B$48,_xlpm.Start,$B$47,_xlpm.PlanWD,AL234,_xlpm.PlanRoth,AM234,_xlpm.PlanConv,AN234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1149037.1550534267</v>
      </c>
      <c r="AS234">
        <f>--AND(AK234&lt;=SUM('Retirement Gap'!$B$24:$B$25,'Retirement Gap'!$B$27),AL234+AN234&lt;=$B$47,AM234&lt;='Retirement Gap'!$B$29,ABS(AK234+AL234+AM234-$B$10)&lt;1)</f>
        <v>1</v>
      </c>
      <c r="AT234" cm="1">
        <f t="array" ref="AT234">IF(AS234=0,1E+99,_xlfn.SWITCH(LEFT($E$39,1),"1",AO234,"2",AP234*1000000000+AO234,"3",-AQ234,"4",AO234+AP234*25000+AR234*0.005-AQ234*0.0001,AO234))</f>
        <v>-989231.64653082099</v>
      </c>
    </row>
    <row r="235" spans="33:46" x14ac:dyDescent="0.55000000000000004">
      <c r="AG235">
        <f t="shared" si="30"/>
        <v>234</v>
      </c>
      <c r="AH235">
        <f t="shared" si="31"/>
        <v>0.3</v>
      </c>
      <c r="AI235">
        <f t="shared" si="32"/>
        <v>0.5</v>
      </c>
      <c r="AJ235">
        <f t="shared" si="33"/>
        <v>1</v>
      </c>
      <c r="AK235">
        <f t="shared" si="34"/>
        <v>31670.521633416487</v>
      </c>
      <c r="AL235">
        <f t="shared" si="35"/>
        <v>18223.2</v>
      </c>
      <c r="AM235">
        <f>MIN(MAX(0,$B$10-AL235)*AI235,'Retirement Gap'!$B$29)</f>
        <v>10850.278366583516</v>
      </c>
      <c r="AN235">
        <f>IF($E$40="B - Withdrawals + Roth conversions",AJ235*MAX(0,MIN($B$47-AL235,MIN($B$59,IRMAA!$C$16)-(AL235+$B$8*0.85+AK235*$B$46))),0)</f>
        <v>0</v>
      </c>
      <c r="AO235" cm="1">
        <f t="array" ref="AO235">_xlfn.LET(_xlpm.N,$B$49,_xlpm.R,$B$48,_xlpm.Start,$B$47,_xlpm.PlanWD,AL235,_xlpm.PlanRoth,AM235,_xlpm.PlanConv,AN235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19354.48</v>
      </c>
      <c r="AP235" cm="1">
        <f t="array" ref="AP235">_xlfn.LET(_xlpm.N,$B$49,_xlpm.R,$B$48,_xlpm.Start,$B$47,_xlpm.PlanWD,AL235,_xlpm.PlanRoth,AM235,_xlpm.PlanConv,AN235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235" cm="1">
        <f t="array" ref="AQ235">_xlfn.LET(_xlpm.N,$B$49,_xlpm.R,$B$48,_xlpm.Start,$B$47,_xlpm.PlanWD,AL235,_xlpm.PlanRoth,AM235,_xlpm.PlanConv,AN235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989231.64653082099</v>
      </c>
      <c r="AR235" cm="1">
        <f t="array" ref="AR235">_xlfn.LET(_xlpm.N,$B$49,_xlpm.R,$B$48,_xlpm.Start,$B$47,_xlpm.PlanWD,AL235,_xlpm.PlanRoth,AM235,_xlpm.PlanConv,AN235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1149037.1550534267</v>
      </c>
      <c r="AS235">
        <f>--AND(AK235&lt;=SUM('Retirement Gap'!$B$24:$B$25,'Retirement Gap'!$B$27),AL235+AN235&lt;=$B$47,AM235&lt;='Retirement Gap'!$B$29,ABS(AK235+AL235+AM235-$B$10)&lt;1)</f>
        <v>1</v>
      </c>
      <c r="AT235" cm="1">
        <f t="array" ref="AT235">IF(AS235=0,1E+99,_xlfn.SWITCH(LEFT($E$39,1),"1",AO235,"2",AP235*1000000000+AO235,"3",-AQ235,"4",AO235+AP235*25000+AR235*0.005-AQ235*0.0001,AO235))</f>
        <v>-989231.64653082099</v>
      </c>
    </row>
    <row r="236" spans="33:46" x14ac:dyDescent="0.55000000000000004">
      <c r="AG236">
        <f t="shared" si="30"/>
        <v>235</v>
      </c>
      <c r="AH236">
        <f t="shared" si="31"/>
        <v>0.3</v>
      </c>
      <c r="AI236">
        <f t="shared" si="32"/>
        <v>0.6</v>
      </c>
      <c r="AJ236">
        <f t="shared" si="33"/>
        <v>0</v>
      </c>
      <c r="AK236">
        <f t="shared" si="34"/>
        <v>31670.521633416487</v>
      </c>
      <c r="AL236">
        <f t="shared" si="35"/>
        <v>18223.2</v>
      </c>
      <c r="AM236">
        <f>MIN(MAX(0,$B$10-AL236)*AI236,'Retirement Gap'!$B$29)</f>
        <v>10850.278366583516</v>
      </c>
      <c r="AN236">
        <f>IF($E$40="B - Withdrawals + Roth conversions",AJ236*MAX(0,MIN($B$47-AL236,MIN($B$59,IRMAA!$C$16)-(AL236+$B$8*0.85+AK236*$B$46))),0)</f>
        <v>0</v>
      </c>
      <c r="AO236" cm="1">
        <f t="array" ref="AO236">_xlfn.LET(_xlpm.N,$B$49,_xlpm.R,$B$48,_xlpm.Start,$B$47,_xlpm.PlanWD,AL236,_xlpm.PlanRoth,AM236,_xlpm.PlanConv,AN236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19354.48</v>
      </c>
      <c r="AP236" cm="1">
        <f t="array" ref="AP236">_xlfn.LET(_xlpm.N,$B$49,_xlpm.R,$B$48,_xlpm.Start,$B$47,_xlpm.PlanWD,AL236,_xlpm.PlanRoth,AM236,_xlpm.PlanConv,AN236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236" cm="1">
        <f t="array" ref="AQ236">_xlfn.LET(_xlpm.N,$B$49,_xlpm.R,$B$48,_xlpm.Start,$B$47,_xlpm.PlanWD,AL236,_xlpm.PlanRoth,AM236,_xlpm.PlanConv,AN236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989231.64653082099</v>
      </c>
      <c r="AR236" cm="1">
        <f t="array" ref="AR236">_xlfn.LET(_xlpm.N,$B$49,_xlpm.R,$B$48,_xlpm.Start,$B$47,_xlpm.PlanWD,AL236,_xlpm.PlanRoth,AM236,_xlpm.PlanConv,AN236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1149037.1550534267</v>
      </c>
      <c r="AS236">
        <f>--AND(AK236&lt;=SUM('Retirement Gap'!$B$24:$B$25,'Retirement Gap'!$B$27),AL236+AN236&lt;=$B$47,AM236&lt;='Retirement Gap'!$B$29,ABS(AK236+AL236+AM236-$B$10)&lt;1)</f>
        <v>1</v>
      </c>
      <c r="AT236" cm="1">
        <f t="array" ref="AT236">IF(AS236=0,1E+99,_xlfn.SWITCH(LEFT($E$39,1),"1",AO236,"2",AP236*1000000000+AO236,"3",-AQ236,"4",AO236+AP236*25000+AR236*0.005-AQ236*0.0001,AO236))</f>
        <v>-989231.64653082099</v>
      </c>
    </row>
    <row r="237" spans="33:46" x14ac:dyDescent="0.55000000000000004">
      <c r="AG237">
        <f t="shared" si="30"/>
        <v>236</v>
      </c>
      <c r="AH237">
        <f t="shared" si="31"/>
        <v>0.3</v>
      </c>
      <c r="AI237">
        <f t="shared" si="32"/>
        <v>0.6</v>
      </c>
      <c r="AJ237">
        <f t="shared" si="33"/>
        <v>0.2</v>
      </c>
      <c r="AK237">
        <f t="shared" si="34"/>
        <v>31670.521633416487</v>
      </c>
      <c r="AL237">
        <f t="shared" si="35"/>
        <v>18223.2</v>
      </c>
      <c r="AM237">
        <f>MIN(MAX(0,$B$10-AL237)*AI237,'Retirement Gap'!$B$29)</f>
        <v>10850.278366583516</v>
      </c>
      <c r="AN237">
        <f>IF($E$40="B - Withdrawals + Roth conversions",AJ237*MAX(0,MIN($B$47-AL237,MIN($B$59,IRMAA!$C$16)-(AL237+$B$8*0.85+AK237*$B$46))),0)</f>
        <v>0</v>
      </c>
      <c r="AO237" cm="1">
        <f t="array" ref="AO237">_xlfn.LET(_xlpm.N,$B$49,_xlpm.R,$B$48,_xlpm.Start,$B$47,_xlpm.PlanWD,AL237,_xlpm.PlanRoth,AM237,_xlpm.PlanConv,AN237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19354.48</v>
      </c>
      <c r="AP237" cm="1">
        <f t="array" ref="AP237">_xlfn.LET(_xlpm.N,$B$49,_xlpm.R,$B$48,_xlpm.Start,$B$47,_xlpm.PlanWD,AL237,_xlpm.PlanRoth,AM237,_xlpm.PlanConv,AN237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237" cm="1">
        <f t="array" ref="AQ237">_xlfn.LET(_xlpm.N,$B$49,_xlpm.R,$B$48,_xlpm.Start,$B$47,_xlpm.PlanWD,AL237,_xlpm.PlanRoth,AM237,_xlpm.PlanConv,AN237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989231.64653082099</v>
      </c>
      <c r="AR237" cm="1">
        <f t="array" ref="AR237">_xlfn.LET(_xlpm.N,$B$49,_xlpm.R,$B$48,_xlpm.Start,$B$47,_xlpm.PlanWD,AL237,_xlpm.PlanRoth,AM237,_xlpm.PlanConv,AN237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1149037.1550534267</v>
      </c>
      <c r="AS237">
        <f>--AND(AK237&lt;=SUM('Retirement Gap'!$B$24:$B$25,'Retirement Gap'!$B$27),AL237+AN237&lt;=$B$47,AM237&lt;='Retirement Gap'!$B$29,ABS(AK237+AL237+AM237-$B$10)&lt;1)</f>
        <v>1</v>
      </c>
      <c r="AT237" cm="1">
        <f t="array" ref="AT237">IF(AS237=0,1E+99,_xlfn.SWITCH(LEFT($E$39,1),"1",AO237,"2",AP237*1000000000+AO237,"3",-AQ237,"4",AO237+AP237*25000+AR237*0.005-AQ237*0.0001,AO237))</f>
        <v>-989231.64653082099</v>
      </c>
    </row>
    <row r="238" spans="33:46" x14ac:dyDescent="0.55000000000000004">
      <c r="AG238">
        <f t="shared" si="30"/>
        <v>237</v>
      </c>
      <c r="AH238">
        <f t="shared" si="31"/>
        <v>0.3</v>
      </c>
      <c r="AI238">
        <f t="shared" si="32"/>
        <v>0.6</v>
      </c>
      <c r="AJ238">
        <f t="shared" si="33"/>
        <v>0.4</v>
      </c>
      <c r="AK238">
        <f t="shared" si="34"/>
        <v>31670.521633416487</v>
      </c>
      <c r="AL238">
        <f t="shared" si="35"/>
        <v>18223.2</v>
      </c>
      <c r="AM238">
        <f>MIN(MAX(0,$B$10-AL238)*AI238,'Retirement Gap'!$B$29)</f>
        <v>10850.278366583516</v>
      </c>
      <c r="AN238">
        <f>IF($E$40="B - Withdrawals + Roth conversions",AJ238*MAX(0,MIN($B$47-AL238,MIN($B$59,IRMAA!$C$16)-(AL238+$B$8*0.85+AK238*$B$46))),0)</f>
        <v>0</v>
      </c>
      <c r="AO238" cm="1">
        <f t="array" ref="AO238">_xlfn.LET(_xlpm.N,$B$49,_xlpm.R,$B$48,_xlpm.Start,$B$47,_xlpm.PlanWD,AL238,_xlpm.PlanRoth,AM238,_xlpm.PlanConv,AN238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19354.48</v>
      </c>
      <c r="AP238" cm="1">
        <f t="array" ref="AP238">_xlfn.LET(_xlpm.N,$B$49,_xlpm.R,$B$48,_xlpm.Start,$B$47,_xlpm.PlanWD,AL238,_xlpm.PlanRoth,AM238,_xlpm.PlanConv,AN238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238" cm="1">
        <f t="array" ref="AQ238">_xlfn.LET(_xlpm.N,$B$49,_xlpm.R,$B$48,_xlpm.Start,$B$47,_xlpm.PlanWD,AL238,_xlpm.PlanRoth,AM238,_xlpm.PlanConv,AN238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989231.64653082099</v>
      </c>
      <c r="AR238" cm="1">
        <f t="array" ref="AR238">_xlfn.LET(_xlpm.N,$B$49,_xlpm.R,$B$48,_xlpm.Start,$B$47,_xlpm.PlanWD,AL238,_xlpm.PlanRoth,AM238,_xlpm.PlanConv,AN238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1149037.1550534267</v>
      </c>
      <c r="AS238">
        <f>--AND(AK238&lt;=SUM('Retirement Gap'!$B$24:$B$25,'Retirement Gap'!$B$27),AL238+AN238&lt;=$B$47,AM238&lt;='Retirement Gap'!$B$29,ABS(AK238+AL238+AM238-$B$10)&lt;1)</f>
        <v>1</v>
      </c>
      <c r="AT238" cm="1">
        <f t="array" ref="AT238">IF(AS238=0,1E+99,_xlfn.SWITCH(LEFT($E$39,1),"1",AO238,"2",AP238*1000000000+AO238,"3",-AQ238,"4",AO238+AP238*25000+AR238*0.005-AQ238*0.0001,AO238))</f>
        <v>-989231.64653082099</v>
      </c>
    </row>
    <row r="239" spans="33:46" x14ac:dyDescent="0.55000000000000004">
      <c r="AG239">
        <f t="shared" si="30"/>
        <v>238</v>
      </c>
      <c r="AH239">
        <f t="shared" si="31"/>
        <v>0.3</v>
      </c>
      <c r="AI239">
        <f t="shared" si="32"/>
        <v>0.6</v>
      </c>
      <c r="AJ239">
        <f t="shared" si="33"/>
        <v>0.6</v>
      </c>
      <c r="AK239">
        <f t="shared" si="34"/>
        <v>31670.521633416487</v>
      </c>
      <c r="AL239">
        <f t="shared" si="35"/>
        <v>18223.2</v>
      </c>
      <c r="AM239">
        <f>MIN(MAX(0,$B$10-AL239)*AI239,'Retirement Gap'!$B$29)</f>
        <v>10850.278366583516</v>
      </c>
      <c r="AN239">
        <f>IF($E$40="B - Withdrawals + Roth conversions",AJ239*MAX(0,MIN($B$47-AL239,MIN($B$59,IRMAA!$C$16)-(AL239+$B$8*0.85+AK239*$B$46))),0)</f>
        <v>0</v>
      </c>
      <c r="AO239" cm="1">
        <f t="array" ref="AO239">_xlfn.LET(_xlpm.N,$B$49,_xlpm.R,$B$48,_xlpm.Start,$B$47,_xlpm.PlanWD,AL239,_xlpm.PlanRoth,AM239,_xlpm.PlanConv,AN239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19354.48</v>
      </c>
      <c r="AP239" cm="1">
        <f t="array" ref="AP239">_xlfn.LET(_xlpm.N,$B$49,_xlpm.R,$B$48,_xlpm.Start,$B$47,_xlpm.PlanWD,AL239,_xlpm.PlanRoth,AM239,_xlpm.PlanConv,AN239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239" cm="1">
        <f t="array" ref="AQ239">_xlfn.LET(_xlpm.N,$B$49,_xlpm.R,$B$48,_xlpm.Start,$B$47,_xlpm.PlanWD,AL239,_xlpm.PlanRoth,AM239,_xlpm.PlanConv,AN239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989231.64653082099</v>
      </c>
      <c r="AR239" cm="1">
        <f t="array" ref="AR239">_xlfn.LET(_xlpm.N,$B$49,_xlpm.R,$B$48,_xlpm.Start,$B$47,_xlpm.PlanWD,AL239,_xlpm.PlanRoth,AM239,_xlpm.PlanConv,AN239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1149037.1550534267</v>
      </c>
      <c r="AS239">
        <f>--AND(AK239&lt;=SUM('Retirement Gap'!$B$24:$B$25,'Retirement Gap'!$B$27),AL239+AN239&lt;=$B$47,AM239&lt;='Retirement Gap'!$B$29,ABS(AK239+AL239+AM239-$B$10)&lt;1)</f>
        <v>1</v>
      </c>
      <c r="AT239" cm="1">
        <f t="array" ref="AT239">IF(AS239=0,1E+99,_xlfn.SWITCH(LEFT($E$39,1),"1",AO239,"2",AP239*1000000000+AO239,"3",-AQ239,"4",AO239+AP239*25000+AR239*0.005-AQ239*0.0001,AO239))</f>
        <v>-989231.64653082099</v>
      </c>
    </row>
    <row r="240" spans="33:46" x14ac:dyDescent="0.55000000000000004">
      <c r="AG240">
        <f t="shared" si="30"/>
        <v>239</v>
      </c>
      <c r="AH240">
        <f t="shared" si="31"/>
        <v>0.3</v>
      </c>
      <c r="AI240">
        <f t="shared" si="32"/>
        <v>0.6</v>
      </c>
      <c r="AJ240">
        <f t="shared" si="33"/>
        <v>0.8</v>
      </c>
      <c r="AK240">
        <f t="shared" si="34"/>
        <v>31670.521633416487</v>
      </c>
      <c r="AL240">
        <f t="shared" si="35"/>
        <v>18223.2</v>
      </c>
      <c r="AM240">
        <f>MIN(MAX(0,$B$10-AL240)*AI240,'Retirement Gap'!$B$29)</f>
        <v>10850.278366583516</v>
      </c>
      <c r="AN240">
        <f>IF($E$40="B - Withdrawals + Roth conversions",AJ240*MAX(0,MIN($B$47-AL240,MIN($B$59,IRMAA!$C$16)-(AL240+$B$8*0.85+AK240*$B$46))),0)</f>
        <v>0</v>
      </c>
      <c r="AO240" cm="1">
        <f t="array" ref="AO240">_xlfn.LET(_xlpm.N,$B$49,_xlpm.R,$B$48,_xlpm.Start,$B$47,_xlpm.PlanWD,AL240,_xlpm.PlanRoth,AM240,_xlpm.PlanConv,AN240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19354.48</v>
      </c>
      <c r="AP240" cm="1">
        <f t="array" ref="AP240">_xlfn.LET(_xlpm.N,$B$49,_xlpm.R,$B$48,_xlpm.Start,$B$47,_xlpm.PlanWD,AL240,_xlpm.PlanRoth,AM240,_xlpm.PlanConv,AN240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240" cm="1">
        <f t="array" ref="AQ240">_xlfn.LET(_xlpm.N,$B$49,_xlpm.R,$B$48,_xlpm.Start,$B$47,_xlpm.PlanWD,AL240,_xlpm.PlanRoth,AM240,_xlpm.PlanConv,AN240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989231.64653082099</v>
      </c>
      <c r="AR240" cm="1">
        <f t="array" ref="AR240">_xlfn.LET(_xlpm.N,$B$49,_xlpm.R,$B$48,_xlpm.Start,$B$47,_xlpm.PlanWD,AL240,_xlpm.PlanRoth,AM240,_xlpm.PlanConv,AN240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1149037.1550534267</v>
      </c>
      <c r="AS240">
        <f>--AND(AK240&lt;=SUM('Retirement Gap'!$B$24:$B$25,'Retirement Gap'!$B$27),AL240+AN240&lt;=$B$47,AM240&lt;='Retirement Gap'!$B$29,ABS(AK240+AL240+AM240-$B$10)&lt;1)</f>
        <v>1</v>
      </c>
      <c r="AT240" cm="1">
        <f t="array" ref="AT240">IF(AS240=0,1E+99,_xlfn.SWITCH(LEFT($E$39,1),"1",AO240,"2",AP240*1000000000+AO240,"3",-AQ240,"4",AO240+AP240*25000+AR240*0.005-AQ240*0.0001,AO240))</f>
        <v>-989231.64653082099</v>
      </c>
    </row>
    <row r="241" spans="33:46" x14ac:dyDescent="0.55000000000000004">
      <c r="AG241">
        <f t="shared" si="30"/>
        <v>240</v>
      </c>
      <c r="AH241">
        <f t="shared" si="31"/>
        <v>0.3</v>
      </c>
      <c r="AI241">
        <f t="shared" si="32"/>
        <v>0.6</v>
      </c>
      <c r="AJ241">
        <f t="shared" si="33"/>
        <v>1</v>
      </c>
      <c r="AK241">
        <f t="shared" si="34"/>
        <v>31670.521633416487</v>
      </c>
      <c r="AL241">
        <f t="shared" si="35"/>
        <v>18223.2</v>
      </c>
      <c r="AM241">
        <f>MIN(MAX(0,$B$10-AL241)*AI241,'Retirement Gap'!$B$29)</f>
        <v>10850.278366583516</v>
      </c>
      <c r="AN241">
        <f>IF($E$40="B - Withdrawals + Roth conversions",AJ241*MAX(0,MIN($B$47-AL241,MIN($B$59,IRMAA!$C$16)-(AL241+$B$8*0.85+AK241*$B$46))),0)</f>
        <v>0</v>
      </c>
      <c r="AO241" cm="1">
        <f t="array" ref="AO241">_xlfn.LET(_xlpm.N,$B$49,_xlpm.R,$B$48,_xlpm.Start,$B$47,_xlpm.PlanWD,AL241,_xlpm.PlanRoth,AM241,_xlpm.PlanConv,AN241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19354.48</v>
      </c>
      <c r="AP241" cm="1">
        <f t="array" ref="AP241">_xlfn.LET(_xlpm.N,$B$49,_xlpm.R,$B$48,_xlpm.Start,$B$47,_xlpm.PlanWD,AL241,_xlpm.PlanRoth,AM241,_xlpm.PlanConv,AN241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241" cm="1">
        <f t="array" ref="AQ241">_xlfn.LET(_xlpm.N,$B$49,_xlpm.R,$B$48,_xlpm.Start,$B$47,_xlpm.PlanWD,AL241,_xlpm.PlanRoth,AM241,_xlpm.PlanConv,AN241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989231.64653082099</v>
      </c>
      <c r="AR241" cm="1">
        <f t="array" ref="AR241">_xlfn.LET(_xlpm.N,$B$49,_xlpm.R,$B$48,_xlpm.Start,$B$47,_xlpm.PlanWD,AL241,_xlpm.PlanRoth,AM241,_xlpm.PlanConv,AN241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1149037.1550534267</v>
      </c>
      <c r="AS241">
        <f>--AND(AK241&lt;=SUM('Retirement Gap'!$B$24:$B$25,'Retirement Gap'!$B$27),AL241+AN241&lt;=$B$47,AM241&lt;='Retirement Gap'!$B$29,ABS(AK241+AL241+AM241-$B$10)&lt;1)</f>
        <v>1</v>
      </c>
      <c r="AT241" cm="1">
        <f t="array" ref="AT241">IF(AS241=0,1E+99,_xlfn.SWITCH(LEFT($E$39,1),"1",AO241,"2",AP241*1000000000+AO241,"3",-AQ241,"4",AO241+AP241*25000+AR241*0.005-AQ241*0.0001,AO241))</f>
        <v>-989231.64653082099</v>
      </c>
    </row>
    <row r="242" spans="33:46" x14ac:dyDescent="0.55000000000000004">
      <c r="AG242">
        <f t="shared" si="30"/>
        <v>241</v>
      </c>
      <c r="AH242">
        <f t="shared" si="31"/>
        <v>0.3</v>
      </c>
      <c r="AI242">
        <f t="shared" si="32"/>
        <v>0.7</v>
      </c>
      <c r="AJ242">
        <f t="shared" si="33"/>
        <v>0</v>
      </c>
      <c r="AK242">
        <f t="shared" si="34"/>
        <v>31670.521633416487</v>
      </c>
      <c r="AL242">
        <f t="shared" si="35"/>
        <v>18223.2</v>
      </c>
      <c r="AM242">
        <f>MIN(MAX(0,$B$10-AL242)*AI242,'Retirement Gap'!$B$29)</f>
        <v>10850.278366583516</v>
      </c>
      <c r="AN242">
        <f>IF($E$40="B - Withdrawals + Roth conversions",AJ242*MAX(0,MIN($B$47-AL242,MIN($B$59,IRMAA!$C$16)-(AL242+$B$8*0.85+AK242*$B$46))),0)</f>
        <v>0</v>
      </c>
      <c r="AO242" cm="1">
        <f t="array" ref="AO242">_xlfn.LET(_xlpm.N,$B$49,_xlpm.R,$B$48,_xlpm.Start,$B$47,_xlpm.PlanWD,AL242,_xlpm.PlanRoth,AM242,_xlpm.PlanConv,AN242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19354.48</v>
      </c>
      <c r="AP242" cm="1">
        <f t="array" ref="AP242">_xlfn.LET(_xlpm.N,$B$49,_xlpm.R,$B$48,_xlpm.Start,$B$47,_xlpm.PlanWD,AL242,_xlpm.PlanRoth,AM242,_xlpm.PlanConv,AN242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242" cm="1">
        <f t="array" ref="AQ242">_xlfn.LET(_xlpm.N,$B$49,_xlpm.R,$B$48,_xlpm.Start,$B$47,_xlpm.PlanWD,AL242,_xlpm.PlanRoth,AM242,_xlpm.PlanConv,AN242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989231.64653082099</v>
      </c>
      <c r="AR242" cm="1">
        <f t="array" ref="AR242">_xlfn.LET(_xlpm.N,$B$49,_xlpm.R,$B$48,_xlpm.Start,$B$47,_xlpm.PlanWD,AL242,_xlpm.PlanRoth,AM242,_xlpm.PlanConv,AN242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1149037.1550534267</v>
      </c>
      <c r="AS242">
        <f>--AND(AK242&lt;=SUM('Retirement Gap'!$B$24:$B$25,'Retirement Gap'!$B$27),AL242+AN242&lt;=$B$47,AM242&lt;='Retirement Gap'!$B$29,ABS(AK242+AL242+AM242-$B$10)&lt;1)</f>
        <v>1</v>
      </c>
      <c r="AT242" cm="1">
        <f t="array" ref="AT242">IF(AS242=0,1E+99,_xlfn.SWITCH(LEFT($E$39,1),"1",AO242,"2",AP242*1000000000+AO242,"3",-AQ242,"4",AO242+AP242*25000+AR242*0.005-AQ242*0.0001,AO242))</f>
        <v>-989231.64653082099</v>
      </c>
    </row>
    <row r="243" spans="33:46" x14ac:dyDescent="0.55000000000000004">
      <c r="AG243">
        <f t="shared" si="30"/>
        <v>242</v>
      </c>
      <c r="AH243">
        <f t="shared" si="31"/>
        <v>0.3</v>
      </c>
      <c r="AI243">
        <f t="shared" si="32"/>
        <v>0.7</v>
      </c>
      <c r="AJ243">
        <f t="shared" si="33"/>
        <v>0.2</v>
      </c>
      <c r="AK243">
        <f t="shared" si="34"/>
        <v>31670.521633416487</v>
      </c>
      <c r="AL243">
        <f t="shared" si="35"/>
        <v>18223.2</v>
      </c>
      <c r="AM243">
        <f>MIN(MAX(0,$B$10-AL243)*AI243,'Retirement Gap'!$B$29)</f>
        <v>10850.278366583516</v>
      </c>
      <c r="AN243">
        <f>IF($E$40="B - Withdrawals + Roth conversions",AJ243*MAX(0,MIN($B$47-AL243,MIN($B$59,IRMAA!$C$16)-(AL243+$B$8*0.85+AK243*$B$46))),0)</f>
        <v>0</v>
      </c>
      <c r="AO243" cm="1">
        <f t="array" ref="AO243">_xlfn.LET(_xlpm.N,$B$49,_xlpm.R,$B$48,_xlpm.Start,$B$47,_xlpm.PlanWD,AL243,_xlpm.PlanRoth,AM243,_xlpm.PlanConv,AN243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19354.48</v>
      </c>
      <c r="AP243" cm="1">
        <f t="array" ref="AP243">_xlfn.LET(_xlpm.N,$B$49,_xlpm.R,$B$48,_xlpm.Start,$B$47,_xlpm.PlanWD,AL243,_xlpm.PlanRoth,AM243,_xlpm.PlanConv,AN243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243" cm="1">
        <f t="array" ref="AQ243">_xlfn.LET(_xlpm.N,$B$49,_xlpm.R,$B$48,_xlpm.Start,$B$47,_xlpm.PlanWD,AL243,_xlpm.PlanRoth,AM243,_xlpm.PlanConv,AN243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989231.64653082099</v>
      </c>
      <c r="AR243" cm="1">
        <f t="array" ref="AR243">_xlfn.LET(_xlpm.N,$B$49,_xlpm.R,$B$48,_xlpm.Start,$B$47,_xlpm.PlanWD,AL243,_xlpm.PlanRoth,AM243,_xlpm.PlanConv,AN243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1149037.1550534267</v>
      </c>
      <c r="AS243">
        <f>--AND(AK243&lt;=SUM('Retirement Gap'!$B$24:$B$25,'Retirement Gap'!$B$27),AL243+AN243&lt;=$B$47,AM243&lt;='Retirement Gap'!$B$29,ABS(AK243+AL243+AM243-$B$10)&lt;1)</f>
        <v>1</v>
      </c>
      <c r="AT243" cm="1">
        <f t="array" ref="AT243">IF(AS243=0,1E+99,_xlfn.SWITCH(LEFT($E$39,1),"1",AO243,"2",AP243*1000000000+AO243,"3",-AQ243,"4",AO243+AP243*25000+AR243*0.005-AQ243*0.0001,AO243))</f>
        <v>-989231.64653082099</v>
      </c>
    </row>
    <row r="244" spans="33:46" x14ac:dyDescent="0.55000000000000004">
      <c r="AG244">
        <f t="shared" si="30"/>
        <v>243</v>
      </c>
      <c r="AH244">
        <f t="shared" si="31"/>
        <v>0.3</v>
      </c>
      <c r="AI244">
        <f t="shared" si="32"/>
        <v>0.7</v>
      </c>
      <c r="AJ244">
        <f t="shared" si="33"/>
        <v>0.4</v>
      </c>
      <c r="AK244">
        <f t="shared" si="34"/>
        <v>31670.521633416487</v>
      </c>
      <c r="AL244">
        <f t="shared" si="35"/>
        <v>18223.2</v>
      </c>
      <c r="AM244">
        <f>MIN(MAX(0,$B$10-AL244)*AI244,'Retirement Gap'!$B$29)</f>
        <v>10850.278366583516</v>
      </c>
      <c r="AN244">
        <f>IF($E$40="B - Withdrawals + Roth conversions",AJ244*MAX(0,MIN($B$47-AL244,MIN($B$59,IRMAA!$C$16)-(AL244+$B$8*0.85+AK244*$B$46))),0)</f>
        <v>0</v>
      </c>
      <c r="AO244" cm="1">
        <f t="array" ref="AO244">_xlfn.LET(_xlpm.N,$B$49,_xlpm.R,$B$48,_xlpm.Start,$B$47,_xlpm.PlanWD,AL244,_xlpm.PlanRoth,AM244,_xlpm.PlanConv,AN244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19354.48</v>
      </c>
      <c r="AP244" cm="1">
        <f t="array" ref="AP244">_xlfn.LET(_xlpm.N,$B$49,_xlpm.R,$B$48,_xlpm.Start,$B$47,_xlpm.PlanWD,AL244,_xlpm.PlanRoth,AM244,_xlpm.PlanConv,AN244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244" cm="1">
        <f t="array" ref="AQ244">_xlfn.LET(_xlpm.N,$B$49,_xlpm.R,$B$48,_xlpm.Start,$B$47,_xlpm.PlanWD,AL244,_xlpm.PlanRoth,AM244,_xlpm.PlanConv,AN244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989231.64653082099</v>
      </c>
      <c r="AR244" cm="1">
        <f t="array" ref="AR244">_xlfn.LET(_xlpm.N,$B$49,_xlpm.R,$B$48,_xlpm.Start,$B$47,_xlpm.PlanWD,AL244,_xlpm.PlanRoth,AM244,_xlpm.PlanConv,AN244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1149037.1550534267</v>
      </c>
      <c r="AS244">
        <f>--AND(AK244&lt;=SUM('Retirement Gap'!$B$24:$B$25,'Retirement Gap'!$B$27),AL244+AN244&lt;=$B$47,AM244&lt;='Retirement Gap'!$B$29,ABS(AK244+AL244+AM244-$B$10)&lt;1)</f>
        <v>1</v>
      </c>
      <c r="AT244" cm="1">
        <f t="array" ref="AT244">IF(AS244=0,1E+99,_xlfn.SWITCH(LEFT($E$39,1),"1",AO244,"2",AP244*1000000000+AO244,"3",-AQ244,"4",AO244+AP244*25000+AR244*0.005-AQ244*0.0001,AO244))</f>
        <v>-989231.64653082099</v>
      </c>
    </row>
    <row r="245" spans="33:46" x14ac:dyDescent="0.55000000000000004">
      <c r="AG245">
        <f t="shared" si="30"/>
        <v>244</v>
      </c>
      <c r="AH245">
        <f t="shared" si="31"/>
        <v>0.3</v>
      </c>
      <c r="AI245">
        <f t="shared" si="32"/>
        <v>0.7</v>
      </c>
      <c r="AJ245">
        <f t="shared" si="33"/>
        <v>0.6</v>
      </c>
      <c r="AK245">
        <f t="shared" si="34"/>
        <v>31670.521633416487</v>
      </c>
      <c r="AL245">
        <f t="shared" si="35"/>
        <v>18223.2</v>
      </c>
      <c r="AM245">
        <f>MIN(MAX(0,$B$10-AL245)*AI245,'Retirement Gap'!$B$29)</f>
        <v>10850.278366583516</v>
      </c>
      <c r="AN245">
        <f>IF($E$40="B - Withdrawals + Roth conversions",AJ245*MAX(0,MIN($B$47-AL245,MIN($B$59,IRMAA!$C$16)-(AL245+$B$8*0.85+AK245*$B$46))),0)</f>
        <v>0</v>
      </c>
      <c r="AO245" cm="1">
        <f t="array" ref="AO245">_xlfn.LET(_xlpm.N,$B$49,_xlpm.R,$B$48,_xlpm.Start,$B$47,_xlpm.PlanWD,AL245,_xlpm.PlanRoth,AM245,_xlpm.PlanConv,AN245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19354.48</v>
      </c>
      <c r="AP245" cm="1">
        <f t="array" ref="AP245">_xlfn.LET(_xlpm.N,$B$49,_xlpm.R,$B$48,_xlpm.Start,$B$47,_xlpm.PlanWD,AL245,_xlpm.PlanRoth,AM245,_xlpm.PlanConv,AN245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245" cm="1">
        <f t="array" ref="AQ245">_xlfn.LET(_xlpm.N,$B$49,_xlpm.R,$B$48,_xlpm.Start,$B$47,_xlpm.PlanWD,AL245,_xlpm.PlanRoth,AM245,_xlpm.PlanConv,AN245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989231.64653082099</v>
      </c>
      <c r="AR245" cm="1">
        <f t="array" ref="AR245">_xlfn.LET(_xlpm.N,$B$49,_xlpm.R,$B$48,_xlpm.Start,$B$47,_xlpm.PlanWD,AL245,_xlpm.PlanRoth,AM245,_xlpm.PlanConv,AN245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1149037.1550534267</v>
      </c>
      <c r="AS245">
        <f>--AND(AK245&lt;=SUM('Retirement Gap'!$B$24:$B$25,'Retirement Gap'!$B$27),AL245+AN245&lt;=$B$47,AM245&lt;='Retirement Gap'!$B$29,ABS(AK245+AL245+AM245-$B$10)&lt;1)</f>
        <v>1</v>
      </c>
      <c r="AT245" cm="1">
        <f t="array" ref="AT245">IF(AS245=0,1E+99,_xlfn.SWITCH(LEFT($E$39,1),"1",AO245,"2",AP245*1000000000+AO245,"3",-AQ245,"4",AO245+AP245*25000+AR245*0.005-AQ245*0.0001,AO245))</f>
        <v>-989231.64653082099</v>
      </c>
    </row>
    <row r="246" spans="33:46" x14ac:dyDescent="0.55000000000000004">
      <c r="AG246">
        <f t="shared" si="30"/>
        <v>245</v>
      </c>
      <c r="AH246">
        <f t="shared" si="31"/>
        <v>0.3</v>
      </c>
      <c r="AI246">
        <f t="shared" si="32"/>
        <v>0.7</v>
      </c>
      <c r="AJ246">
        <f t="shared" si="33"/>
        <v>0.8</v>
      </c>
      <c r="AK246">
        <f t="shared" si="34"/>
        <v>31670.521633416487</v>
      </c>
      <c r="AL246">
        <f t="shared" si="35"/>
        <v>18223.2</v>
      </c>
      <c r="AM246">
        <f>MIN(MAX(0,$B$10-AL246)*AI246,'Retirement Gap'!$B$29)</f>
        <v>10850.278366583516</v>
      </c>
      <c r="AN246">
        <f>IF($E$40="B - Withdrawals + Roth conversions",AJ246*MAX(0,MIN($B$47-AL246,MIN($B$59,IRMAA!$C$16)-(AL246+$B$8*0.85+AK246*$B$46))),0)</f>
        <v>0</v>
      </c>
      <c r="AO246" cm="1">
        <f t="array" ref="AO246">_xlfn.LET(_xlpm.N,$B$49,_xlpm.R,$B$48,_xlpm.Start,$B$47,_xlpm.PlanWD,AL246,_xlpm.PlanRoth,AM246,_xlpm.PlanConv,AN246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19354.48</v>
      </c>
      <c r="AP246" cm="1">
        <f t="array" ref="AP246">_xlfn.LET(_xlpm.N,$B$49,_xlpm.R,$B$48,_xlpm.Start,$B$47,_xlpm.PlanWD,AL246,_xlpm.PlanRoth,AM246,_xlpm.PlanConv,AN246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246" cm="1">
        <f t="array" ref="AQ246">_xlfn.LET(_xlpm.N,$B$49,_xlpm.R,$B$48,_xlpm.Start,$B$47,_xlpm.PlanWD,AL246,_xlpm.PlanRoth,AM246,_xlpm.PlanConv,AN246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989231.64653082099</v>
      </c>
      <c r="AR246" cm="1">
        <f t="array" ref="AR246">_xlfn.LET(_xlpm.N,$B$49,_xlpm.R,$B$48,_xlpm.Start,$B$47,_xlpm.PlanWD,AL246,_xlpm.PlanRoth,AM246,_xlpm.PlanConv,AN246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1149037.1550534267</v>
      </c>
      <c r="AS246">
        <f>--AND(AK246&lt;=SUM('Retirement Gap'!$B$24:$B$25,'Retirement Gap'!$B$27),AL246+AN246&lt;=$B$47,AM246&lt;='Retirement Gap'!$B$29,ABS(AK246+AL246+AM246-$B$10)&lt;1)</f>
        <v>1</v>
      </c>
      <c r="AT246" cm="1">
        <f t="array" ref="AT246">IF(AS246=0,1E+99,_xlfn.SWITCH(LEFT($E$39,1),"1",AO246,"2",AP246*1000000000+AO246,"3",-AQ246,"4",AO246+AP246*25000+AR246*0.005-AQ246*0.0001,AO246))</f>
        <v>-989231.64653082099</v>
      </c>
    </row>
    <row r="247" spans="33:46" x14ac:dyDescent="0.55000000000000004">
      <c r="AG247">
        <f t="shared" si="30"/>
        <v>246</v>
      </c>
      <c r="AH247">
        <f t="shared" si="31"/>
        <v>0.3</v>
      </c>
      <c r="AI247">
        <f t="shared" si="32"/>
        <v>0.7</v>
      </c>
      <c r="AJ247">
        <f t="shared" si="33"/>
        <v>1</v>
      </c>
      <c r="AK247">
        <f t="shared" si="34"/>
        <v>31670.521633416487</v>
      </c>
      <c r="AL247">
        <f t="shared" si="35"/>
        <v>18223.2</v>
      </c>
      <c r="AM247">
        <f>MIN(MAX(0,$B$10-AL247)*AI247,'Retirement Gap'!$B$29)</f>
        <v>10850.278366583516</v>
      </c>
      <c r="AN247">
        <f>IF($E$40="B - Withdrawals + Roth conversions",AJ247*MAX(0,MIN($B$47-AL247,MIN($B$59,IRMAA!$C$16)-(AL247+$B$8*0.85+AK247*$B$46))),0)</f>
        <v>0</v>
      </c>
      <c r="AO247" cm="1">
        <f t="array" ref="AO247">_xlfn.LET(_xlpm.N,$B$49,_xlpm.R,$B$48,_xlpm.Start,$B$47,_xlpm.PlanWD,AL247,_xlpm.PlanRoth,AM247,_xlpm.PlanConv,AN247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19354.48</v>
      </c>
      <c r="AP247" cm="1">
        <f t="array" ref="AP247">_xlfn.LET(_xlpm.N,$B$49,_xlpm.R,$B$48,_xlpm.Start,$B$47,_xlpm.PlanWD,AL247,_xlpm.PlanRoth,AM247,_xlpm.PlanConv,AN247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247" cm="1">
        <f t="array" ref="AQ247">_xlfn.LET(_xlpm.N,$B$49,_xlpm.R,$B$48,_xlpm.Start,$B$47,_xlpm.PlanWD,AL247,_xlpm.PlanRoth,AM247,_xlpm.PlanConv,AN247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989231.64653082099</v>
      </c>
      <c r="AR247" cm="1">
        <f t="array" ref="AR247">_xlfn.LET(_xlpm.N,$B$49,_xlpm.R,$B$48,_xlpm.Start,$B$47,_xlpm.PlanWD,AL247,_xlpm.PlanRoth,AM247,_xlpm.PlanConv,AN247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1149037.1550534267</v>
      </c>
      <c r="AS247">
        <f>--AND(AK247&lt;=SUM('Retirement Gap'!$B$24:$B$25,'Retirement Gap'!$B$27),AL247+AN247&lt;=$B$47,AM247&lt;='Retirement Gap'!$B$29,ABS(AK247+AL247+AM247-$B$10)&lt;1)</f>
        <v>1</v>
      </c>
      <c r="AT247" cm="1">
        <f t="array" ref="AT247">IF(AS247=0,1E+99,_xlfn.SWITCH(LEFT($E$39,1),"1",AO247,"2",AP247*1000000000+AO247,"3",-AQ247,"4",AO247+AP247*25000+AR247*0.005-AQ247*0.0001,AO247))</f>
        <v>-989231.64653082099</v>
      </c>
    </row>
    <row r="248" spans="33:46" x14ac:dyDescent="0.55000000000000004">
      <c r="AG248">
        <f t="shared" si="30"/>
        <v>247</v>
      </c>
      <c r="AH248">
        <f t="shared" si="31"/>
        <v>0.3</v>
      </c>
      <c r="AI248">
        <f t="shared" si="32"/>
        <v>0.8</v>
      </c>
      <c r="AJ248">
        <f t="shared" si="33"/>
        <v>0</v>
      </c>
      <c r="AK248">
        <f t="shared" si="34"/>
        <v>31670.521633416487</v>
      </c>
      <c r="AL248">
        <f t="shared" si="35"/>
        <v>18223.2</v>
      </c>
      <c r="AM248">
        <f>MIN(MAX(0,$B$10-AL248)*AI248,'Retirement Gap'!$B$29)</f>
        <v>10850.278366583516</v>
      </c>
      <c r="AN248">
        <f>IF($E$40="B - Withdrawals + Roth conversions",AJ248*MAX(0,MIN($B$47-AL248,MIN($B$59,IRMAA!$C$16)-(AL248+$B$8*0.85+AK248*$B$46))),0)</f>
        <v>0</v>
      </c>
      <c r="AO248" cm="1">
        <f t="array" ref="AO248">_xlfn.LET(_xlpm.N,$B$49,_xlpm.R,$B$48,_xlpm.Start,$B$47,_xlpm.PlanWD,AL248,_xlpm.PlanRoth,AM248,_xlpm.PlanConv,AN248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19354.48</v>
      </c>
      <c r="AP248" cm="1">
        <f t="array" ref="AP248">_xlfn.LET(_xlpm.N,$B$49,_xlpm.R,$B$48,_xlpm.Start,$B$47,_xlpm.PlanWD,AL248,_xlpm.PlanRoth,AM248,_xlpm.PlanConv,AN248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248" cm="1">
        <f t="array" ref="AQ248">_xlfn.LET(_xlpm.N,$B$49,_xlpm.R,$B$48,_xlpm.Start,$B$47,_xlpm.PlanWD,AL248,_xlpm.PlanRoth,AM248,_xlpm.PlanConv,AN248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989231.64653082099</v>
      </c>
      <c r="AR248" cm="1">
        <f t="array" ref="AR248">_xlfn.LET(_xlpm.N,$B$49,_xlpm.R,$B$48,_xlpm.Start,$B$47,_xlpm.PlanWD,AL248,_xlpm.PlanRoth,AM248,_xlpm.PlanConv,AN248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1149037.1550534267</v>
      </c>
      <c r="AS248">
        <f>--AND(AK248&lt;=SUM('Retirement Gap'!$B$24:$B$25,'Retirement Gap'!$B$27),AL248+AN248&lt;=$B$47,AM248&lt;='Retirement Gap'!$B$29,ABS(AK248+AL248+AM248-$B$10)&lt;1)</f>
        <v>1</v>
      </c>
      <c r="AT248" cm="1">
        <f t="array" ref="AT248">IF(AS248=0,1E+99,_xlfn.SWITCH(LEFT($E$39,1),"1",AO248,"2",AP248*1000000000+AO248,"3",-AQ248,"4",AO248+AP248*25000+AR248*0.005-AQ248*0.0001,AO248))</f>
        <v>-989231.64653082099</v>
      </c>
    </row>
    <row r="249" spans="33:46" x14ac:dyDescent="0.55000000000000004">
      <c r="AG249">
        <f t="shared" si="30"/>
        <v>248</v>
      </c>
      <c r="AH249">
        <f t="shared" si="31"/>
        <v>0.3</v>
      </c>
      <c r="AI249">
        <f t="shared" si="32"/>
        <v>0.8</v>
      </c>
      <c r="AJ249">
        <f t="shared" si="33"/>
        <v>0.2</v>
      </c>
      <c r="AK249">
        <f t="shared" si="34"/>
        <v>31670.521633416487</v>
      </c>
      <c r="AL249">
        <f t="shared" si="35"/>
        <v>18223.2</v>
      </c>
      <c r="AM249">
        <f>MIN(MAX(0,$B$10-AL249)*AI249,'Retirement Gap'!$B$29)</f>
        <v>10850.278366583516</v>
      </c>
      <c r="AN249">
        <f>IF($E$40="B - Withdrawals + Roth conversions",AJ249*MAX(0,MIN($B$47-AL249,MIN($B$59,IRMAA!$C$16)-(AL249+$B$8*0.85+AK249*$B$46))),0)</f>
        <v>0</v>
      </c>
      <c r="AO249" cm="1">
        <f t="array" ref="AO249">_xlfn.LET(_xlpm.N,$B$49,_xlpm.R,$B$48,_xlpm.Start,$B$47,_xlpm.PlanWD,AL249,_xlpm.PlanRoth,AM249,_xlpm.PlanConv,AN249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19354.48</v>
      </c>
      <c r="AP249" cm="1">
        <f t="array" ref="AP249">_xlfn.LET(_xlpm.N,$B$49,_xlpm.R,$B$48,_xlpm.Start,$B$47,_xlpm.PlanWD,AL249,_xlpm.PlanRoth,AM249,_xlpm.PlanConv,AN249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249" cm="1">
        <f t="array" ref="AQ249">_xlfn.LET(_xlpm.N,$B$49,_xlpm.R,$B$48,_xlpm.Start,$B$47,_xlpm.PlanWD,AL249,_xlpm.PlanRoth,AM249,_xlpm.PlanConv,AN249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989231.64653082099</v>
      </c>
      <c r="AR249" cm="1">
        <f t="array" ref="AR249">_xlfn.LET(_xlpm.N,$B$49,_xlpm.R,$B$48,_xlpm.Start,$B$47,_xlpm.PlanWD,AL249,_xlpm.PlanRoth,AM249,_xlpm.PlanConv,AN249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1149037.1550534267</v>
      </c>
      <c r="AS249">
        <f>--AND(AK249&lt;=SUM('Retirement Gap'!$B$24:$B$25,'Retirement Gap'!$B$27),AL249+AN249&lt;=$B$47,AM249&lt;='Retirement Gap'!$B$29,ABS(AK249+AL249+AM249-$B$10)&lt;1)</f>
        <v>1</v>
      </c>
      <c r="AT249" cm="1">
        <f t="array" ref="AT249">IF(AS249=0,1E+99,_xlfn.SWITCH(LEFT($E$39,1),"1",AO249,"2",AP249*1000000000+AO249,"3",-AQ249,"4",AO249+AP249*25000+AR249*0.005-AQ249*0.0001,AO249))</f>
        <v>-989231.64653082099</v>
      </c>
    </row>
    <row r="250" spans="33:46" x14ac:dyDescent="0.55000000000000004">
      <c r="AG250">
        <f t="shared" si="30"/>
        <v>249</v>
      </c>
      <c r="AH250">
        <f t="shared" si="31"/>
        <v>0.3</v>
      </c>
      <c r="AI250">
        <f t="shared" si="32"/>
        <v>0.8</v>
      </c>
      <c r="AJ250">
        <f t="shared" si="33"/>
        <v>0.4</v>
      </c>
      <c r="AK250">
        <f t="shared" si="34"/>
        <v>31670.521633416487</v>
      </c>
      <c r="AL250">
        <f t="shared" si="35"/>
        <v>18223.2</v>
      </c>
      <c r="AM250">
        <f>MIN(MAX(0,$B$10-AL250)*AI250,'Retirement Gap'!$B$29)</f>
        <v>10850.278366583516</v>
      </c>
      <c r="AN250">
        <f>IF($E$40="B - Withdrawals + Roth conversions",AJ250*MAX(0,MIN($B$47-AL250,MIN($B$59,IRMAA!$C$16)-(AL250+$B$8*0.85+AK250*$B$46))),0)</f>
        <v>0</v>
      </c>
      <c r="AO250" cm="1">
        <f t="array" ref="AO250">_xlfn.LET(_xlpm.N,$B$49,_xlpm.R,$B$48,_xlpm.Start,$B$47,_xlpm.PlanWD,AL250,_xlpm.PlanRoth,AM250,_xlpm.PlanConv,AN250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19354.48</v>
      </c>
      <c r="AP250" cm="1">
        <f t="array" ref="AP250">_xlfn.LET(_xlpm.N,$B$49,_xlpm.R,$B$48,_xlpm.Start,$B$47,_xlpm.PlanWD,AL250,_xlpm.PlanRoth,AM250,_xlpm.PlanConv,AN250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250" cm="1">
        <f t="array" ref="AQ250">_xlfn.LET(_xlpm.N,$B$49,_xlpm.R,$B$48,_xlpm.Start,$B$47,_xlpm.PlanWD,AL250,_xlpm.PlanRoth,AM250,_xlpm.PlanConv,AN250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989231.64653082099</v>
      </c>
      <c r="AR250" cm="1">
        <f t="array" ref="AR250">_xlfn.LET(_xlpm.N,$B$49,_xlpm.R,$B$48,_xlpm.Start,$B$47,_xlpm.PlanWD,AL250,_xlpm.PlanRoth,AM250,_xlpm.PlanConv,AN250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1149037.1550534267</v>
      </c>
      <c r="AS250">
        <f>--AND(AK250&lt;=SUM('Retirement Gap'!$B$24:$B$25,'Retirement Gap'!$B$27),AL250+AN250&lt;=$B$47,AM250&lt;='Retirement Gap'!$B$29,ABS(AK250+AL250+AM250-$B$10)&lt;1)</f>
        <v>1</v>
      </c>
      <c r="AT250" cm="1">
        <f t="array" ref="AT250">IF(AS250=0,1E+99,_xlfn.SWITCH(LEFT($E$39,1),"1",AO250,"2",AP250*1000000000+AO250,"3",-AQ250,"4",AO250+AP250*25000+AR250*0.005-AQ250*0.0001,AO250))</f>
        <v>-989231.64653082099</v>
      </c>
    </row>
    <row r="251" spans="33:46" x14ac:dyDescent="0.55000000000000004">
      <c r="AG251">
        <f t="shared" si="30"/>
        <v>250</v>
      </c>
      <c r="AH251">
        <f t="shared" si="31"/>
        <v>0.3</v>
      </c>
      <c r="AI251">
        <f t="shared" si="32"/>
        <v>0.8</v>
      </c>
      <c r="AJ251">
        <f t="shared" si="33"/>
        <v>0.6</v>
      </c>
      <c r="AK251">
        <f t="shared" si="34"/>
        <v>31670.521633416487</v>
      </c>
      <c r="AL251">
        <f t="shared" si="35"/>
        <v>18223.2</v>
      </c>
      <c r="AM251">
        <f>MIN(MAX(0,$B$10-AL251)*AI251,'Retirement Gap'!$B$29)</f>
        <v>10850.278366583516</v>
      </c>
      <c r="AN251">
        <f>IF($E$40="B - Withdrawals + Roth conversions",AJ251*MAX(0,MIN($B$47-AL251,MIN($B$59,IRMAA!$C$16)-(AL251+$B$8*0.85+AK251*$B$46))),0)</f>
        <v>0</v>
      </c>
      <c r="AO251" cm="1">
        <f t="array" ref="AO251">_xlfn.LET(_xlpm.N,$B$49,_xlpm.R,$B$48,_xlpm.Start,$B$47,_xlpm.PlanWD,AL251,_xlpm.PlanRoth,AM251,_xlpm.PlanConv,AN251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19354.48</v>
      </c>
      <c r="AP251" cm="1">
        <f t="array" ref="AP251">_xlfn.LET(_xlpm.N,$B$49,_xlpm.R,$B$48,_xlpm.Start,$B$47,_xlpm.PlanWD,AL251,_xlpm.PlanRoth,AM251,_xlpm.PlanConv,AN251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251" cm="1">
        <f t="array" ref="AQ251">_xlfn.LET(_xlpm.N,$B$49,_xlpm.R,$B$48,_xlpm.Start,$B$47,_xlpm.PlanWD,AL251,_xlpm.PlanRoth,AM251,_xlpm.PlanConv,AN251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989231.64653082099</v>
      </c>
      <c r="AR251" cm="1">
        <f t="array" ref="AR251">_xlfn.LET(_xlpm.N,$B$49,_xlpm.R,$B$48,_xlpm.Start,$B$47,_xlpm.PlanWD,AL251,_xlpm.PlanRoth,AM251,_xlpm.PlanConv,AN251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1149037.1550534267</v>
      </c>
      <c r="AS251">
        <f>--AND(AK251&lt;=SUM('Retirement Gap'!$B$24:$B$25,'Retirement Gap'!$B$27),AL251+AN251&lt;=$B$47,AM251&lt;='Retirement Gap'!$B$29,ABS(AK251+AL251+AM251-$B$10)&lt;1)</f>
        <v>1</v>
      </c>
      <c r="AT251" cm="1">
        <f t="array" ref="AT251">IF(AS251=0,1E+99,_xlfn.SWITCH(LEFT($E$39,1),"1",AO251,"2",AP251*1000000000+AO251,"3",-AQ251,"4",AO251+AP251*25000+AR251*0.005-AQ251*0.0001,AO251))</f>
        <v>-989231.64653082099</v>
      </c>
    </row>
    <row r="252" spans="33:46" x14ac:dyDescent="0.55000000000000004">
      <c r="AG252">
        <f t="shared" si="30"/>
        <v>251</v>
      </c>
      <c r="AH252">
        <f t="shared" si="31"/>
        <v>0.3</v>
      </c>
      <c r="AI252">
        <f t="shared" si="32"/>
        <v>0.8</v>
      </c>
      <c r="AJ252">
        <f t="shared" si="33"/>
        <v>0.8</v>
      </c>
      <c r="AK252">
        <f t="shared" si="34"/>
        <v>31670.521633416487</v>
      </c>
      <c r="AL252">
        <f t="shared" si="35"/>
        <v>18223.2</v>
      </c>
      <c r="AM252">
        <f>MIN(MAX(0,$B$10-AL252)*AI252,'Retirement Gap'!$B$29)</f>
        <v>10850.278366583516</v>
      </c>
      <c r="AN252">
        <f>IF($E$40="B - Withdrawals + Roth conversions",AJ252*MAX(0,MIN($B$47-AL252,MIN($B$59,IRMAA!$C$16)-(AL252+$B$8*0.85+AK252*$B$46))),0)</f>
        <v>0</v>
      </c>
      <c r="AO252" cm="1">
        <f t="array" ref="AO252">_xlfn.LET(_xlpm.N,$B$49,_xlpm.R,$B$48,_xlpm.Start,$B$47,_xlpm.PlanWD,AL252,_xlpm.PlanRoth,AM252,_xlpm.PlanConv,AN252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19354.48</v>
      </c>
      <c r="AP252" cm="1">
        <f t="array" ref="AP252">_xlfn.LET(_xlpm.N,$B$49,_xlpm.R,$B$48,_xlpm.Start,$B$47,_xlpm.PlanWD,AL252,_xlpm.PlanRoth,AM252,_xlpm.PlanConv,AN252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252" cm="1">
        <f t="array" ref="AQ252">_xlfn.LET(_xlpm.N,$B$49,_xlpm.R,$B$48,_xlpm.Start,$B$47,_xlpm.PlanWD,AL252,_xlpm.PlanRoth,AM252,_xlpm.PlanConv,AN252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989231.64653082099</v>
      </c>
      <c r="AR252" cm="1">
        <f t="array" ref="AR252">_xlfn.LET(_xlpm.N,$B$49,_xlpm.R,$B$48,_xlpm.Start,$B$47,_xlpm.PlanWD,AL252,_xlpm.PlanRoth,AM252,_xlpm.PlanConv,AN252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1149037.1550534267</v>
      </c>
      <c r="AS252">
        <f>--AND(AK252&lt;=SUM('Retirement Gap'!$B$24:$B$25,'Retirement Gap'!$B$27),AL252+AN252&lt;=$B$47,AM252&lt;='Retirement Gap'!$B$29,ABS(AK252+AL252+AM252-$B$10)&lt;1)</f>
        <v>1</v>
      </c>
      <c r="AT252" cm="1">
        <f t="array" ref="AT252">IF(AS252=0,1E+99,_xlfn.SWITCH(LEFT($E$39,1),"1",AO252,"2",AP252*1000000000+AO252,"3",-AQ252,"4",AO252+AP252*25000+AR252*0.005-AQ252*0.0001,AO252))</f>
        <v>-989231.64653082099</v>
      </c>
    </row>
    <row r="253" spans="33:46" x14ac:dyDescent="0.55000000000000004">
      <c r="AG253">
        <f t="shared" si="30"/>
        <v>252</v>
      </c>
      <c r="AH253">
        <f t="shared" si="31"/>
        <v>0.3</v>
      </c>
      <c r="AI253">
        <f t="shared" si="32"/>
        <v>0.8</v>
      </c>
      <c r="AJ253">
        <f t="shared" si="33"/>
        <v>1</v>
      </c>
      <c r="AK253">
        <f t="shared" si="34"/>
        <v>31670.521633416487</v>
      </c>
      <c r="AL253">
        <f t="shared" si="35"/>
        <v>18223.2</v>
      </c>
      <c r="AM253">
        <f>MIN(MAX(0,$B$10-AL253)*AI253,'Retirement Gap'!$B$29)</f>
        <v>10850.278366583516</v>
      </c>
      <c r="AN253">
        <f>IF($E$40="B - Withdrawals + Roth conversions",AJ253*MAX(0,MIN($B$47-AL253,MIN($B$59,IRMAA!$C$16)-(AL253+$B$8*0.85+AK253*$B$46))),0)</f>
        <v>0</v>
      </c>
      <c r="AO253" cm="1">
        <f t="array" ref="AO253">_xlfn.LET(_xlpm.N,$B$49,_xlpm.R,$B$48,_xlpm.Start,$B$47,_xlpm.PlanWD,AL253,_xlpm.PlanRoth,AM253,_xlpm.PlanConv,AN253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19354.48</v>
      </c>
      <c r="AP253" cm="1">
        <f t="array" ref="AP253">_xlfn.LET(_xlpm.N,$B$49,_xlpm.R,$B$48,_xlpm.Start,$B$47,_xlpm.PlanWD,AL253,_xlpm.PlanRoth,AM253,_xlpm.PlanConv,AN253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253" cm="1">
        <f t="array" ref="AQ253">_xlfn.LET(_xlpm.N,$B$49,_xlpm.R,$B$48,_xlpm.Start,$B$47,_xlpm.PlanWD,AL253,_xlpm.PlanRoth,AM253,_xlpm.PlanConv,AN253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989231.64653082099</v>
      </c>
      <c r="AR253" cm="1">
        <f t="array" ref="AR253">_xlfn.LET(_xlpm.N,$B$49,_xlpm.R,$B$48,_xlpm.Start,$B$47,_xlpm.PlanWD,AL253,_xlpm.PlanRoth,AM253,_xlpm.PlanConv,AN253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1149037.1550534267</v>
      </c>
      <c r="AS253">
        <f>--AND(AK253&lt;=SUM('Retirement Gap'!$B$24:$B$25,'Retirement Gap'!$B$27),AL253+AN253&lt;=$B$47,AM253&lt;='Retirement Gap'!$B$29,ABS(AK253+AL253+AM253-$B$10)&lt;1)</f>
        <v>1</v>
      </c>
      <c r="AT253" cm="1">
        <f t="array" ref="AT253">IF(AS253=0,1E+99,_xlfn.SWITCH(LEFT($E$39,1),"1",AO253,"2",AP253*1000000000+AO253,"3",-AQ253,"4",AO253+AP253*25000+AR253*0.005-AQ253*0.0001,AO253))</f>
        <v>-989231.64653082099</v>
      </c>
    </row>
    <row r="254" spans="33:46" x14ac:dyDescent="0.55000000000000004">
      <c r="AG254">
        <f t="shared" si="30"/>
        <v>253</v>
      </c>
      <c r="AH254">
        <f t="shared" si="31"/>
        <v>0.3</v>
      </c>
      <c r="AI254">
        <f t="shared" si="32"/>
        <v>0.9</v>
      </c>
      <c r="AJ254">
        <f t="shared" si="33"/>
        <v>0</v>
      </c>
      <c r="AK254">
        <f t="shared" si="34"/>
        <v>31670.521633416487</v>
      </c>
      <c r="AL254">
        <f t="shared" si="35"/>
        <v>18223.2</v>
      </c>
      <c r="AM254">
        <f>MIN(MAX(0,$B$10-AL254)*AI254,'Retirement Gap'!$B$29)</f>
        <v>10850.278366583516</v>
      </c>
      <c r="AN254">
        <f>IF($E$40="B - Withdrawals + Roth conversions",AJ254*MAX(0,MIN($B$47-AL254,MIN($B$59,IRMAA!$C$16)-(AL254+$B$8*0.85+AK254*$B$46))),0)</f>
        <v>0</v>
      </c>
      <c r="AO254" cm="1">
        <f t="array" ref="AO254">_xlfn.LET(_xlpm.N,$B$49,_xlpm.R,$B$48,_xlpm.Start,$B$47,_xlpm.PlanWD,AL254,_xlpm.PlanRoth,AM254,_xlpm.PlanConv,AN254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19354.48</v>
      </c>
      <c r="AP254" cm="1">
        <f t="array" ref="AP254">_xlfn.LET(_xlpm.N,$B$49,_xlpm.R,$B$48,_xlpm.Start,$B$47,_xlpm.PlanWD,AL254,_xlpm.PlanRoth,AM254,_xlpm.PlanConv,AN254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254" cm="1">
        <f t="array" ref="AQ254">_xlfn.LET(_xlpm.N,$B$49,_xlpm.R,$B$48,_xlpm.Start,$B$47,_xlpm.PlanWD,AL254,_xlpm.PlanRoth,AM254,_xlpm.PlanConv,AN254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989231.64653082099</v>
      </c>
      <c r="AR254" cm="1">
        <f t="array" ref="AR254">_xlfn.LET(_xlpm.N,$B$49,_xlpm.R,$B$48,_xlpm.Start,$B$47,_xlpm.PlanWD,AL254,_xlpm.PlanRoth,AM254,_xlpm.PlanConv,AN254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1149037.1550534267</v>
      </c>
      <c r="AS254">
        <f>--AND(AK254&lt;=SUM('Retirement Gap'!$B$24:$B$25,'Retirement Gap'!$B$27),AL254+AN254&lt;=$B$47,AM254&lt;='Retirement Gap'!$B$29,ABS(AK254+AL254+AM254-$B$10)&lt;1)</f>
        <v>1</v>
      </c>
      <c r="AT254" cm="1">
        <f t="array" ref="AT254">IF(AS254=0,1E+99,_xlfn.SWITCH(LEFT($E$39,1),"1",AO254,"2",AP254*1000000000+AO254,"3",-AQ254,"4",AO254+AP254*25000+AR254*0.005-AQ254*0.0001,AO254))</f>
        <v>-989231.64653082099</v>
      </c>
    </row>
    <row r="255" spans="33:46" x14ac:dyDescent="0.55000000000000004">
      <c r="AG255">
        <f t="shared" si="30"/>
        <v>254</v>
      </c>
      <c r="AH255">
        <f t="shared" si="31"/>
        <v>0.3</v>
      </c>
      <c r="AI255">
        <f t="shared" si="32"/>
        <v>0.9</v>
      </c>
      <c r="AJ255">
        <f t="shared" si="33"/>
        <v>0.2</v>
      </c>
      <c r="AK255">
        <f t="shared" si="34"/>
        <v>31670.521633416487</v>
      </c>
      <c r="AL255">
        <f t="shared" si="35"/>
        <v>18223.2</v>
      </c>
      <c r="AM255">
        <f>MIN(MAX(0,$B$10-AL255)*AI255,'Retirement Gap'!$B$29)</f>
        <v>10850.278366583516</v>
      </c>
      <c r="AN255">
        <f>IF($E$40="B - Withdrawals + Roth conversions",AJ255*MAX(0,MIN($B$47-AL255,MIN($B$59,IRMAA!$C$16)-(AL255+$B$8*0.85+AK255*$B$46))),0)</f>
        <v>0</v>
      </c>
      <c r="AO255" cm="1">
        <f t="array" ref="AO255">_xlfn.LET(_xlpm.N,$B$49,_xlpm.R,$B$48,_xlpm.Start,$B$47,_xlpm.PlanWD,AL255,_xlpm.PlanRoth,AM255,_xlpm.PlanConv,AN255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19354.48</v>
      </c>
      <c r="AP255" cm="1">
        <f t="array" ref="AP255">_xlfn.LET(_xlpm.N,$B$49,_xlpm.R,$B$48,_xlpm.Start,$B$47,_xlpm.PlanWD,AL255,_xlpm.PlanRoth,AM255,_xlpm.PlanConv,AN255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255" cm="1">
        <f t="array" ref="AQ255">_xlfn.LET(_xlpm.N,$B$49,_xlpm.R,$B$48,_xlpm.Start,$B$47,_xlpm.PlanWD,AL255,_xlpm.PlanRoth,AM255,_xlpm.PlanConv,AN255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989231.64653082099</v>
      </c>
      <c r="AR255" cm="1">
        <f t="array" ref="AR255">_xlfn.LET(_xlpm.N,$B$49,_xlpm.R,$B$48,_xlpm.Start,$B$47,_xlpm.PlanWD,AL255,_xlpm.PlanRoth,AM255,_xlpm.PlanConv,AN255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1149037.1550534267</v>
      </c>
      <c r="AS255">
        <f>--AND(AK255&lt;=SUM('Retirement Gap'!$B$24:$B$25,'Retirement Gap'!$B$27),AL255+AN255&lt;=$B$47,AM255&lt;='Retirement Gap'!$B$29,ABS(AK255+AL255+AM255-$B$10)&lt;1)</f>
        <v>1</v>
      </c>
      <c r="AT255" cm="1">
        <f t="array" ref="AT255">IF(AS255=0,1E+99,_xlfn.SWITCH(LEFT($E$39,1),"1",AO255,"2",AP255*1000000000+AO255,"3",-AQ255,"4",AO255+AP255*25000+AR255*0.005-AQ255*0.0001,AO255))</f>
        <v>-989231.64653082099</v>
      </c>
    </row>
    <row r="256" spans="33:46" x14ac:dyDescent="0.55000000000000004">
      <c r="AG256">
        <f t="shared" si="30"/>
        <v>255</v>
      </c>
      <c r="AH256">
        <f t="shared" si="31"/>
        <v>0.3</v>
      </c>
      <c r="AI256">
        <f t="shared" si="32"/>
        <v>0.9</v>
      </c>
      <c r="AJ256">
        <f t="shared" si="33"/>
        <v>0.4</v>
      </c>
      <c r="AK256">
        <f t="shared" si="34"/>
        <v>31670.521633416487</v>
      </c>
      <c r="AL256">
        <f t="shared" si="35"/>
        <v>18223.2</v>
      </c>
      <c r="AM256">
        <f>MIN(MAX(0,$B$10-AL256)*AI256,'Retirement Gap'!$B$29)</f>
        <v>10850.278366583516</v>
      </c>
      <c r="AN256">
        <f>IF($E$40="B - Withdrawals + Roth conversions",AJ256*MAX(0,MIN($B$47-AL256,MIN($B$59,IRMAA!$C$16)-(AL256+$B$8*0.85+AK256*$B$46))),0)</f>
        <v>0</v>
      </c>
      <c r="AO256" cm="1">
        <f t="array" ref="AO256">_xlfn.LET(_xlpm.N,$B$49,_xlpm.R,$B$48,_xlpm.Start,$B$47,_xlpm.PlanWD,AL256,_xlpm.PlanRoth,AM256,_xlpm.PlanConv,AN256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19354.48</v>
      </c>
      <c r="AP256" cm="1">
        <f t="array" ref="AP256">_xlfn.LET(_xlpm.N,$B$49,_xlpm.R,$B$48,_xlpm.Start,$B$47,_xlpm.PlanWD,AL256,_xlpm.PlanRoth,AM256,_xlpm.PlanConv,AN256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256" cm="1">
        <f t="array" ref="AQ256">_xlfn.LET(_xlpm.N,$B$49,_xlpm.R,$B$48,_xlpm.Start,$B$47,_xlpm.PlanWD,AL256,_xlpm.PlanRoth,AM256,_xlpm.PlanConv,AN256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989231.64653082099</v>
      </c>
      <c r="AR256" cm="1">
        <f t="array" ref="AR256">_xlfn.LET(_xlpm.N,$B$49,_xlpm.R,$B$48,_xlpm.Start,$B$47,_xlpm.PlanWD,AL256,_xlpm.PlanRoth,AM256,_xlpm.PlanConv,AN256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1149037.1550534267</v>
      </c>
      <c r="AS256">
        <f>--AND(AK256&lt;=SUM('Retirement Gap'!$B$24:$B$25,'Retirement Gap'!$B$27),AL256+AN256&lt;=$B$47,AM256&lt;='Retirement Gap'!$B$29,ABS(AK256+AL256+AM256-$B$10)&lt;1)</f>
        <v>1</v>
      </c>
      <c r="AT256" cm="1">
        <f t="array" ref="AT256">IF(AS256=0,1E+99,_xlfn.SWITCH(LEFT($E$39,1),"1",AO256,"2",AP256*1000000000+AO256,"3",-AQ256,"4",AO256+AP256*25000+AR256*0.005-AQ256*0.0001,AO256))</f>
        <v>-989231.64653082099</v>
      </c>
    </row>
    <row r="257" spans="33:46" x14ac:dyDescent="0.55000000000000004">
      <c r="AG257">
        <f t="shared" si="30"/>
        <v>256</v>
      </c>
      <c r="AH257">
        <f t="shared" si="31"/>
        <v>0.3</v>
      </c>
      <c r="AI257">
        <f t="shared" si="32"/>
        <v>0.9</v>
      </c>
      <c r="AJ257">
        <f t="shared" si="33"/>
        <v>0.6</v>
      </c>
      <c r="AK257">
        <f t="shared" si="34"/>
        <v>31670.521633416487</v>
      </c>
      <c r="AL257">
        <f t="shared" si="35"/>
        <v>18223.2</v>
      </c>
      <c r="AM257">
        <f>MIN(MAX(0,$B$10-AL257)*AI257,'Retirement Gap'!$B$29)</f>
        <v>10850.278366583516</v>
      </c>
      <c r="AN257">
        <f>IF($E$40="B - Withdrawals + Roth conversions",AJ257*MAX(0,MIN($B$47-AL257,MIN($B$59,IRMAA!$C$16)-(AL257+$B$8*0.85+AK257*$B$46))),0)</f>
        <v>0</v>
      </c>
      <c r="AO257" cm="1">
        <f t="array" ref="AO257">_xlfn.LET(_xlpm.N,$B$49,_xlpm.R,$B$48,_xlpm.Start,$B$47,_xlpm.PlanWD,AL257,_xlpm.PlanRoth,AM257,_xlpm.PlanConv,AN257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19354.48</v>
      </c>
      <c r="AP257" cm="1">
        <f t="array" ref="AP257">_xlfn.LET(_xlpm.N,$B$49,_xlpm.R,$B$48,_xlpm.Start,$B$47,_xlpm.PlanWD,AL257,_xlpm.PlanRoth,AM257,_xlpm.PlanConv,AN257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257" cm="1">
        <f t="array" ref="AQ257">_xlfn.LET(_xlpm.N,$B$49,_xlpm.R,$B$48,_xlpm.Start,$B$47,_xlpm.PlanWD,AL257,_xlpm.PlanRoth,AM257,_xlpm.PlanConv,AN257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989231.64653082099</v>
      </c>
      <c r="AR257" cm="1">
        <f t="array" ref="AR257">_xlfn.LET(_xlpm.N,$B$49,_xlpm.R,$B$48,_xlpm.Start,$B$47,_xlpm.PlanWD,AL257,_xlpm.PlanRoth,AM257,_xlpm.PlanConv,AN257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1149037.1550534267</v>
      </c>
      <c r="AS257">
        <f>--AND(AK257&lt;=SUM('Retirement Gap'!$B$24:$B$25,'Retirement Gap'!$B$27),AL257+AN257&lt;=$B$47,AM257&lt;='Retirement Gap'!$B$29,ABS(AK257+AL257+AM257-$B$10)&lt;1)</f>
        <v>1</v>
      </c>
      <c r="AT257" cm="1">
        <f t="array" ref="AT257">IF(AS257=0,1E+99,_xlfn.SWITCH(LEFT($E$39,1),"1",AO257,"2",AP257*1000000000+AO257,"3",-AQ257,"4",AO257+AP257*25000+AR257*0.005-AQ257*0.0001,AO257))</f>
        <v>-989231.64653082099</v>
      </c>
    </row>
    <row r="258" spans="33:46" x14ac:dyDescent="0.55000000000000004">
      <c r="AG258">
        <f t="shared" si="30"/>
        <v>257</v>
      </c>
      <c r="AH258">
        <f t="shared" si="31"/>
        <v>0.3</v>
      </c>
      <c r="AI258">
        <f t="shared" si="32"/>
        <v>0.9</v>
      </c>
      <c r="AJ258">
        <f t="shared" si="33"/>
        <v>0.8</v>
      </c>
      <c r="AK258">
        <f t="shared" si="34"/>
        <v>31670.521633416487</v>
      </c>
      <c r="AL258">
        <f t="shared" si="35"/>
        <v>18223.2</v>
      </c>
      <c r="AM258">
        <f>MIN(MAX(0,$B$10-AL258)*AI258,'Retirement Gap'!$B$29)</f>
        <v>10850.278366583516</v>
      </c>
      <c r="AN258">
        <f>IF($E$40="B - Withdrawals + Roth conversions",AJ258*MAX(0,MIN($B$47-AL258,MIN($B$59,IRMAA!$C$16)-(AL258+$B$8*0.85+AK258*$B$46))),0)</f>
        <v>0</v>
      </c>
      <c r="AO258" cm="1">
        <f t="array" ref="AO258">_xlfn.LET(_xlpm.N,$B$49,_xlpm.R,$B$48,_xlpm.Start,$B$47,_xlpm.PlanWD,AL258,_xlpm.PlanRoth,AM258,_xlpm.PlanConv,AN258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19354.48</v>
      </c>
      <c r="AP258" cm="1">
        <f t="array" ref="AP258">_xlfn.LET(_xlpm.N,$B$49,_xlpm.R,$B$48,_xlpm.Start,$B$47,_xlpm.PlanWD,AL258,_xlpm.PlanRoth,AM258,_xlpm.PlanConv,AN258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258" cm="1">
        <f t="array" ref="AQ258">_xlfn.LET(_xlpm.N,$B$49,_xlpm.R,$B$48,_xlpm.Start,$B$47,_xlpm.PlanWD,AL258,_xlpm.PlanRoth,AM258,_xlpm.PlanConv,AN258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989231.64653082099</v>
      </c>
      <c r="AR258" cm="1">
        <f t="array" ref="AR258">_xlfn.LET(_xlpm.N,$B$49,_xlpm.R,$B$48,_xlpm.Start,$B$47,_xlpm.PlanWD,AL258,_xlpm.PlanRoth,AM258,_xlpm.PlanConv,AN258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1149037.1550534267</v>
      </c>
      <c r="AS258">
        <f>--AND(AK258&lt;=SUM('Retirement Gap'!$B$24:$B$25,'Retirement Gap'!$B$27),AL258+AN258&lt;=$B$47,AM258&lt;='Retirement Gap'!$B$29,ABS(AK258+AL258+AM258-$B$10)&lt;1)</f>
        <v>1</v>
      </c>
      <c r="AT258" cm="1">
        <f t="array" ref="AT258">IF(AS258=0,1E+99,_xlfn.SWITCH(LEFT($E$39,1),"1",AO258,"2",AP258*1000000000+AO258,"3",-AQ258,"4",AO258+AP258*25000+AR258*0.005-AQ258*0.0001,AO258))</f>
        <v>-989231.64653082099</v>
      </c>
    </row>
    <row r="259" spans="33:46" x14ac:dyDescent="0.55000000000000004">
      <c r="AG259">
        <f t="shared" ref="AG259:AG322" si="36">ROW()-1</f>
        <v>258</v>
      </c>
      <c r="AH259">
        <f t="shared" ref="AH259:AH322" si="37">INT((AG259-1)/66)/10</f>
        <v>0.3</v>
      </c>
      <c r="AI259">
        <f t="shared" ref="AI259:AI322" si="38">MOD(INT((AG259-1)/6),11)/10</f>
        <v>0.9</v>
      </c>
      <c r="AJ259">
        <f t="shared" ref="AJ259:AJ322" si="39">MOD(AG259-1,6)/5</f>
        <v>1</v>
      </c>
      <c r="AK259">
        <f t="shared" ref="AK259:AK322" si="40">MAX(0,$B$10-AL259-AM259)</f>
        <v>31670.521633416487</v>
      </c>
      <c r="AL259">
        <f t="shared" ref="AL259:AL322" si="41">MIN($B$10*AH259,$B$47)</f>
        <v>18223.2</v>
      </c>
      <c r="AM259">
        <f>MIN(MAX(0,$B$10-AL259)*AI259,'Retirement Gap'!$B$29)</f>
        <v>10850.278366583516</v>
      </c>
      <c r="AN259">
        <f>IF($E$40="B - Withdrawals + Roth conversions",AJ259*MAX(0,MIN($B$47-AL259,MIN($B$59,IRMAA!$C$16)-(AL259+$B$8*0.85+AK259*$B$46))),0)</f>
        <v>0</v>
      </c>
      <c r="AO259" cm="1">
        <f t="array" ref="AO259">_xlfn.LET(_xlpm.N,$B$49,_xlpm.R,$B$48,_xlpm.Start,$B$47,_xlpm.PlanWD,AL259,_xlpm.PlanRoth,AM259,_xlpm.PlanConv,AN259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19354.48</v>
      </c>
      <c r="AP259" cm="1">
        <f t="array" ref="AP259">_xlfn.LET(_xlpm.N,$B$49,_xlpm.R,$B$48,_xlpm.Start,$B$47,_xlpm.PlanWD,AL259,_xlpm.PlanRoth,AM259,_xlpm.PlanConv,AN259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259" cm="1">
        <f t="array" ref="AQ259">_xlfn.LET(_xlpm.N,$B$49,_xlpm.R,$B$48,_xlpm.Start,$B$47,_xlpm.PlanWD,AL259,_xlpm.PlanRoth,AM259,_xlpm.PlanConv,AN259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989231.64653082099</v>
      </c>
      <c r="AR259" cm="1">
        <f t="array" ref="AR259">_xlfn.LET(_xlpm.N,$B$49,_xlpm.R,$B$48,_xlpm.Start,$B$47,_xlpm.PlanWD,AL259,_xlpm.PlanRoth,AM259,_xlpm.PlanConv,AN259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1149037.1550534267</v>
      </c>
      <c r="AS259">
        <f>--AND(AK259&lt;=SUM('Retirement Gap'!$B$24:$B$25,'Retirement Gap'!$B$27),AL259+AN259&lt;=$B$47,AM259&lt;='Retirement Gap'!$B$29,ABS(AK259+AL259+AM259-$B$10)&lt;1)</f>
        <v>1</v>
      </c>
      <c r="AT259" cm="1">
        <f t="array" ref="AT259">IF(AS259=0,1E+99,_xlfn.SWITCH(LEFT($E$39,1),"1",AO259,"2",AP259*1000000000+AO259,"3",-AQ259,"4",AO259+AP259*25000+AR259*0.005-AQ259*0.0001,AO259))</f>
        <v>-989231.64653082099</v>
      </c>
    </row>
    <row r="260" spans="33:46" x14ac:dyDescent="0.55000000000000004">
      <c r="AG260">
        <f t="shared" si="36"/>
        <v>259</v>
      </c>
      <c r="AH260">
        <f t="shared" si="37"/>
        <v>0.3</v>
      </c>
      <c r="AI260">
        <f t="shared" si="38"/>
        <v>1</v>
      </c>
      <c r="AJ260">
        <f t="shared" si="39"/>
        <v>0</v>
      </c>
      <c r="AK260">
        <f t="shared" si="40"/>
        <v>31670.521633416487</v>
      </c>
      <c r="AL260">
        <f t="shared" si="41"/>
        <v>18223.2</v>
      </c>
      <c r="AM260">
        <f>MIN(MAX(0,$B$10-AL260)*AI260,'Retirement Gap'!$B$29)</f>
        <v>10850.278366583516</v>
      </c>
      <c r="AN260">
        <f>IF($E$40="B - Withdrawals + Roth conversions",AJ260*MAX(0,MIN($B$47-AL260,MIN($B$59,IRMAA!$C$16)-(AL260+$B$8*0.85+AK260*$B$46))),0)</f>
        <v>0</v>
      </c>
      <c r="AO260" cm="1">
        <f t="array" ref="AO260">_xlfn.LET(_xlpm.N,$B$49,_xlpm.R,$B$48,_xlpm.Start,$B$47,_xlpm.PlanWD,AL260,_xlpm.PlanRoth,AM260,_xlpm.PlanConv,AN260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19354.48</v>
      </c>
      <c r="AP260" cm="1">
        <f t="array" ref="AP260">_xlfn.LET(_xlpm.N,$B$49,_xlpm.R,$B$48,_xlpm.Start,$B$47,_xlpm.PlanWD,AL260,_xlpm.PlanRoth,AM260,_xlpm.PlanConv,AN260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260" cm="1">
        <f t="array" ref="AQ260">_xlfn.LET(_xlpm.N,$B$49,_xlpm.R,$B$48,_xlpm.Start,$B$47,_xlpm.PlanWD,AL260,_xlpm.PlanRoth,AM260,_xlpm.PlanConv,AN260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989231.64653082099</v>
      </c>
      <c r="AR260" cm="1">
        <f t="array" ref="AR260">_xlfn.LET(_xlpm.N,$B$49,_xlpm.R,$B$48,_xlpm.Start,$B$47,_xlpm.PlanWD,AL260,_xlpm.PlanRoth,AM260,_xlpm.PlanConv,AN260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1149037.1550534267</v>
      </c>
      <c r="AS260">
        <f>--AND(AK260&lt;=SUM('Retirement Gap'!$B$24:$B$25,'Retirement Gap'!$B$27),AL260+AN260&lt;=$B$47,AM260&lt;='Retirement Gap'!$B$29,ABS(AK260+AL260+AM260-$B$10)&lt;1)</f>
        <v>1</v>
      </c>
      <c r="AT260" cm="1">
        <f t="array" ref="AT260">IF(AS260=0,1E+99,_xlfn.SWITCH(LEFT($E$39,1),"1",AO260,"2",AP260*1000000000+AO260,"3",-AQ260,"4",AO260+AP260*25000+AR260*0.005-AQ260*0.0001,AO260))</f>
        <v>-989231.64653082099</v>
      </c>
    </row>
    <row r="261" spans="33:46" x14ac:dyDescent="0.55000000000000004">
      <c r="AG261">
        <f t="shared" si="36"/>
        <v>260</v>
      </c>
      <c r="AH261">
        <f t="shared" si="37"/>
        <v>0.3</v>
      </c>
      <c r="AI261">
        <f t="shared" si="38"/>
        <v>1</v>
      </c>
      <c r="AJ261">
        <f t="shared" si="39"/>
        <v>0.2</v>
      </c>
      <c r="AK261">
        <f t="shared" si="40"/>
        <v>31670.521633416487</v>
      </c>
      <c r="AL261">
        <f t="shared" si="41"/>
        <v>18223.2</v>
      </c>
      <c r="AM261">
        <f>MIN(MAX(0,$B$10-AL261)*AI261,'Retirement Gap'!$B$29)</f>
        <v>10850.278366583516</v>
      </c>
      <c r="AN261">
        <f>IF($E$40="B - Withdrawals + Roth conversions",AJ261*MAX(0,MIN($B$47-AL261,MIN($B$59,IRMAA!$C$16)-(AL261+$B$8*0.85+AK261*$B$46))),0)</f>
        <v>0</v>
      </c>
      <c r="AO261" cm="1">
        <f t="array" ref="AO261">_xlfn.LET(_xlpm.N,$B$49,_xlpm.R,$B$48,_xlpm.Start,$B$47,_xlpm.PlanWD,AL261,_xlpm.PlanRoth,AM261,_xlpm.PlanConv,AN261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19354.48</v>
      </c>
      <c r="AP261" cm="1">
        <f t="array" ref="AP261">_xlfn.LET(_xlpm.N,$B$49,_xlpm.R,$B$48,_xlpm.Start,$B$47,_xlpm.PlanWD,AL261,_xlpm.PlanRoth,AM261,_xlpm.PlanConv,AN261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261" cm="1">
        <f t="array" ref="AQ261">_xlfn.LET(_xlpm.N,$B$49,_xlpm.R,$B$48,_xlpm.Start,$B$47,_xlpm.PlanWD,AL261,_xlpm.PlanRoth,AM261,_xlpm.PlanConv,AN261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989231.64653082099</v>
      </c>
      <c r="AR261" cm="1">
        <f t="array" ref="AR261">_xlfn.LET(_xlpm.N,$B$49,_xlpm.R,$B$48,_xlpm.Start,$B$47,_xlpm.PlanWD,AL261,_xlpm.PlanRoth,AM261,_xlpm.PlanConv,AN261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1149037.1550534267</v>
      </c>
      <c r="AS261">
        <f>--AND(AK261&lt;=SUM('Retirement Gap'!$B$24:$B$25,'Retirement Gap'!$B$27),AL261+AN261&lt;=$B$47,AM261&lt;='Retirement Gap'!$B$29,ABS(AK261+AL261+AM261-$B$10)&lt;1)</f>
        <v>1</v>
      </c>
      <c r="AT261" cm="1">
        <f t="array" ref="AT261">IF(AS261=0,1E+99,_xlfn.SWITCH(LEFT($E$39,1),"1",AO261,"2",AP261*1000000000+AO261,"3",-AQ261,"4",AO261+AP261*25000+AR261*0.005-AQ261*0.0001,AO261))</f>
        <v>-989231.64653082099</v>
      </c>
    </row>
    <row r="262" spans="33:46" x14ac:dyDescent="0.55000000000000004">
      <c r="AG262">
        <f t="shared" si="36"/>
        <v>261</v>
      </c>
      <c r="AH262">
        <f t="shared" si="37"/>
        <v>0.3</v>
      </c>
      <c r="AI262">
        <f t="shared" si="38"/>
        <v>1</v>
      </c>
      <c r="AJ262">
        <f t="shared" si="39"/>
        <v>0.4</v>
      </c>
      <c r="AK262">
        <f t="shared" si="40"/>
        <v>31670.521633416487</v>
      </c>
      <c r="AL262">
        <f t="shared" si="41"/>
        <v>18223.2</v>
      </c>
      <c r="AM262">
        <f>MIN(MAX(0,$B$10-AL262)*AI262,'Retirement Gap'!$B$29)</f>
        <v>10850.278366583516</v>
      </c>
      <c r="AN262">
        <f>IF($E$40="B - Withdrawals + Roth conversions",AJ262*MAX(0,MIN($B$47-AL262,MIN($B$59,IRMAA!$C$16)-(AL262+$B$8*0.85+AK262*$B$46))),0)</f>
        <v>0</v>
      </c>
      <c r="AO262" cm="1">
        <f t="array" ref="AO262">_xlfn.LET(_xlpm.N,$B$49,_xlpm.R,$B$48,_xlpm.Start,$B$47,_xlpm.PlanWD,AL262,_xlpm.PlanRoth,AM262,_xlpm.PlanConv,AN262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19354.48</v>
      </c>
      <c r="AP262" cm="1">
        <f t="array" ref="AP262">_xlfn.LET(_xlpm.N,$B$49,_xlpm.R,$B$48,_xlpm.Start,$B$47,_xlpm.PlanWD,AL262,_xlpm.PlanRoth,AM262,_xlpm.PlanConv,AN262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262" cm="1">
        <f t="array" ref="AQ262">_xlfn.LET(_xlpm.N,$B$49,_xlpm.R,$B$48,_xlpm.Start,$B$47,_xlpm.PlanWD,AL262,_xlpm.PlanRoth,AM262,_xlpm.PlanConv,AN262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989231.64653082099</v>
      </c>
      <c r="AR262" cm="1">
        <f t="array" ref="AR262">_xlfn.LET(_xlpm.N,$B$49,_xlpm.R,$B$48,_xlpm.Start,$B$47,_xlpm.PlanWD,AL262,_xlpm.PlanRoth,AM262,_xlpm.PlanConv,AN262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1149037.1550534267</v>
      </c>
      <c r="AS262">
        <f>--AND(AK262&lt;=SUM('Retirement Gap'!$B$24:$B$25,'Retirement Gap'!$B$27),AL262+AN262&lt;=$B$47,AM262&lt;='Retirement Gap'!$B$29,ABS(AK262+AL262+AM262-$B$10)&lt;1)</f>
        <v>1</v>
      </c>
      <c r="AT262" cm="1">
        <f t="array" ref="AT262">IF(AS262=0,1E+99,_xlfn.SWITCH(LEFT($E$39,1),"1",AO262,"2",AP262*1000000000+AO262,"3",-AQ262,"4",AO262+AP262*25000+AR262*0.005-AQ262*0.0001,AO262))</f>
        <v>-989231.64653082099</v>
      </c>
    </row>
    <row r="263" spans="33:46" x14ac:dyDescent="0.55000000000000004">
      <c r="AG263">
        <f t="shared" si="36"/>
        <v>262</v>
      </c>
      <c r="AH263">
        <f t="shared" si="37"/>
        <v>0.3</v>
      </c>
      <c r="AI263">
        <f t="shared" si="38"/>
        <v>1</v>
      </c>
      <c r="AJ263">
        <f t="shared" si="39"/>
        <v>0.6</v>
      </c>
      <c r="AK263">
        <f t="shared" si="40"/>
        <v>31670.521633416487</v>
      </c>
      <c r="AL263">
        <f t="shared" si="41"/>
        <v>18223.2</v>
      </c>
      <c r="AM263">
        <f>MIN(MAX(0,$B$10-AL263)*AI263,'Retirement Gap'!$B$29)</f>
        <v>10850.278366583516</v>
      </c>
      <c r="AN263">
        <f>IF($E$40="B - Withdrawals + Roth conversions",AJ263*MAX(0,MIN($B$47-AL263,MIN($B$59,IRMAA!$C$16)-(AL263+$B$8*0.85+AK263*$B$46))),0)</f>
        <v>0</v>
      </c>
      <c r="AO263" cm="1">
        <f t="array" ref="AO263">_xlfn.LET(_xlpm.N,$B$49,_xlpm.R,$B$48,_xlpm.Start,$B$47,_xlpm.PlanWD,AL263,_xlpm.PlanRoth,AM263,_xlpm.PlanConv,AN263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19354.48</v>
      </c>
      <c r="AP263" cm="1">
        <f t="array" ref="AP263">_xlfn.LET(_xlpm.N,$B$49,_xlpm.R,$B$48,_xlpm.Start,$B$47,_xlpm.PlanWD,AL263,_xlpm.PlanRoth,AM263,_xlpm.PlanConv,AN263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263" cm="1">
        <f t="array" ref="AQ263">_xlfn.LET(_xlpm.N,$B$49,_xlpm.R,$B$48,_xlpm.Start,$B$47,_xlpm.PlanWD,AL263,_xlpm.PlanRoth,AM263,_xlpm.PlanConv,AN263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989231.64653082099</v>
      </c>
      <c r="AR263" cm="1">
        <f t="array" ref="AR263">_xlfn.LET(_xlpm.N,$B$49,_xlpm.R,$B$48,_xlpm.Start,$B$47,_xlpm.PlanWD,AL263,_xlpm.PlanRoth,AM263,_xlpm.PlanConv,AN263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1149037.1550534267</v>
      </c>
      <c r="AS263">
        <f>--AND(AK263&lt;=SUM('Retirement Gap'!$B$24:$B$25,'Retirement Gap'!$B$27),AL263+AN263&lt;=$B$47,AM263&lt;='Retirement Gap'!$B$29,ABS(AK263+AL263+AM263-$B$10)&lt;1)</f>
        <v>1</v>
      </c>
      <c r="AT263" cm="1">
        <f t="array" ref="AT263">IF(AS263=0,1E+99,_xlfn.SWITCH(LEFT($E$39,1),"1",AO263,"2",AP263*1000000000+AO263,"3",-AQ263,"4",AO263+AP263*25000+AR263*0.005-AQ263*0.0001,AO263))</f>
        <v>-989231.64653082099</v>
      </c>
    </row>
    <row r="264" spans="33:46" x14ac:dyDescent="0.55000000000000004">
      <c r="AG264">
        <f t="shared" si="36"/>
        <v>263</v>
      </c>
      <c r="AH264">
        <f t="shared" si="37"/>
        <v>0.3</v>
      </c>
      <c r="AI264">
        <f t="shared" si="38"/>
        <v>1</v>
      </c>
      <c r="AJ264">
        <f t="shared" si="39"/>
        <v>0.8</v>
      </c>
      <c r="AK264">
        <f t="shared" si="40"/>
        <v>31670.521633416487</v>
      </c>
      <c r="AL264">
        <f t="shared" si="41"/>
        <v>18223.2</v>
      </c>
      <c r="AM264">
        <f>MIN(MAX(0,$B$10-AL264)*AI264,'Retirement Gap'!$B$29)</f>
        <v>10850.278366583516</v>
      </c>
      <c r="AN264">
        <f>IF($E$40="B - Withdrawals + Roth conversions",AJ264*MAX(0,MIN($B$47-AL264,MIN($B$59,IRMAA!$C$16)-(AL264+$B$8*0.85+AK264*$B$46))),0)</f>
        <v>0</v>
      </c>
      <c r="AO264" cm="1">
        <f t="array" ref="AO264">_xlfn.LET(_xlpm.N,$B$49,_xlpm.R,$B$48,_xlpm.Start,$B$47,_xlpm.PlanWD,AL264,_xlpm.PlanRoth,AM264,_xlpm.PlanConv,AN264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19354.48</v>
      </c>
      <c r="AP264" cm="1">
        <f t="array" ref="AP264">_xlfn.LET(_xlpm.N,$B$49,_xlpm.R,$B$48,_xlpm.Start,$B$47,_xlpm.PlanWD,AL264,_xlpm.PlanRoth,AM264,_xlpm.PlanConv,AN264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264" cm="1">
        <f t="array" ref="AQ264">_xlfn.LET(_xlpm.N,$B$49,_xlpm.R,$B$48,_xlpm.Start,$B$47,_xlpm.PlanWD,AL264,_xlpm.PlanRoth,AM264,_xlpm.PlanConv,AN264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989231.64653082099</v>
      </c>
      <c r="AR264" cm="1">
        <f t="array" ref="AR264">_xlfn.LET(_xlpm.N,$B$49,_xlpm.R,$B$48,_xlpm.Start,$B$47,_xlpm.PlanWD,AL264,_xlpm.PlanRoth,AM264,_xlpm.PlanConv,AN264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1149037.1550534267</v>
      </c>
      <c r="AS264">
        <f>--AND(AK264&lt;=SUM('Retirement Gap'!$B$24:$B$25,'Retirement Gap'!$B$27),AL264+AN264&lt;=$B$47,AM264&lt;='Retirement Gap'!$B$29,ABS(AK264+AL264+AM264-$B$10)&lt;1)</f>
        <v>1</v>
      </c>
      <c r="AT264" cm="1">
        <f t="array" ref="AT264">IF(AS264=0,1E+99,_xlfn.SWITCH(LEFT($E$39,1),"1",AO264,"2",AP264*1000000000+AO264,"3",-AQ264,"4",AO264+AP264*25000+AR264*0.005-AQ264*0.0001,AO264))</f>
        <v>-989231.64653082099</v>
      </c>
    </row>
    <row r="265" spans="33:46" x14ac:dyDescent="0.55000000000000004">
      <c r="AG265">
        <f t="shared" si="36"/>
        <v>264</v>
      </c>
      <c r="AH265">
        <f t="shared" si="37"/>
        <v>0.3</v>
      </c>
      <c r="AI265">
        <f t="shared" si="38"/>
        <v>1</v>
      </c>
      <c r="AJ265">
        <f t="shared" si="39"/>
        <v>1</v>
      </c>
      <c r="AK265">
        <f t="shared" si="40"/>
        <v>31670.521633416487</v>
      </c>
      <c r="AL265">
        <f t="shared" si="41"/>
        <v>18223.2</v>
      </c>
      <c r="AM265">
        <f>MIN(MAX(0,$B$10-AL265)*AI265,'Retirement Gap'!$B$29)</f>
        <v>10850.278366583516</v>
      </c>
      <c r="AN265">
        <f>IF($E$40="B - Withdrawals + Roth conversions",AJ265*MAX(0,MIN($B$47-AL265,MIN($B$59,IRMAA!$C$16)-(AL265+$B$8*0.85+AK265*$B$46))),0)</f>
        <v>0</v>
      </c>
      <c r="AO265" cm="1">
        <f t="array" ref="AO265">_xlfn.LET(_xlpm.N,$B$49,_xlpm.R,$B$48,_xlpm.Start,$B$47,_xlpm.PlanWD,AL265,_xlpm.PlanRoth,AM265,_xlpm.PlanConv,AN265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19354.48</v>
      </c>
      <c r="AP265" cm="1">
        <f t="array" ref="AP265">_xlfn.LET(_xlpm.N,$B$49,_xlpm.R,$B$48,_xlpm.Start,$B$47,_xlpm.PlanWD,AL265,_xlpm.PlanRoth,AM265,_xlpm.PlanConv,AN265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265" cm="1">
        <f t="array" ref="AQ265">_xlfn.LET(_xlpm.N,$B$49,_xlpm.R,$B$48,_xlpm.Start,$B$47,_xlpm.PlanWD,AL265,_xlpm.PlanRoth,AM265,_xlpm.PlanConv,AN265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989231.64653082099</v>
      </c>
      <c r="AR265" cm="1">
        <f t="array" ref="AR265">_xlfn.LET(_xlpm.N,$B$49,_xlpm.R,$B$48,_xlpm.Start,$B$47,_xlpm.PlanWD,AL265,_xlpm.PlanRoth,AM265,_xlpm.PlanConv,AN265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1149037.1550534267</v>
      </c>
      <c r="AS265">
        <f>--AND(AK265&lt;=SUM('Retirement Gap'!$B$24:$B$25,'Retirement Gap'!$B$27),AL265+AN265&lt;=$B$47,AM265&lt;='Retirement Gap'!$B$29,ABS(AK265+AL265+AM265-$B$10)&lt;1)</f>
        <v>1</v>
      </c>
      <c r="AT265" cm="1">
        <f t="array" ref="AT265">IF(AS265=0,1E+99,_xlfn.SWITCH(LEFT($E$39,1),"1",AO265,"2",AP265*1000000000+AO265,"3",-AQ265,"4",AO265+AP265*25000+AR265*0.005-AQ265*0.0001,AO265))</f>
        <v>-989231.64653082099</v>
      </c>
    </row>
    <row r="266" spans="33:46" x14ac:dyDescent="0.55000000000000004">
      <c r="AG266">
        <f t="shared" si="36"/>
        <v>265</v>
      </c>
      <c r="AH266">
        <f t="shared" si="37"/>
        <v>0.4</v>
      </c>
      <c r="AI266">
        <f t="shared" si="38"/>
        <v>0</v>
      </c>
      <c r="AJ266">
        <f t="shared" si="39"/>
        <v>0</v>
      </c>
      <c r="AK266">
        <f t="shared" si="40"/>
        <v>36446.399999999994</v>
      </c>
      <c r="AL266">
        <f t="shared" si="41"/>
        <v>24297.600000000002</v>
      </c>
      <c r="AM266">
        <f>MIN(MAX(0,$B$10-AL266)*AI266,'Retirement Gap'!$B$29)</f>
        <v>0</v>
      </c>
      <c r="AN266">
        <f>IF($E$40="B - Withdrawals + Roth conversions",AJ266*MAX(0,MIN($B$47-AL266,MIN($B$59,IRMAA!$C$16)-(AL266+$B$8*0.85+AK266*$B$46))),0)</f>
        <v>0</v>
      </c>
      <c r="AO266" cm="1">
        <f t="array" ref="AO266">_xlfn.LET(_xlpm.N,$B$49,_xlpm.R,$B$48,_xlpm.Start,$B$47,_xlpm.PlanWD,AL266,_xlpm.PlanRoth,AM266,_xlpm.PlanConv,AN266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22999.119999999999</v>
      </c>
      <c r="AP266" cm="1">
        <f t="array" ref="AP266">_xlfn.LET(_xlpm.N,$B$49,_xlpm.R,$B$48,_xlpm.Start,$B$47,_xlpm.PlanWD,AL266,_xlpm.PlanRoth,AM266,_xlpm.PlanConv,AN266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266" cm="1">
        <f t="array" ref="AQ266">_xlfn.LET(_xlpm.N,$B$49,_xlpm.R,$B$48,_xlpm.Start,$B$47,_xlpm.PlanWD,AL266,_xlpm.PlanRoth,AM266,_xlpm.PlanConv,AN266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985122.61163367354</v>
      </c>
      <c r="AR266" cm="1">
        <f t="array" ref="AR266">_xlfn.LET(_xlpm.N,$B$49,_xlpm.R,$B$48,_xlpm.Start,$B$47,_xlpm.PlanWD,AL266,_xlpm.PlanRoth,AM266,_xlpm.PlanConv,AN266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1114795.1975772022</v>
      </c>
      <c r="AS266">
        <f>--AND(AK266&lt;=SUM('Retirement Gap'!$B$24:$B$25,'Retirement Gap'!$B$27),AL266+AN266&lt;=$B$47,AM266&lt;='Retirement Gap'!$B$29,ABS(AK266+AL266+AM266-$B$10)&lt;1)</f>
        <v>1</v>
      </c>
      <c r="AT266" cm="1">
        <f t="array" ref="AT266">IF(AS266=0,1E+99,_xlfn.SWITCH(LEFT($E$39,1),"1",AO266,"2",AP266*1000000000+AO266,"3",-AQ266,"4",AO266+AP266*25000+AR266*0.005-AQ266*0.0001,AO266))</f>
        <v>-985122.61163367354</v>
      </c>
    </row>
    <row r="267" spans="33:46" x14ac:dyDescent="0.55000000000000004">
      <c r="AG267">
        <f t="shared" si="36"/>
        <v>266</v>
      </c>
      <c r="AH267">
        <f t="shared" si="37"/>
        <v>0.4</v>
      </c>
      <c r="AI267">
        <f t="shared" si="38"/>
        <v>0</v>
      </c>
      <c r="AJ267">
        <f t="shared" si="39"/>
        <v>0.2</v>
      </c>
      <c r="AK267">
        <f t="shared" si="40"/>
        <v>36446.399999999994</v>
      </c>
      <c r="AL267">
        <f t="shared" si="41"/>
        <v>24297.600000000002</v>
      </c>
      <c r="AM267">
        <f>MIN(MAX(0,$B$10-AL267)*AI267,'Retirement Gap'!$B$29)</f>
        <v>0</v>
      </c>
      <c r="AN267">
        <f>IF($E$40="B - Withdrawals + Roth conversions",AJ267*MAX(0,MIN($B$47-AL267,MIN($B$59,IRMAA!$C$16)-(AL267+$B$8*0.85+AK267*$B$46))),0)</f>
        <v>0</v>
      </c>
      <c r="AO267" cm="1">
        <f t="array" ref="AO267">_xlfn.LET(_xlpm.N,$B$49,_xlpm.R,$B$48,_xlpm.Start,$B$47,_xlpm.PlanWD,AL267,_xlpm.PlanRoth,AM267,_xlpm.PlanConv,AN267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22999.119999999999</v>
      </c>
      <c r="AP267" cm="1">
        <f t="array" ref="AP267">_xlfn.LET(_xlpm.N,$B$49,_xlpm.R,$B$48,_xlpm.Start,$B$47,_xlpm.PlanWD,AL267,_xlpm.PlanRoth,AM267,_xlpm.PlanConv,AN267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267" cm="1">
        <f t="array" ref="AQ267">_xlfn.LET(_xlpm.N,$B$49,_xlpm.R,$B$48,_xlpm.Start,$B$47,_xlpm.PlanWD,AL267,_xlpm.PlanRoth,AM267,_xlpm.PlanConv,AN267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985122.61163367354</v>
      </c>
      <c r="AR267" cm="1">
        <f t="array" ref="AR267">_xlfn.LET(_xlpm.N,$B$49,_xlpm.R,$B$48,_xlpm.Start,$B$47,_xlpm.PlanWD,AL267,_xlpm.PlanRoth,AM267,_xlpm.PlanConv,AN267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1114795.1975772022</v>
      </c>
      <c r="AS267">
        <f>--AND(AK267&lt;=SUM('Retirement Gap'!$B$24:$B$25,'Retirement Gap'!$B$27),AL267+AN267&lt;=$B$47,AM267&lt;='Retirement Gap'!$B$29,ABS(AK267+AL267+AM267-$B$10)&lt;1)</f>
        <v>1</v>
      </c>
      <c r="AT267" cm="1">
        <f t="array" ref="AT267">IF(AS267=0,1E+99,_xlfn.SWITCH(LEFT($E$39,1),"1",AO267,"2",AP267*1000000000+AO267,"3",-AQ267,"4",AO267+AP267*25000+AR267*0.005-AQ267*0.0001,AO267))</f>
        <v>-985122.61163367354</v>
      </c>
    </row>
    <row r="268" spans="33:46" x14ac:dyDescent="0.55000000000000004">
      <c r="AG268">
        <f t="shared" si="36"/>
        <v>267</v>
      </c>
      <c r="AH268">
        <f t="shared" si="37"/>
        <v>0.4</v>
      </c>
      <c r="AI268">
        <f t="shared" si="38"/>
        <v>0</v>
      </c>
      <c r="AJ268">
        <f t="shared" si="39"/>
        <v>0.4</v>
      </c>
      <c r="AK268">
        <f t="shared" si="40"/>
        <v>36446.399999999994</v>
      </c>
      <c r="AL268">
        <f t="shared" si="41"/>
        <v>24297.600000000002</v>
      </c>
      <c r="AM268">
        <f>MIN(MAX(0,$B$10-AL268)*AI268,'Retirement Gap'!$B$29)</f>
        <v>0</v>
      </c>
      <c r="AN268">
        <f>IF($E$40="B - Withdrawals + Roth conversions",AJ268*MAX(0,MIN($B$47-AL268,MIN($B$59,IRMAA!$C$16)-(AL268+$B$8*0.85+AK268*$B$46))),0)</f>
        <v>0</v>
      </c>
      <c r="AO268" cm="1">
        <f t="array" ref="AO268">_xlfn.LET(_xlpm.N,$B$49,_xlpm.R,$B$48,_xlpm.Start,$B$47,_xlpm.PlanWD,AL268,_xlpm.PlanRoth,AM268,_xlpm.PlanConv,AN268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22999.119999999999</v>
      </c>
      <c r="AP268" cm="1">
        <f t="array" ref="AP268">_xlfn.LET(_xlpm.N,$B$49,_xlpm.R,$B$48,_xlpm.Start,$B$47,_xlpm.PlanWD,AL268,_xlpm.PlanRoth,AM268,_xlpm.PlanConv,AN268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268" cm="1">
        <f t="array" ref="AQ268">_xlfn.LET(_xlpm.N,$B$49,_xlpm.R,$B$48,_xlpm.Start,$B$47,_xlpm.PlanWD,AL268,_xlpm.PlanRoth,AM268,_xlpm.PlanConv,AN268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985122.61163367354</v>
      </c>
      <c r="AR268" cm="1">
        <f t="array" ref="AR268">_xlfn.LET(_xlpm.N,$B$49,_xlpm.R,$B$48,_xlpm.Start,$B$47,_xlpm.PlanWD,AL268,_xlpm.PlanRoth,AM268,_xlpm.PlanConv,AN268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1114795.1975772022</v>
      </c>
      <c r="AS268">
        <f>--AND(AK268&lt;=SUM('Retirement Gap'!$B$24:$B$25,'Retirement Gap'!$B$27),AL268+AN268&lt;=$B$47,AM268&lt;='Retirement Gap'!$B$29,ABS(AK268+AL268+AM268-$B$10)&lt;1)</f>
        <v>1</v>
      </c>
      <c r="AT268" cm="1">
        <f t="array" ref="AT268">IF(AS268=0,1E+99,_xlfn.SWITCH(LEFT($E$39,1),"1",AO268,"2",AP268*1000000000+AO268,"3",-AQ268,"4",AO268+AP268*25000+AR268*0.005-AQ268*0.0001,AO268))</f>
        <v>-985122.61163367354</v>
      </c>
    </row>
    <row r="269" spans="33:46" x14ac:dyDescent="0.55000000000000004">
      <c r="AG269">
        <f t="shared" si="36"/>
        <v>268</v>
      </c>
      <c r="AH269">
        <f t="shared" si="37"/>
        <v>0.4</v>
      </c>
      <c r="AI269">
        <f t="shared" si="38"/>
        <v>0</v>
      </c>
      <c r="AJ269">
        <f t="shared" si="39"/>
        <v>0.6</v>
      </c>
      <c r="AK269">
        <f t="shared" si="40"/>
        <v>36446.399999999994</v>
      </c>
      <c r="AL269">
        <f t="shared" si="41"/>
        <v>24297.600000000002</v>
      </c>
      <c r="AM269">
        <f>MIN(MAX(0,$B$10-AL269)*AI269,'Retirement Gap'!$B$29)</f>
        <v>0</v>
      </c>
      <c r="AN269">
        <f>IF($E$40="B - Withdrawals + Roth conversions",AJ269*MAX(0,MIN($B$47-AL269,MIN($B$59,IRMAA!$C$16)-(AL269+$B$8*0.85+AK269*$B$46))),0)</f>
        <v>0</v>
      </c>
      <c r="AO269" cm="1">
        <f t="array" ref="AO269">_xlfn.LET(_xlpm.N,$B$49,_xlpm.R,$B$48,_xlpm.Start,$B$47,_xlpm.PlanWD,AL269,_xlpm.PlanRoth,AM269,_xlpm.PlanConv,AN269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22999.119999999999</v>
      </c>
      <c r="AP269" cm="1">
        <f t="array" ref="AP269">_xlfn.LET(_xlpm.N,$B$49,_xlpm.R,$B$48,_xlpm.Start,$B$47,_xlpm.PlanWD,AL269,_xlpm.PlanRoth,AM269,_xlpm.PlanConv,AN269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269" cm="1">
        <f t="array" ref="AQ269">_xlfn.LET(_xlpm.N,$B$49,_xlpm.R,$B$48,_xlpm.Start,$B$47,_xlpm.PlanWD,AL269,_xlpm.PlanRoth,AM269,_xlpm.PlanConv,AN269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985122.61163367354</v>
      </c>
      <c r="AR269" cm="1">
        <f t="array" ref="AR269">_xlfn.LET(_xlpm.N,$B$49,_xlpm.R,$B$48,_xlpm.Start,$B$47,_xlpm.PlanWD,AL269,_xlpm.PlanRoth,AM269,_xlpm.PlanConv,AN269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1114795.1975772022</v>
      </c>
      <c r="AS269">
        <f>--AND(AK269&lt;=SUM('Retirement Gap'!$B$24:$B$25,'Retirement Gap'!$B$27),AL269+AN269&lt;=$B$47,AM269&lt;='Retirement Gap'!$B$29,ABS(AK269+AL269+AM269-$B$10)&lt;1)</f>
        <v>1</v>
      </c>
      <c r="AT269" cm="1">
        <f t="array" ref="AT269">IF(AS269=0,1E+99,_xlfn.SWITCH(LEFT($E$39,1),"1",AO269,"2",AP269*1000000000+AO269,"3",-AQ269,"4",AO269+AP269*25000+AR269*0.005-AQ269*0.0001,AO269))</f>
        <v>-985122.61163367354</v>
      </c>
    </row>
    <row r="270" spans="33:46" x14ac:dyDescent="0.55000000000000004">
      <c r="AG270">
        <f t="shared" si="36"/>
        <v>269</v>
      </c>
      <c r="AH270">
        <f t="shared" si="37"/>
        <v>0.4</v>
      </c>
      <c r="AI270">
        <f t="shared" si="38"/>
        <v>0</v>
      </c>
      <c r="AJ270">
        <f t="shared" si="39"/>
        <v>0.8</v>
      </c>
      <c r="AK270">
        <f t="shared" si="40"/>
        <v>36446.399999999994</v>
      </c>
      <c r="AL270">
        <f t="shared" si="41"/>
        <v>24297.600000000002</v>
      </c>
      <c r="AM270">
        <f>MIN(MAX(0,$B$10-AL270)*AI270,'Retirement Gap'!$B$29)</f>
        <v>0</v>
      </c>
      <c r="AN270">
        <f>IF($E$40="B - Withdrawals + Roth conversions",AJ270*MAX(0,MIN($B$47-AL270,MIN($B$59,IRMAA!$C$16)-(AL270+$B$8*0.85+AK270*$B$46))),0)</f>
        <v>0</v>
      </c>
      <c r="AO270" cm="1">
        <f t="array" ref="AO270">_xlfn.LET(_xlpm.N,$B$49,_xlpm.R,$B$48,_xlpm.Start,$B$47,_xlpm.PlanWD,AL270,_xlpm.PlanRoth,AM270,_xlpm.PlanConv,AN270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22999.119999999999</v>
      </c>
      <c r="AP270" cm="1">
        <f t="array" ref="AP270">_xlfn.LET(_xlpm.N,$B$49,_xlpm.R,$B$48,_xlpm.Start,$B$47,_xlpm.PlanWD,AL270,_xlpm.PlanRoth,AM270,_xlpm.PlanConv,AN270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270" cm="1">
        <f t="array" ref="AQ270">_xlfn.LET(_xlpm.N,$B$49,_xlpm.R,$B$48,_xlpm.Start,$B$47,_xlpm.PlanWD,AL270,_xlpm.PlanRoth,AM270,_xlpm.PlanConv,AN270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985122.61163367354</v>
      </c>
      <c r="AR270" cm="1">
        <f t="array" ref="AR270">_xlfn.LET(_xlpm.N,$B$49,_xlpm.R,$B$48,_xlpm.Start,$B$47,_xlpm.PlanWD,AL270,_xlpm.PlanRoth,AM270,_xlpm.PlanConv,AN270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1114795.1975772022</v>
      </c>
      <c r="AS270">
        <f>--AND(AK270&lt;=SUM('Retirement Gap'!$B$24:$B$25,'Retirement Gap'!$B$27),AL270+AN270&lt;=$B$47,AM270&lt;='Retirement Gap'!$B$29,ABS(AK270+AL270+AM270-$B$10)&lt;1)</f>
        <v>1</v>
      </c>
      <c r="AT270" cm="1">
        <f t="array" ref="AT270">IF(AS270=0,1E+99,_xlfn.SWITCH(LEFT($E$39,1),"1",AO270,"2",AP270*1000000000+AO270,"3",-AQ270,"4",AO270+AP270*25000+AR270*0.005-AQ270*0.0001,AO270))</f>
        <v>-985122.61163367354</v>
      </c>
    </row>
    <row r="271" spans="33:46" x14ac:dyDescent="0.55000000000000004">
      <c r="AG271">
        <f t="shared" si="36"/>
        <v>270</v>
      </c>
      <c r="AH271">
        <f t="shared" si="37"/>
        <v>0.4</v>
      </c>
      <c r="AI271">
        <f t="shared" si="38"/>
        <v>0</v>
      </c>
      <c r="AJ271">
        <f t="shared" si="39"/>
        <v>1</v>
      </c>
      <c r="AK271">
        <f t="shared" si="40"/>
        <v>36446.399999999994</v>
      </c>
      <c r="AL271">
        <f t="shared" si="41"/>
        <v>24297.600000000002</v>
      </c>
      <c r="AM271">
        <f>MIN(MAX(0,$B$10-AL271)*AI271,'Retirement Gap'!$B$29)</f>
        <v>0</v>
      </c>
      <c r="AN271">
        <f>IF($E$40="B - Withdrawals + Roth conversions",AJ271*MAX(0,MIN($B$47-AL271,MIN($B$59,IRMAA!$C$16)-(AL271+$B$8*0.85+AK271*$B$46))),0)</f>
        <v>0</v>
      </c>
      <c r="AO271" cm="1">
        <f t="array" ref="AO271">_xlfn.LET(_xlpm.N,$B$49,_xlpm.R,$B$48,_xlpm.Start,$B$47,_xlpm.PlanWD,AL271,_xlpm.PlanRoth,AM271,_xlpm.PlanConv,AN271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22999.119999999999</v>
      </c>
      <c r="AP271" cm="1">
        <f t="array" ref="AP271">_xlfn.LET(_xlpm.N,$B$49,_xlpm.R,$B$48,_xlpm.Start,$B$47,_xlpm.PlanWD,AL271,_xlpm.PlanRoth,AM271,_xlpm.PlanConv,AN271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271" cm="1">
        <f t="array" ref="AQ271">_xlfn.LET(_xlpm.N,$B$49,_xlpm.R,$B$48,_xlpm.Start,$B$47,_xlpm.PlanWD,AL271,_xlpm.PlanRoth,AM271,_xlpm.PlanConv,AN271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985122.61163367354</v>
      </c>
      <c r="AR271" cm="1">
        <f t="array" ref="AR271">_xlfn.LET(_xlpm.N,$B$49,_xlpm.R,$B$48,_xlpm.Start,$B$47,_xlpm.PlanWD,AL271,_xlpm.PlanRoth,AM271,_xlpm.PlanConv,AN271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1114795.1975772022</v>
      </c>
      <c r="AS271">
        <f>--AND(AK271&lt;=SUM('Retirement Gap'!$B$24:$B$25,'Retirement Gap'!$B$27),AL271+AN271&lt;=$B$47,AM271&lt;='Retirement Gap'!$B$29,ABS(AK271+AL271+AM271-$B$10)&lt;1)</f>
        <v>1</v>
      </c>
      <c r="AT271" cm="1">
        <f t="array" ref="AT271">IF(AS271=0,1E+99,_xlfn.SWITCH(LEFT($E$39,1),"1",AO271,"2",AP271*1000000000+AO271,"3",-AQ271,"4",AO271+AP271*25000+AR271*0.005-AQ271*0.0001,AO271))</f>
        <v>-985122.61163367354</v>
      </c>
    </row>
    <row r="272" spans="33:46" x14ac:dyDescent="0.55000000000000004">
      <c r="AG272">
        <f t="shared" si="36"/>
        <v>271</v>
      </c>
      <c r="AH272">
        <f t="shared" si="37"/>
        <v>0.4</v>
      </c>
      <c r="AI272">
        <f t="shared" si="38"/>
        <v>0.1</v>
      </c>
      <c r="AJ272">
        <f t="shared" si="39"/>
        <v>0</v>
      </c>
      <c r="AK272">
        <f t="shared" si="40"/>
        <v>32801.759999999995</v>
      </c>
      <c r="AL272">
        <f t="shared" si="41"/>
        <v>24297.600000000002</v>
      </c>
      <c r="AM272">
        <f>MIN(MAX(0,$B$10-AL272)*AI272,'Retirement Gap'!$B$29)</f>
        <v>3644.6399999999994</v>
      </c>
      <c r="AN272">
        <f>IF($E$40="B - Withdrawals + Roth conversions",AJ272*MAX(0,MIN($B$47-AL272,MIN($B$59,IRMAA!$C$16)-(AL272+$B$8*0.85+AK272*$B$46))),0)</f>
        <v>0</v>
      </c>
      <c r="AO272" cm="1">
        <f t="array" ref="AO272">_xlfn.LET(_xlpm.N,$B$49,_xlpm.R,$B$48,_xlpm.Start,$B$47,_xlpm.PlanWD,AL272,_xlpm.PlanRoth,AM272,_xlpm.PlanConv,AN272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22999.119999999999</v>
      </c>
      <c r="AP272" cm="1">
        <f t="array" ref="AP272">_xlfn.LET(_xlpm.N,$B$49,_xlpm.R,$B$48,_xlpm.Start,$B$47,_xlpm.PlanWD,AL272,_xlpm.PlanRoth,AM272,_xlpm.PlanConv,AN272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272" cm="1">
        <f t="array" ref="AQ272">_xlfn.LET(_xlpm.N,$B$49,_xlpm.R,$B$48,_xlpm.Start,$B$47,_xlpm.PlanWD,AL272,_xlpm.PlanRoth,AM272,_xlpm.PlanConv,AN272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985122.61163367354</v>
      </c>
      <c r="AR272" cm="1">
        <f t="array" ref="AR272">_xlfn.LET(_xlpm.N,$B$49,_xlpm.R,$B$48,_xlpm.Start,$B$47,_xlpm.PlanWD,AL272,_xlpm.PlanRoth,AM272,_xlpm.PlanConv,AN272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1114795.1975772022</v>
      </c>
      <c r="AS272">
        <f>--AND(AK272&lt;=SUM('Retirement Gap'!$B$24:$B$25,'Retirement Gap'!$B$27),AL272+AN272&lt;=$B$47,AM272&lt;='Retirement Gap'!$B$29,ABS(AK272+AL272+AM272-$B$10)&lt;1)</f>
        <v>1</v>
      </c>
      <c r="AT272" cm="1">
        <f t="array" ref="AT272">IF(AS272=0,1E+99,_xlfn.SWITCH(LEFT($E$39,1),"1",AO272,"2",AP272*1000000000+AO272,"3",-AQ272,"4",AO272+AP272*25000+AR272*0.005-AQ272*0.0001,AO272))</f>
        <v>-985122.61163367354</v>
      </c>
    </row>
    <row r="273" spans="33:46" x14ac:dyDescent="0.55000000000000004">
      <c r="AG273">
        <f t="shared" si="36"/>
        <v>272</v>
      </c>
      <c r="AH273">
        <f t="shared" si="37"/>
        <v>0.4</v>
      </c>
      <c r="AI273">
        <f t="shared" si="38"/>
        <v>0.1</v>
      </c>
      <c r="AJ273">
        <f t="shared" si="39"/>
        <v>0.2</v>
      </c>
      <c r="AK273">
        <f t="shared" si="40"/>
        <v>32801.759999999995</v>
      </c>
      <c r="AL273">
        <f t="shared" si="41"/>
        <v>24297.600000000002</v>
      </c>
      <c r="AM273">
        <f>MIN(MAX(0,$B$10-AL273)*AI273,'Retirement Gap'!$B$29)</f>
        <v>3644.6399999999994</v>
      </c>
      <c r="AN273">
        <f>IF($E$40="B - Withdrawals + Roth conversions",AJ273*MAX(0,MIN($B$47-AL273,MIN($B$59,IRMAA!$C$16)-(AL273+$B$8*0.85+AK273*$B$46))),0)</f>
        <v>0</v>
      </c>
      <c r="AO273" cm="1">
        <f t="array" ref="AO273">_xlfn.LET(_xlpm.N,$B$49,_xlpm.R,$B$48,_xlpm.Start,$B$47,_xlpm.PlanWD,AL273,_xlpm.PlanRoth,AM273,_xlpm.PlanConv,AN273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22999.119999999999</v>
      </c>
      <c r="AP273" cm="1">
        <f t="array" ref="AP273">_xlfn.LET(_xlpm.N,$B$49,_xlpm.R,$B$48,_xlpm.Start,$B$47,_xlpm.PlanWD,AL273,_xlpm.PlanRoth,AM273,_xlpm.PlanConv,AN273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273" cm="1">
        <f t="array" ref="AQ273">_xlfn.LET(_xlpm.N,$B$49,_xlpm.R,$B$48,_xlpm.Start,$B$47,_xlpm.PlanWD,AL273,_xlpm.PlanRoth,AM273,_xlpm.PlanConv,AN273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985122.61163367354</v>
      </c>
      <c r="AR273" cm="1">
        <f t="array" ref="AR273">_xlfn.LET(_xlpm.N,$B$49,_xlpm.R,$B$48,_xlpm.Start,$B$47,_xlpm.PlanWD,AL273,_xlpm.PlanRoth,AM273,_xlpm.PlanConv,AN273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1114795.1975772022</v>
      </c>
      <c r="AS273">
        <f>--AND(AK273&lt;=SUM('Retirement Gap'!$B$24:$B$25,'Retirement Gap'!$B$27),AL273+AN273&lt;=$B$47,AM273&lt;='Retirement Gap'!$B$29,ABS(AK273+AL273+AM273-$B$10)&lt;1)</f>
        <v>1</v>
      </c>
      <c r="AT273" cm="1">
        <f t="array" ref="AT273">IF(AS273=0,1E+99,_xlfn.SWITCH(LEFT($E$39,1),"1",AO273,"2",AP273*1000000000+AO273,"3",-AQ273,"4",AO273+AP273*25000+AR273*0.005-AQ273*0.0001,AO273))</f>
        <v>-985122.61163367354</v>
      </c>
    </row>
    <row r="274" spans="33:46" x14ac:dyDescent="0.55000000000000004">
      <c r="AG274">
        <f t="shared" si="36"/>
        <v>273</v>
      </c>
      <c r="AH274">
        <f t="shared" si="37"/>
        <v>0.4</v>
      </c>
      <c r="AI274">
        <f t="shared" si="38"/>
        <v>0.1</v>
      </c>
      <c r="AJ274">
        <f t="shared" si="39"/>
        <v>0.4</v>
      </c>
      <c r="AK274">
        <f t="shared" si="40"/>
        <v>32801.759999999995</v>
      </c>
      <c r="AL274">
        <f t="shared" si="41"/>
        <v>24297.600000000002</v>
      </c>
      <c r="AM274">
        <f>MIN(MAX(0,$B$10-AL274)*AI274,'Retirement Gap'!$B$29)</f>
        <v>3644.6399999999994</v>
      </c>
      <c r="AN274">
        <f>IF($E$40="B - Withdrawals + Roth conversions",AJ274*MAX(0,MIN($B$47-AL274,MIN($B$59,IRMAA!$C$16)-(AL274+$B$8*0.85+AK274*$B$46))),0)</f>
        <v>0</v>
      </c>
      <c r="AO274" cm="1">
        <f t="array" ref="AO274">_xlfn.LET(_xlpm.N,$B$49,_xlpm.R,$B$48,_xlpm.Start,$B$47,_xlpm.PlanWD,AL274,_xlpm.PlanRoth,AM274,_xlpm.PlanConv,AN274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22999.119999999999</v>
      </c>
      <c r="AP274" cm="1">
        <f t="array" ref="AP274">_xlfn.LET(_xlpm.N,$B$49,_xlpm.R,$B$48,_xlpm.Start,$B$47,_xlpm.PlanWD,AL274,_xlpm.PlanRoth,AM274,_xlpm.PlanConv,AN274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274" cm="1">
        <f t="array" ref="AQ274">_xlfn.LET(_xlpm.N,$B$49,_xlpm.R,$B$48,_xlpm.Start,$B$47,_xlpm.PlanWD,AL274,_xlpm.PlanRoth,AM274,_xlpm.PlanConv,AN274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985122.61163367354</v>
      </c>
      <c r="AR274" cm="1">
        <f t="array" ref="AR274">_xlfn.LET(_xlpm.N,$B$49,_xlpm.R,$B$48,_xlpm.Start,$B$47,_xlpm.PlanWD,AL274,_xlpm.PlanRoth,AM274,_xlpm.PlanConv,AN274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1114795.1975772022</v>
      </c>
      <c r="AS274">
        <f>--AND(AK274&lt;=SUM('Retirement Gap'!$B$24:$B$25,'Retirement Gap'!$B$27),AL274+AN274&lt;=$B$47,AM274&lt;='Retirement Gap'!$B$29,ABS(AK274+AL274+AM274-$B$10)&lt;1)</f>
        <v>1</v>
      </c>
      <c r="AT274" cm="1">
        <f t="array" ref="AT274">IF(AS274=0,1E+99,_xlfn.SWITCH(LEFT($E$39,1),"1",AO274,"2",AP274*1000000000+AO274,"3",-AQ274,"4",AO274+AP274*25000+AR274*0.005-AQ274*0.0001,AO274))</f>
        <v>-985122.61163367354</v>
      </c>
    </row>
    <row r="275" spans="33:46" x14ac:dyDescent="0.55000000000000004">
      <c r="AG275">
        <f t="shared" si="36"/>
        <v>274</v>
      </c>
      <c r="AH275">
        <f t="shared" si="37"/>
        <v>0.4</v>
      </c>
      <c r="AI275">
        <f t="shared" si="38"/>
        <v>0.1</v>
      </c>
      <c r="AJ275">
        <f t="shared" si="39"/>
        <v>0.6</v>
      </c>
      <c r="AK275">
        <f t="shared" si="40"/>
        <v>32801.759999999995</v>
      </c>
      <c r="AL275">
        <f t="shared" si="41"/>
        <v>24297.600000000002</v>
      </c>
      <c r="AM275">
        <f>MIN(MAX(0,$B$10-AL275)*AI275,'Retirement Gap'!$B$29)</f>
        <v>3644.6399999999994</v>
      </c>
      <c r="AN275">
        <f>IF($E$40="B - Withdrawals + Roth conversions",AJ275*MAX(0,MIN($B$47-AL275,MIN($B$59,IRMAA!$C$16)-(AL275+$B$8*0.85+AK275*$B$46))),0)</f>
        <v>0</v>
      </c>
      <c r="AO275" cm="1">
        <f t="array" ref="AO275">_xlfn.LET(_xlpm.N,$B$49,_xlpm.R,$B$48,_xlpm.Start,$B$47,_xlpm.PlanWD,AL275,_xlpm.PlanRoth,AM275,_xlpm.PlanConv,AN275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22999.119999999999</v>
      </c>
      <c r="AP275" cm="1">
        <f t="array" ref="AP275">_xlfn.LET(_xlpm.N,$B$49,_xlpm.R,$B$48,_xlpm.Start,$B$47,_xlpm.PlanWD,AL275,_xlpm.PlanRoth,AM275,_xlpm.PlanConv,AN275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275" cm="1">
        <f t="array" ref="AQ275">_xlfn.LET(_xlpm.N,$B$49,_xlpm.R,$B$48,_xlpm.Start,$B$47,_xlpm.PlanWD,AL275,_xlpm.PlanRoth,AM275,_xlpm.PlanConv,AN275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985122.61163367354</v>
      </c>
      <c r="AR275" cm="1">
        <f t="array" ref="AR275">_xlfn.LET(_xlpm.N,$B$49,_xlpm.R,$B$48,_xlpm.Start,$B$47,_xlpm.PlanWD,AL275,_xlpm.PlanRoth,AM275,_xlpm.PlanConv,AN275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1114795.1975772022</v>
      </c>
      <c r="AS275">
        <f>--AND(AK275&lt;=SUM('Retirement Gap'!$B$24:$B$25,'Retirement Gap'!$B$27),AL275+AN275&lt;=$B$47,AM275&lt;='Retirement Gap'!$B$29,ABS(AK275+AL275+AM275-$B$10)&lt;1)</f>
        <v>1</v>
      </c>
      <c r="AT275" cm="1">
        <f t="array" ref="AT275">IF(AS275=0,1E+99,_xlfn.SWITCH(LEFT($E$39,1),"1",AO275,"2",AP275*1000000000+AO275,"3",-AQ275,"4",AO275+AP275*25000+AR275*0.005-AQ275*0.0001,AO275))</f>
        <v>-985122.61163367354</v>
      </c>
    </row>
    <row r="276" spans="33:46" x14ac:dyDescent="0.55000000000000004">
      <c r="AG276">
        <f t="shared" si="36"/>
        <v>275</v>
      </c>
      <c r="AH276">
        <f t="shared" si="37"/>
        <v>0.4</v>
      </c>
      <c r="AI276">
        <f t="shared" si="38"/>
        <v>0.1</v>
      </c>
      <c r="AJ276">
        <f t="shared" si="39"/>
        <v>0.8</v>
      </c>
      <c r="AK276">
        <f t="shared" si="40"/>
        <v>32801.759999999995</v>
      </c>
      <c r="AL276">
        <f t="shared" si="41"/>
        <v>24297.600000000002</v>
      </c>
      <c r="AM276">
        <f>MIN(MAX(0,$B$10-AL276)*AI276,'Retirement Gap'!$B$29)</f>
        <v>3644.6399999999994</v>
      </c>
      <c r="AN276">
        <f>IF($E$40="B - Withdrawals + Roth conversions",AJ276*MAX(0,MIN($B$47-AL276,MIN($B$59,IRMAA!$C$16)-(AL276+$B$8*0.85+AK276*$B$46))),0)</f>
        <v>0</v>
      </c>
      <c r="AO276" cm="1">
        <f t="array" ref="AO276">_xlfn.LET(_xlpm.N,$B$49,_xlpm.R,$B$48,_xlpm.Start,$B$47,_xlpm.PlanWD,AL276,_xlpm.PlanRoth,AM276,_xlpm.PlanConv,AN276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22999.119999999999</v>
      </c>
      <c r="AP276" cm="1">
        <f t="array" ref="AP276">_xlfn.LET(_xlpm.N,$B$49,_xlpm.R,$B$48,_xlpm.Start,$B$47,_xlpm.PlanWD,AL276,_xlpm.PlanRoth,AM276,_xlpm.PlanConv,AN276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276" cm="1">
        <f t="array" ref="AQ276">_xlfn.LET(_xlpm.N,$B$49,_xlpm.R,$B$48,_xlpm.Start,$B$47,_xlpm.PlanWD,AL276,_xlpm.PlanRoth,AM276,_xlpm.PlanConv,AN276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985122.61163367354</v>
      </c>
      <c r="AR276" cm="1">
        <f t="array" ref="AR276">_xlfn.LET(_xlpm.N,$B$49,_xlpm.R,$B$48,_xlpm.Start,$B$47,_xlpm.PlanWD,AL276,_xlpm.PlanRoth,AM276,_xlpm.PlanConv,AN276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1114795.1975772022</v>
      </c>
      <c r="AS276">
        <f>--AND(AK276&lt;=SUM('Retirement Gap'!$B$24:$B$25,'Retirement Gap'!$B$27),AL276+AN276&lt;=$B$47,AM276&lt;='Retirement Gap'!$B$29,ABS(AK276+AL276+AM276-$B$10)&lt;1)</f>
        <v>1</v>
      </c>
      <c r="AT276" cm="1">
        <f t="array" ref="AT276">IF(AS276=0,1E+99,_xlfn.SWITCH(LEFT($E$39,1),"1",AO276,"2",AP276*1000000000+AO276,"3",-AQ276,"4",AO276+AP276*25000+AR276*0.005-AQ276*0.0001,AO276))</f>
        <v>-985122.61163367354</v>
      </c>
    </row>
    <row r="277" spans="33:46" x14ac:dyDescent="0.55000000000000004">
      <c r="AG277">
        <f t="shared" si="36"/>
        <v>276</v>
      </c>
      <c r="AH277">
        <f t="shared" si="37"/>
        <v>0.4</v>
      </c>
      <c r="AI277">
        <f t="shared" si="38"/>
        <v>0.1</v>
      </c>
      <c r="AJ277">
        <f t="shared" si="39"/>
        <v>1</v>
      </c>
      <c r="AK277">
        <f t="shared" si="40"/>
        <v>32801.759999999995</v>
      </c>
      <c r="AL277">
        <f t="shared" si="41"/>
        <v>24297.600000000002</v>
      </c>
      <c r="AM277">
        <f>MIN(MAX(0,$B$10-AL277)*AI277,'Retirement Gap'!$B$29)</f>
        <v>3644.6399999999994</v>
      </c>
      <c r="AN277">
        <f>IF($E$40="B - Withdrawals + Roth conversions",AJ277*MAX(0,MIN($B$47-AL277,MIN($B$59,IRMAA!$C$16)-(AL277+$B$8*0.85+AK277*$B$46))),0)</f>
        <v>0</v>
      </c>
      <c r="AO277" cm="1">
        <f t="array" ref="AO277">_xlfn.LET(_xlpm.N,$B$49,_xlpm.R,$B$48,_xlpm.Start,$B$47,_xlpm.PlanWD,AL277,_xlpm.PlanRoth,AM277,_xlpm.PlanConv,AN277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22999.119999999999</v>
      </c>
      <c r="AP277" cm="1">
        <f t="array" ref="AP277">_xlfn.LET(_xlpm.N,$B$49,_xlpm.R,$B$48,_xlpm.Start,$B$47,_xlpm.PlanWD,AL277,_xlpm.PlanRoth,AM277,_xlpm.PlanConv,AN277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277" cm="1">
        <f t="array" ref="AQ277">_xlfn.LET(_xlpm.N,$B$49,_xlpm.R,$B$48,_xlpm.Start,$B$47,_xlpm.PlanWD,AL277,_xlpm.PlanRoth,AM277,_xlpm.PlanConv,AN277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985122.61163367354</v>
      </c>
      <c r="AR277" cm="1">
        <f t="array" ref="AR277">_xlfn.LET(_xlpm.N,$B$49,_xlpm.R,$B$48,_xlpm.Start,$B$47,_xlpm.PlanWD,AL277,_xlpm.PlanRoth,AM277,_xlpm.PlanConv,AN277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1114795.1975772022</v>
      </c>
      <c r="AS277">
        <f>--AND(AK277&lt;=SUM('Retirement Gap'!$B$24:$B$25,'Retirement Gap'!$B$27),AL277+AN277&lt;=$B$47,AM277&lt;='Retirement Gap'!$B$29,ABS(AK277+AL277+AM277-$B$10)&lt;1)</f>
        <v>1</v>
      </c>
      <c r="AT277" cm="1">
        <f t="array" ref="AT277">IF(AS277=0,1E+99,_xlfn.SWITCH(LEFT($E$39,1),"1",AO277,"2",AP277*1000000000+AO277,"3",-AQ277,"4",AO277+AP277*25000+AR277*0.005-AQ277*0.0001,AO277))</f>
        <v>-985122.61163367354</v>
      </c>
    </row>
    <row r="278" spans="33:46" x14ac:dyDescent="0.55000000000000004">
      <c r="AG278">
        <f t="shared" si="36"/>
        <v>277</v>
      </c>
      <c r="AH278">
        <f t="shared" si="37"/>
        <v>0.4</v>
      </c>
      <c r="AI278">
        <f t="shared" si="38"/>
        <v>0.2</v>
      </c>
      <c r="AJ278">
        <f t="shared" si="39"/>
        <v>0</v>
      </c>
      <c r="AK278">
        <f t="shared" si="40"/>
        <v>29157.119999999995</v>
      </c>
      <c r="AL278">
        <f t="shared" si="41"/>
        <v>24297.600000000002</v>
      </c>
      <c r="AM278">
        <f>MIN(MAX(0,$B$10-AL278)*AI278,'Retirement Gap'!$B$29)</f>
        <v>7289.2799999999988</v>
      </c>
      <c r="AN278">
        <f>IF($E$40="B - Withdrawals + Roth conversions",AJ278*MAX(0,MIN($B$47-AL278,MIN($B$59,IRMAA!$C$16)-(AL278+$B$8*0.85+AK278*$B$46))),0)</f>
        <v>0</v>
      </c>
      <c r="AO278" cm="1">
        <f t="array" ref="AO278">_xlfn.LET(_xlpm.N,$B$49,_xlpm.R,$B$48,_xlpm.Start,$B$47,_xlpm.PlanWD,AL278,_xlpm.PlanRoth,AM278,_xlpm.PlanConv,AN278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22999.119999999999</v>
      </c>
      <c r="AP278" cm="1">
        <f t="array" ref="AP278">_xlfn.LET(_xlpm.N,$B$49,_xlpm.R,$B$48,_xlpm.Start,$B$47,_xlpm.PlanWD,AL278,_xlpm.PlanRoth,AM278,_xlpm.PlanConv,AN278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278" cm="1">
        <f t="array" ref="AQ278">_xlfn.LET(_xlpm.N,$B$49,_xlpm.R,$B$48,_xlpm.Start,$B$47,_xlpm.PlanWD,AL278,_xlpm.PlanRoth,AM278,_xlpm.PlanConv,AN278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985122.61163367354</v>
      </c>
      <c r="AR278" cm="1">
        <f t="array" ref="AR278">_xlfn.LET(_xlpm.N,$B$49,_xlpm.R,$B$48,_xlpm.Start,$B$47,_xlpm.PlanWD,AL278,_xlpm.PlanRoth,AM278,_xlpm.PlanConv,AN278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1114795.1975772022</v>
      </c>
      <c r="AS278">
        <f>--AND(AK278&lt;=SUM('Retirement Gap'!$B$24:$B$25,'Retirement Gap'!$B$27),AL278+AN278&lt;=$B$47,AM278&lt;='Retirement Gap'!$B$29,ABS(AK278+AL278+AM278-$B$10)&lt;1)</f>
        <v>1</v>
      </c>
      <c r="AT278" cm="1">
        <f t="array" ref="AT278">IF(AS278=0,1E+99,_xlfn.SWITCH(LEFT($E$39,1),"1",AO278,"2",AP278*1000000000+AO278,"3",-AQ278,"4",AO278+AP278*25000+AR278*0.005-AQ278*0.0001,AO278))</f>
        <v>-985122.61163367354</v>
      </c>
    </row>
    <row r="279" spans="33:46" x14ac:dyDescent="0.55000000000000004">
      <c r="AG279">
        <f t="shared" si="36"/>
        <v>278</v>
      </c>
      <c r="AH279">
        <f t="shared" si="37"/>
        <v>0.4</v>
      </c>
      <c r="AI279">
        <f t="shared" si="38"/>
        <v>0.2</v>
      </c>
      <c r="AJ279">
        <f t="shared" si="39"/>
        <v>0.2</v>
      </c>
      <c r="AK279">
        <f t="shared" si="40"/>
        <v>29157.119999999995</v>
      </c>
      <c r="AL279">
        <f t="shared" si="41"/>
        <v>24297.600000000002</v>
      </c>
      <c r="AM279">
        <f>MIN(MAX(0,$B$10-AL279)*AI279,'Retirement Gap'!$B$29)</f>
        <v>7289.2799999999988</v>
      </c>
      <c r="AN279">
        <f>IF($E$40="B - Withdrawals + Roth conversions",AJ279*MAX(0,MIN($B$47-AL279,MIN($B$59,IRMAA!$C$16)-(AL279+$B$8*0.85+AK279*$B$46))),0)</f>
        <v>0</v>
      </c>
      <c r="AO279" cm="1">
        <f t="array" ref="AO279">_xlfn.LET(_xlpm.N,$B$49,_xlpm.R,$B$48,_xlpm.Start,$B$47,_xlpm.PlanWD,AL279,_xlpm.PlanRoth,AM279,_xlpm.PlanConv,AN279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22999.119999999999</v>
      </c>
      <c r="AP279" cm="1">
        <f t="array" ref="AP279">_xlfn.LET(_xlpm.N,$B$49,_xlpm.R,$B$48,_xlpm.Start,$B$47,_xlpm.PlanWD,AL279,_xlpm.PlanRoth,AM279,_xlpm.PlanConv,AN279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279" cm="1">
        <f t="array" ref="AQ279">_xlfn.LET(_xlpm.N,$B$49,_xlpm.R,$B$48,_xlpm.Start,$B$47,_xlpm.PlanWD,AL279,_xlpm.PlanRoth,AM279,_xlpm.PlanConv,AN279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985122.61163367354</v>
      </c>
      <c r="AR279" cm="1">
        <f t="array" ref="AR279">_xlfn.LET(_xlpm.N,$B$49,_xlpm.R,$B$48,_xlpm.Start,$B$47,_xlpm.PlanWD,AL279,_xlpm.PlanRoth,AM279,_xlpm.PlanConv,AN279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1114795.1975772022</v>
      </c>
      <c r="AS279">
        <f>--AND(AK279&lt;=SUM('Retirement Gap'!$B$24:$B$25,'Retirement Gap'!$B$27),AL279+AN279&lt;=$B$47,AM279&lt;='Retirement Gap'!$B$29,ABS(AK279+AL279+AM279-$B$10)&lt;1)</f>
        <v>1</v>
      </c>
      <c r="AT279" cm="1">
        <f t="array" ref="AT279">IF(AS279=0,1E+99,_xlfn.SWITCH(LEFT($E$39,1),"1",AO279,"2",AP279*1000000000+AO279,"3",-AQ279,"4",AO279+AP279*25000+AR279*0.005-AQ279*0.0001,AO279))</f>
        <v>-985122.61163367354</v>
      </c>
    </row>
    <row r="280" spans="33:46" x14ac:dyDescent="0.55000000000000004">
      <c r="AG280">
        <f t="shared" si="36"/>
        <v>279</v>
      </c>
      <c r="AH280">
        <f t="shared" si="37"/>
        <v>0.4</v>
      </c>
      <c r="AI280">
        <f t="shared" si="38"/>
        <v>0.2</v>
      </c>
      <c r="AJ280">
        <f t="shared" si="39"/>
        <v>0.4</v>
      </c>
      <c r="AK280">
        <f t="shared" si="40"/>
        <v>29157.119999999995</v>
      </c>
      <c r="AL280">
        <f t="shared" si="41"/>
        <v>24297.600000000002</v>
      </c>
      <c r="AM280">
        <f>MIN(MAX(0,$B$10-AL280)*AI280,'Retirement Gap'!$B$29)</f>
        <v>7289.2799999999988</v>
      </c>
      <c r="AN280">
        <f>IF($E$40="B - Withdrawals + Roth conversions",AJ280*MAX(0,MIN($B$47-AL280,MIN($B$59,IRMAA!$C$16)-(AL280+$B$8*0.85+AK280*$B$46))),0)</f>
        <v>0</v>
      </c>
      <c r="AO280" cm="1">
        <f t="array" ref="AO280">_xlfn.LET(_xlpm.N,$B$49,_xlpm.R,$B$48,_xlpm.Start,$B$47,_xlpm.PlanWD,AL280,_xlpm.PlanRoth,AM280,_xlpm.PlanConv,AN280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22999.119999999999</v>
      </c>
      <c r="AP280" cm="1">
        <f t="array" ref="AP280">_xlfn.LET(_xlpm.N,$B$49,_xlpm.R,$B$48,_xlpm.Start,$B$47,_xlpm.PlanWD,AL280,_xlpm.PlanRoth,AM280,_xlpm.PlanConv,AN280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280" cm="1">
        <f t="array" ref="AQ280">_xlfn.LET(_xlpm.N,$B$49,_xlpm.R,$B$48,_xlpm.Start,$B$47,_xlpm.PlanWD,AL280,_xlpm.PlanRoth,AM280,_xlpm.PlanConv,AN280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985122.61163367354</v>
      </c>
      <c r="AR280" cm="1">
        <f t="array" ref="AR280">_xlfn.LET(_xlpm.N,$B$49,_xlpm.R,$B$48,_xlpm.Start,$B$47,_xlpm.PlanWD,AL280,_xlpm.PlanRoth,AM280,_xlpm.PlanConv,AN280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1114795.1975772022</v>
      </c>
      <c r="AS280">
        <f>--AND(AK280&lt;=SUM('Retirement Gap'!$B$24:$B$25,'Retirement Gap'!$B$27),AL280+AN280&lt;=$B$47,AM280&lt;='Retirement Gap'!$B$29,ABS(AK280+AL280+AM280-$B$10)&lt;1)</f>
        <v>1</v>
      </c>
      <c r="AT280" cm="1">
        <f t="array" ref="AT280">IF(AS280=0,1E+99,_xlfn.SWITCH(LEFT($E$39,1),"1",AO280,"2",AP280*1000000000+AO280,"3",-AQ280,"4",AO280+AP280*25000+AR280*0.005-AQ280*0.0001,AO280))</f>
        <v>-985122.61163367354</v>
      </c>
    </row>
    <row r="281" spans="33:46" x14ac:dyDescent="0.55000000000000004">
      <c r="AG281">
        <f t="shared" si="36"/>
        <v>280</v>
      </c>
      <c r="AH281">
        <f t="shared" si="37"/>
        <v>0.4</v>
      </c>
      <c r="AI281">
        <f t="shared" si="38"/>
        <v>0.2</v>
      </c>
      <c r="AJ281">
        <f t="shared" si="39"/>
        <v>0.6</v>
      </c>
      <c r="AK281">
        <f t="shared" si="40"/>
        <v>29157.119999999995</v>
      </c>
      <c r="AL281">
        <f t="shared" si="41"/>
        <v>24297.600000000002</v>
      </c>
      <c r="AM281">
        <f>MIN(MAX(0,$B$10-AL281)*AI281,'Retirement Gap'!$B$29)</f>
        <v>7289.2799999999988</v>
      </c>
      <c r="AN281">
        <f>IF($E$40="B - Withdrawals + Roth conversions",AJ281*MAX(0,MIN($B$47-AL281,MIN($B$59,IRMAA!$C$16)-(AL281+$B$8*0.85+AK281*$B$46))),0)</f>
        <v>0</v>
      </c>
      <c r="AO281" cm="1">
        <f t="array" ref="AO281">_xlfn.LET(_xlpm.N,$B$49,_xlpm.R,$B$48,_xlpm.Start,$B$47,_xlpm.PlanWD,AL281,_xlpm.PlanRoth,AM281,_xlpm.PlanConv,AN281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22999.119999999999</v>
      </c>
      <c r="AP281" cm="1">
        <f t="array" ref="AP281">_xlfn.LET(_xlpm.N,$B$49,_xlpm.R,$B$48,_xlpm.Start,$B$47,_xlpm.PlanWD,AL281,_xlpm.PlanRoth,AM281,_xlpm.PlanConv,AN281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281" cm="1">
        <f t="array" ref="AQ281">_xlfn.LET(_xlpm.N,$B$49,_xlpm.R,$B$48,_xlpm.Start,$B$47,_xlpm.PlanWD,AL281,_xlpm.PlanRoth,AM281,_xlpm.PlanConv,AN281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985122.61163367354</v>
      </c>
      <c r="AR281" cm="1">
        <f t="array" ref="AR281">_xlfn.LET(_xlpm.N,$B$49,_xlpm.R,$B$48,_xlpm.Start,$B$47,_xlpm.PlanWD,AL281,_xlpm.PlanRoth,AM281,_xlpm.PlanConv,AN281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1114795.1975772022</v>
      </c>
      <c r="AS281">
        <f>--AND(AK281&lt;=SUM('Retirement Gap'!$B$24:$B$25,'Retirement Gap'!$B$27),AL281+AN281&lt;=$B$47,AM281&lt;='Retirement Gap'!$B$29,ABS(AK281+AL281+AM281-$B$10)&lt;1)</f>
        <v>1</v>
      </c>
      <c r="AT281" cm="1">
        <f t="array" ref="AT281">IF(AS281=0,1E+99,_xlfn.SWITCH(LEFT($E$39,1),"1",AO281,"2",AP281*1000000000+AO281,"3",-AQ281,"4",AO281+AP281*25000+AR281*0.005-AQ281*0.0001,AO281))</f>
        <v>-985122.61163367354</v>
      </c>
    </row>
    <row r="282" spans="33:46" x14ac:dyDescent="0.55000000000000004">
      <c r="AG282">
        <f t="shared" si="36"/>
        <v>281</v>
      </c>
      <c r="AH282">
        <f t="shared" si="37"/>
        <v>0.4</v>
      </c>
      <c r="AI282">
        <f t="shared" si="38"/>
        <v>0.2</v>
      </c>
      <c r="AJ282">
        <f t="shared" si="39"/>
        <v>0.8</v>
      </c>
      <c r="AK282">
        <f t="shared" si="40"/>
        <v>29157.119999999995</v>
      </c>
      <c r="AL282">
        <f t="shared" si="41"/>
        <v>24297.600000000002</v>
      </c>
      <c r="AM282">
        <f>MIN(MAX(0,$B$10-AL282)*AI282,'Retirement Gap'!$B$29)</f>
        <v>7289.2799999999988</v>
      </c>
      <c r="AN282">
        <f>IF($E$40="B - Withdrawals + Roth conversions",AJ282*MAX(0,MIN($B$47-AL282,MIN($B$59,IRMAA!$C$16)-(AL282+$B$8*0.85+AK282*$B$46))),0)</f>
        <v>0</v>
      </c>
      <c r="AO282" cm="1">
        <f t="array" ref="AO282">_xlfn.LET(_xlpm.N,$B$49,_xlpm.R,$B$48,_xlpm.Start,$B$47,_xlpm.PlanWD,AL282,_xlpm.PlanRoth,AM282,_xlpm.PlanConv,AN282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22999.119999999999</v>
      </c>
      <c r="AP282" cm="1">
        <f t="array" ref="AP282">_xlfn.LET(_xlpm.N,$B$49,_xlpm.R,$B$48,_xlpm.Start,$B$47,_xlpm.PlanWD,AL282,_xlpm.PlanRoth,AM282,_xlpm.PlanConv,AN282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282" cm="1">
        <f t="array" ref="AQ282">_xlfn.LET(_xlpm.N,$B$49,_xlpm.R,$B$48,_xlpm.Start,$B$47,_xlpm.PlanWD,AL282,_xlpm.PlanRoth,AM282,_xlpm.PlanConv,AN282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985122.61163367354</v>
      </c>
      <c r="AR282" cm="1">
        <f t="array" ref="AR282">_xlfn.LET(_xlpm.N,$B$49,_xlpm.R,$B$48,_xlpm.Start,$B$47,_xlpm.PlanWD,AL282,_xlpm.PlanRoth,AM282,_xlpm.PlanConv,AN282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1114795.1975772022</v>
      </c>
      <c r="AS282">
        <f>--AND(AK282&lt;=SUM('Retirement Gap'!$B$24:$B$25,'Retirement Gap'!$B$27),AL282+AN282&lt;=$B$47,AM282&lt;='Retirement Gap'!$B$29,ABS(AK282+AL282+AM282-$B$10)&lt;1)</f>
        <v>1</v>
      </c>
      <c r="AT282" cm="1">
        <f t="array" ref="AT282">IF(AS282=0,1E+99,_xlfn.SWITCH(LEFT($E$39,1),"1",AO282,"2",AP282*1000000000+AO282,"3",-AQ282,"4",AO282+AP282*25000+AR282*0.005-AQ282*0.0001,AO282))</f>
        <v>-985122.61163367354</v>
      </c>
    </row>
    <row r="283" spans="33:46" x14ac:dyDescent="0.55000000000000004">
      <c r="AG283">
        <f t="shared" si="36"/>
        <v>282</v>
      </c>
      <c r="AH283">
        <f t="shared" si="37"/>
        <v>0.4</v>
      </c>
      <c r="AI283">
        <f t="shared" si="38"/>
        <v>0.2</v>
      </c>
      <c r="AJ283">
        <f t="shared" si="39"/>
        <v>1</v>
      </c>
      <c r="AK283">
        <f t="shared" si="40"/>
        <v>29157.119999999995</v>
      </c>
      <c r="AL283">
        <f t="shared" si="41"/>
        <v>24297.600000000002</v>
      </c>
      <c r="AM283">
        <f>MIN(MAX(0,$B$10-AL283)*AI283,'Retirement Gap'!$B$29)</f>
        <v>7289.2799999999988</v>
      </c>
      <c r="AN283">
        <f>IF($E$40="B - Withdrawals + Roth conversions",AJ283*MAX(0,MIN($B$47-AL283,MIN($B$59,IRMAA!$C$16)-(AL283+$B$8*0.85+AK283*$B$46))),0)</f>
        <v>0</v>
      </c>
      <c r="AO283" cm="1">
        <f t="array" ref="AO283">_xlfn.LET(_xlpm.N,$B$49,_xlpm.R,$B$48,_xlpm.Start,$B$47,_xlpm.PlanWD,AL283,_xlpm.PlanRoth,AM283,_xlpm.PlanConv,AN283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22999.119999999999</v>
      </c>
      <c r="AP283" cm="1">
        <f t="array" ref="AP283">_xlfn.LET(_xlpm.N,$B$49,_xlpm.R,$B$48,_xlpm.Start,$B$47,_xlpm.PlanWD,AL283,_xlpm.PlanRoth,AM283,_xlpm.PlanConv,AN283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283" cm="1">
        <f t="array" ref="AQ283">_xlfn.LET(_xlpm.N,$B$49,_xlpm.R,$B$48,_xlpm.Start,$B$47,_xlpm.PlanWD,AL283,_xlpm.PlanRoth,AM283,_xlpm.PlanConv,AN283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985122.61163367354</v>
      </c>
      <c r="AR283" cm="1">
        <f t="array" ref="AR283">_xlfn.LET(_xlpm.N,$B$49,_xlpm.R,$B$48,_xlpm.Start,$B$47,_xlpm.PlanWD,AL283,_xlpm.PlanRoth,AM283,_xlpm.PlanConv,AN283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1114795.1975772022</v>
      </c>
      <c r="AS283">
        <f>--AND(AK283&lt;=SUM('Retirement Gap'!$B$24:$B$25,'Retirement Gap'!$B$27),AL283+AN283&lt;=$B$47,AM283&lt;='Retirement Gap'!$B$29,ABS(AK283+AL283+AM283-$B$10)&lt;1)</f>
        <v>1</v>
      </c>
      <c r="AT283" cm="1">
        <f t="array" ref="AT283">IF(AS283=0,1E+99,_xlfn.SWITCH(LEFT($E$39,1),"1",AO283,"2",AP283*1000000000+AO283,"3",-AQ283,"4",AO283+AP283*25000+AR283*0.005-AQ283*0.0001,AO283))</f>
        <v>-985122.61163367354</v>
      </c>
    </row>
    <row r="284" spans="33:46" x14ac:dyDescent="0.55000000000000004">
      <c r="AG284">
        <f t="shared" si="36"/>
        <v>283</v>
      </c>
      <c r="AH284">
        <f t="shared" si="37"/>
        <v>0.4</v>
      </c>
      <c r="AI284">
        <f t="shared" si="38"/>
        <v>0.3</v>
      </c>
      <c r="AJ284">
        <f t="shared" si="39"/>
        <v>0</v>
      </c>
      <c r="AK284">
        <f t="shared" si="40"/>
        <v>25596.121633416478</v>
      </c>
      <c r="AL284">
        <f t="shared" si="41"/>
        <v>24297.600000000002</v>
      </c>
      <c r="AM284">
        <f>MIN(MAX(0,$B$10-AL284)*AI284,'Retirement Gap'!$B$29)</f>
        <v>10850.278366583516</v>
      </c>
      <c r="AN284">
        <f>IF($E$40="B - Withdrawals + Roth conversions",AJ284*MAX(0,MIN($B$47-AL284,MIN($B$59,IRMAA!$C$16)-(AL284+$B$8*0.85+AK284*$B$46))),0)</f>
        <v>0</v>
      </c>
      <c r="AO284" cm="1">
        <f t="array" ref="AO284">_xlfn.LET(_xlpm.N,$B$49,_xlpm.R,$B$48,_xlpm.Start,$B$47,_xlpm.PlanWD,AL284,_xlpm.PlanRoth,AM284,_xlpm.PlanConv,AN284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22999.119999999999</v>
      </c>
      <c r="AP284" cm="1">
        <f t="array" ref="AP284">_xlfn.LET(_xlpm.N,$B$49,_xlpm.R,$B$48,_xlpm.Start,$B$47,_xlpm.PlanWD,AL284,_xlpm.PlanRoth,AM284,_xlpm.PlanConv,AN284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284" cm="1">
        <f t="array" ref="AQ284">_xlfn.LET(_xlpm.N,$B$49,_xlpm.R,$B$48,_xlpm.Start,$B$47,_xlpm.PlanWD,AL284,_xlpm.PlanRoth,AM284,_xlpm.PlanConv,AN284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985122.61163367354</v>
      </c>
      <c r="AR284" cm="1">
        <f t="array" ref="AR284">_xlfn.LET(_xlpm.N,$B$49,_xlpm.R,$B$48,_xlpm.Start,$B$47,_xlpm.PlanWD,AL284,_xlpm.PlanRoth,AM284,_xlpm.PlanConv,AN284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1114795.1975772022</v>
      </c>
      <c r="AS284">
        <f>--AND(AK284&lt;=SUM('Retirement Gap'!$B$24:$B$25,'Retirement Gap'!$B$27),AL284+AN284&lt;=$B$47,AM284&lt;='Retirement Gap'!$B$29,ABS(AK284+AL284+AM284-$B$10)&lt;1)</f>
        <v>1</v>
      </c>
      <c r="AT284" cm="1">
        <f t="array" ref="AT284">IF(AS284=0,1E+99,_xlfn.SWITCH(LEFT($E$39,1),"1",AO284,"2",AP284*1000000000+AO284,"3",-AQ284,"4",AO284+AP284*25000+AR284*0.005-AQ284*0.0001,AO284))</f>
        <v>-985122.61163367354</v>
      </c>
    </row>
    <row r="285" spans="33:46" x14ac:dyDescent="0.55000000000000004">
      <c r="AG285">
        <f t="shared" si="36"/>
        <v>284</v>
      </c>
      <c r="AH285">
        <f t="shared" si="37"/>
        <v>0.4</v>
      </c>
      <c r="AI285">
        <f t="shared" si="38"/>
        <v>0.3</v>
      </c>
      <c r="AJ285">
        <f t="shared" si="39"/>
        <v>0.2</v>
      </c>
      <c r="AK285">
        <f t="shared" si="40"/>
        <v>25596.121633416478</v>
      </c>
      <c r="AL285">
        <f t="shared" si="41"/>
        <v>24297.600000000002</v>
      </c>
      <c r="AM285">
        <f>MIN(MAX(0,$B$10-AL285)*AI285,'Retirement Gap'!$B$29)</f>
        <v>10850.278366583516</v>
      </c>
      <c r="AN285">
        <f>IF($E$40="B - Withdrawals + Roth conversions",AJ285*MAX(0,MIN($B$47-AL285,MIN($B$59,IRMAA!$C$16)-(AL285+$B$8*0.85+AK285*$B$46))),0)</f>
        <v>0</v>
      </c>
      <c r="AO285" cm="1">
        <f t="array" ref="AO285">_xlfn.LET(_xlpm.N,$B$49,_xlpm.R,$B$48,_xlpm.Start,$B$47,_xlpm.PlanWD,AL285,_xlpm.PlanRoth,AM285,_xlpm.PlanConv,AN285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22999.119999999999</v>
      </c>
      <c r="AP285" cm="1">
        <f t="array" ref="AP285">_xlfn.LET(_xlpm.N,$B$49,_xlpm.R,$B$48,_xlpm.Start,$B$47,_xlpm.PlanWD,AL285,_xlpm.PlanRoth,AM285,_xlpm.PlanConv,AN285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285" cm="1">
        <f t="array" ref="AQ285">_xlfn.LET(_xlpm.N,$B$49,_xlpm.R,$B$48,_xlpm.Start,$B$47,_xlpm.PlanWD,AL285,_xlpm.PlanRoth,AM285,_xlpm.PlanConv,AN285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985122.61163367354</v>
      </c>
      <c r="AR285" cm="1">
        <f t="array" ref="AR285">_xlfn.LET(_xlpm.N,$B$49,_xlpm.R,$B$48,_xlpm.Start,$B$47,_xlpm.PlanWD,AL285,_xlpm.PlanRoth,AM285,_xlpm.PlanConv,AN285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1114795.1975772022</v>
      </c>
      <c r="AS285">
        <f>--AND(AK285&lt;=SUM('Retirement Gap'!$B$24:$B$25,'Retirement Gap'!$B$27),AL285+AN285&lt;=$B$47,AM285&lt;='Retirement Gap'!$B$29,ABS(AK285+AL285+AM285-$B$10)&lt;1)</f>
        <v>1</v>
      </c>
      <c r="AT285" cm="1">
        <f t="array" ref="AT285">IF(AS285=0,1E+99,_xlfn.SWITCH(LEFT($E$39,1),"1",AO285,"2",AP285*1000000000+AO285,"3",-AQ285,"4",AO285+AP285*25000+AR285*0.005-AQ285*0.0001,AO285))</f>
        <v>-985122.61163367354</v>
      </c>
    </row>
    <row r="286" spans="33:46" x14ac:dyDescent="0.55000000000000004">
      <c r="AG286">
        <f t="shared" si="36"/>
        <v>285</v>
      </c>
      <c r="AH286">
        <f t="shared" si="37"/>
        <v>0.4</v>
      </c>
      <c r="AI286">
        <f t="shared" si="38"/>
        <v>0.3</v>
      </c>
      <c r="AJ286">
        <f t="shared" si="39"/>
        <v>0.4</v>
      </c>
      <c r="AK286">
        <f t="shared" si="40"/>
        <v>25596.121633416478</v>
      </c>
      <c r="AL286">
        <f t="shared" si="41"/>
        <v>24297.600000000002</v>
      </c>
      <c r="AM286">
        <f>MIN(MAX(0,$B$10-AL286)*AI286,'Retirement Gap'!$B$29)</f>
        <v>10850.278366583516</v>
      </c>
      <c r="AN286">
        <f>IF($E$40="B - Withdrawals + Roth conversions",AJ286*MAX(0,MIN($B$47-AL286,MIN($B$59,IRMAA!$C$16)-(AL286+$B$8*0.85+AK286*$B$46))),0)</f>
        <v>0</v>
      </c>
      <c r="AO286" cm="1">
        <f t="array" ref="AO286">_xlfn.LET(_xlpm.N,$B$49,_xlpm.R,$B$48,_xlpm.Start,$B$47,_xlpm.PlanWD,AL286,_xlpm.PlanRoth,AM286,_xlpm.PlanConv,AN286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22999.119999999999</v>
      </c>
      <c r="AP286" cm="1">
        <f t="array" ref="AP286">_xlfn.LET(_xlpm.N,$B$49,_xlpm.R,$B$48,_xlpm.Start,$B$47,_xlpm.PlanWD,AL286,_xlpm.PlanRoth,AM286,_xlpm.PlanConv,AN286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286" cm="1">
        <f t="array" ref="AQ286">_xlfn.LET(_xlpm.N,$B$49,_xlpm.R,$B$48,_xlpm.Start,$B$47,_xlpm.PlanWD,AL286,_xlpm.PlanRoth,AM286,_xlpm.PlanConv,AN286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985122.61163367354</v>
      </c>
      <c r="AR286" cm="1">
        <f t="array" ref="AR286">_xlfn.LET(_xlpm.N,$B$49,_xlpm.R,$B$48,_xlpm.Start,$B$47,_xlpm.PlanWD,AL286,_xlpm.PlanRoth,AM286,_xlpm.PlanConv,AN286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1114795.1975772022</v>
      </c>
      <c r="AS286">
        <f>--AND(AK286&lt;=SUM('Retirement Gap'!$B$24:$B$25,'Retirement Gap'!$B$27),AL286+AN286&lt;=$B$47,AM286&lt;='Retirement Gap'!$B$29,ABS(AK286+AL286+AM286-$B$10)&lt;1)</f>
        <v>1</v>
      </c>
      <c r="AT286" cm="1">
        <f t="array" ref="AT286">IF(AS286=0,1E+99,_xlfn.SWITCH(LEFT($E$39,1),"1",AO286,"2",AP286*1000000000+AO286,"3",-AQ286,"4",AO286+AP286*25000+AR286*0.005-AQ286*0.0001,AO286))</f>
        <v>-985122.61163367354</v>
      </c>
    </row>
    <row r="287" spans="33:46" x14ac:dyDescent="0.55000000000000004">
      <c r="AG287">
        <f t="shared" si="36"/>
        <v>286</v>
      </c>
      <c r="AH287">
        <f t="shared" si="37"/>
        <v>0.4</v>
      </c>
      <c r="AI287">
        <f t="shared" si="38"/>
        <v>0.3</v>
      </c>
      <c r="AJ287">
        <f t="shared" si="39"/>
        <v>0.6</v>
      </c>
      <c r="AK287">
        <f t="shared" si="40"/>
        <v>25596.121633416478</v>
      </c>
      <c r="AL287">
        <f t="shared" si="41"/>
        <v>24297.600000000002</v>
      </c>
      <c r="AM287">
        <f>MIN(MAX(0,$B$10-AL287)*AI287,'Retirement Gap'!$B$29)</f>
        <v>10850.278366583516</v>
      </c>
      <c r="AN287">
        <f>IF($E$40="B - Withdrawals + Roth conversions",AJ287*MAX(0,MIN($B$47-AL287,MIN($B$59,IRMAA!$C$16)-(AL287+$B$8*0.85+AK287*$B$46))),0)</f>
        <v>0</v>
      </c>
      <c r="AO287" cm="1">
        <f t="array" ref="AO287">_xlfn.LET(_xlpm.N,$B$49,_xlpm.R,$B$48,_xlpm.Start,$B$47,_xlpm.PlanWD,AL287,_xlpm.PlanRoth,AM287,_xlpm.PlanConv,AN287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22999.119999999999</v>
      </c>
      <c r="AP287" cm="1">
        <f t="array" ref="AP287">_xlfn.LET(_xlpm.N,$B$49,_xlpm.R,$B$48,_xlpm.Start,$B$47,_xlpm.PlanWD,AL287,_xlpm.PlanRoth,AM287,_xlpm.PlanConv,AN287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287" cm="1">
        <f t="array" ref="AQ287">_xlfn.LET(_xlpm.N,$B$49,_xlpm.R,$B$48,_xlpm.Start,$B$47,_xlpm.PlanWD,AL287,_xlpm.PlanRoth,AM287,_xlpm.PlanConv,AN287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985122.61163367354</v>
      </c>
      <c r="AR287" cm="1">
        <f t="array" ref="AR287">_xlfn.LET(_xlpm.N,$B$49,_xlpm.R,$B$48,_xlpm.Start,$B$47,_xlpm.PlanWD,AL287,_xlpm.PlanRoth,AM287,_xlpm.PlanConv,AN287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1114795.1975772022</v>
      </c>
      <c r="AS287">
        <f>--AND(AK287&lt;=SUM('Retirement Gap'!$B$24:$B$25,'Retirement Gap'!$B$27),AL287+AN287&lt;=$B$47,AM287&lt;='Retirement Gap'!$B$29,ABS(AK287+AL287+AM287-$B$10)&lt;1)</f>
        <v>1</v>
      </c>
      <c r="AT287" cm="1">
        <f t="array" ref="AT287">IF(AS287=0,1E+99,_xlfn.SWITCH(LEFT($E$39,1),"1",AO287,"2",AP287*1000000000+AO287,"3",-AQ287,"4",AO287+AP287*25000+AR287*0.005-AQ287*0.0001,AO287))</f>
        <v>-985122.61163367354</v>
      </c>
    </row>
    <row r="288" spans="33:46" x14ac:dyDescent="0.55000000000000004">
      <c r="AG288">
        <f t="shared" si="36"/>
        <v>287</v>
      </c>
      <c r="AH288">
        <f t="shared" si="37"/>
        <v>0.4</v>
      </c>
      <c r="AI288">
        <f t="shared" si="38"/>
        <v>0.3</v>
      </c>
      <c r="AJ288">
        <f t="shared" si="39"/>
        <v>0.8</v>
      </c>
      <c r="AK288">
        <f t="shared" si="40"/>
        <v>25596.121633416478</v>
      </c>
      <c r="AL288">
        <f t="shared" si="41"/>
        <v>24297.600000000002</v>
      </c>
      <c r="AM288">
        <f>MIN(MAX(0,$B$10-AL288)*AI288,'Retirement Gap'!$B$29)</f>
        <v>10850.278366583516</v>
      </c>
      <c r="AN288">
        <f>IF($E$40="B - Withdrawals + Roth conversions",AJ288*MAX(0,MIN($B$47-AL288,MIN($B$59,IRMAA!$C$16)-(AL288+$B$8*0.85+AK288*$B$46))),0)</f>
        <v>0</v>
      </c>
      <c r="AO288" cm="1">
        <f t="array" ref="AO288">_xlfn.LET(_xlpm.N,$B$49,_xlpm.R,$B$48,_xlpm.Start,$B$47,_xlpm.PlanWD,AL288,_xlpm.PlanRoth,AM288,_xlpm.PlanConv,AN288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22999.119999999999</v>
      </c>
      <c r="AP288" cm="1">
        <f t="array" ref="AP288">_xlfn.LET(_xlpm.N,$B$49,_xlpm.R,$B$48,_xlpm.Start,$B$47,_xlpm.PlanWD,AL288,_xlpm.PlanRoth,AM288,_xlpm.PlanConv,AN288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288" cm="1">
        <f t="array" ref="AQ288">_xlfn.LET(_xlpm.N,$B$49,_xlpm.R,$B$48,_xlpm.Start,$B$47,_xlpm.PlanWD,AL288,_xlpm.PlanRoth,AM288,_xlpm.PlanConv,AN288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985122.61163367354</v>
      </c>
      <c r="AR288" cm="1">
        <f t="array" ref="AR288">_xlfn.LET(_xlpm.N,$B$49,_xlpm.R,$B$48,_xlpm.Start,$B$47,_xlpm.PlanWD,AL288,_xlpm.PlanRoth,AM288,_xlpm.PlanConv,AN288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1114795.1975772022</v>
      </c>
      <c r="AS288">
        <f>--AND(AK288&lt;=SUM('Retirement Gap'!$B$24:$B$25,'Retirement Gap'!$B$27),AL288+AN288&lt;=$B$47,AM288&lt;='Retirement Gap'!$B$29,ABS(AK288+AL288+AM288-$B$10)&lt;1)</f>
        <v>1</v>
      </c>
      <c r="AT288" cm="1">
        <f t="array" ref="AT288">IF(AS288=0,1E+99,_xlfn.SWITCH(LEFT($E$39,1),"1",AO288,"2",AP288*1000000000+AO288,"3",-AQ288,"4",AO288+AP288*25000+AR288*0.005-AQ288*0.0001,AO288))</f>
        <v>-985122.61163367354</v>
      </c>
    </row>
    <row r="289" spans="33:46" x14ac:dyDescent="0.55000000000000004">
      <c r="AG289">
        <f t="shared" si="36"/>
        <v>288</v>
      </c>
      <c r="AH289">
        <f t="shared" si="37"/>
        <v>0.4</v>
      </c>
      <c r="AI289">
        <f t="shared" si="38"/>
        <v>0.3</v>
      </c>
      <c r="AJ289">
        <f t="shared" si="39"/>
        <v>1</v>
      </c>
      <c r="AK289">
        <f t="shared" si="40"/>
        <v>25596.121633416478</v>
      </c>
      <c r="AL289">
        <f t="shared" si="41"/>
        <v>24297.600000000002</v>
      </c>
      <c r="AM289">
        <f>MIN(MAX(0,$B$10-AL289)*AI289,'Retirement Gap'!$B$29)</f>
        <v>10850.278366583516</v>
      </c>
      <c r="AN289">
        <f>IF($E$40="B - Withdrawals + Roth conversions",AJ289*MAX(0,MIN($B$47-AL289,MIN($B$59,IRMAA!$C$16)-(AL289+$B$8*0.85+AK289*$B$46))),0)</f>
        <v>0</v>
      </c>
      <c r="AO289" cm="1">
        <f t="array" ref="AO289">_xlfn.LET(_xlpm.N,$B$49,_xlpm.R,$B$48,_xlpm.Start,$B$47,_xlpm.PlanWD,AL289,_xlpm.PlanRoth,AM289,_xlpm.PlanConv,AN289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22999.119999999999</v>
      </c>
      <c r="AP289" cm="1">
        <f t="array" ref="AP289">_xlfn.LET(_xlpm.N,$B$49,_xlpm.R,$B$48,_xlpm.Start,$B$47,_xlpm.PlanWD,AL289,_xlpm.PlanRoth,AM289,_xlpm.PlanConv,AN289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289" cm="1">
        <f t="array" ref="AQ289">_xlfn.LET(_xlpm.N,$B$49,_xlpm.R,$B$48,_xlpm.Start,$B$47,_xlpm.PlanWD,AL289,_xlpm.PlanRoth,AM289,_xlpm.PlanConv,AN289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985122.61163367354</v>
      </c>
      <c r="AR289" cm="1">
        <f t="array" ref="AR289">_xlfn.LET(_xlpm.N,$B$49,_xlpm.R,$B$48,_xlpm.Start,$B$47,_xlpm.PlanWD,AL289,_xlpm.PlanRoth,AM289,_xlpm.PlanConv,AN289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1114795.1975772022</v>
      </c>
      <c r="AS289">
        <f>--AND(AK289&lt;=SUM('Retirement Gap'!$B$24:$B$25,'Retirement Gap'!$B$27),AL289+AN289&lt;=$B$47,AM289&lt;='Retirement Gap'!$B$29,ABS(AK289+AL289+AM289-$B$10)&lt;1)</f>
        <v>1</v>
      </c>
      <c r="AT289" cm="1">
        <f t="array" ref="AT289">IF(AS289=0,1E+99,_xlfn.SWITCH(LEFT($E$39,1),"1",AO289,"2",AP289*1000000000+AO289,"3",-AQ289,"4",AO289+AP289*25000+AR289*0.005-AQ289*0.0001,AO289))</f>
        <v>-985122.61163367354</v>
      </c>
    </row>
    <row r="290" spans="33:46" x14ac:dyDescent="0.55000000000000004">
      <c r="AG290">
        <f t="shared" si="36"/>
        <v>289</v>
      </c>
      <c r="AH290">
        <f t="shared" si="37"/>
        <v>0.4</v>
      </c>
      <c r="AI290">
        <f t="shared" si="38"/>
        <v>0.4</v>
      </c>
      <c r="AJ290">
        <f t="shared" si="39"/>
        <v>0</v>
      </c>
      <c r="AK290">
        <f t="shared" si="40"/>
        <v>25596.121633416478</v>
      </c>
      <c r="AL290">
        <f t="shared" si="41"/>
        <v>24297.600000000002</v>
      </c>
      <c r="AM290">
        <f>MIN(MAX(0,$B$10-AL290)*AI290,'Retirement Gap'!$B$29)</f>
        <v>10850.278366583516</v>
      </c>
      <c r="AN290">
        <f>IF($E$40="B - Withdrawals + Roth conversions",AJ290*MAX(0,MIN($B$47-AL290,MIN($B$59,IRMAA!$C$16)-(AL290+$B$8*0.85+AK290*$B$46))),0)</f>
        <v>0</v>
      </c>
      <c r="AO290" cm="1">
        <f t="array" ref="AO290">_xlfn.LET(_xlpm.N,$B$49,_xlpm.R,$B$48,_xlpm.Start,$B$47,_xlpm.PlanWD,AL290,_xlpm.PlanRoth,AM290,_xlpm.PlanConv,AN290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22999.119999999999</v>
      </c>
      <c r="AP290" cm="1">
        <f t="array" ref="AP290">_xlfn.LET(_xlpm.N,$B$49,_xlpm.R,$B$48,_xlpm.Start,$B$47,_xlpm.PlanWD,AL290,_xlpm.PlanRoth,AM290,_xlpm.PlanConv,AN290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290" cm="1">
        <f t="array" ref="AQ290">_xlfn.LET(_xlpm.N,$B$49,_xlpm.R,$B$48,_xlpm.Start,$B$47,_xlpm.PlanWD,AL290,_xlpm.PlanRoth,AM290,_xlpm.PlanConv,AN290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985122.61163367354</v>
      </c>
      <c r="AR290" cm="1">
        <f t="array" ref="AR290">_xlfn.LET(_xlpm.N,$B$49,_xlpm.R,$B$48,_xlpm.Start,$B$47,_xlpm.PlanWD,AL290,_xlpm.PlanRoth,AM290,_xlpm.PlanConv,AN290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1114795.1975772022</v>
      </c>
      <c r="AS290">
        <f>--AND(AK290&lt;=SUM('Retirement Gap'!$B$24:$B$25,'Retirement Gap'!$B$27),AL290+AN290&lt;=$B$47,AM290&lt;='Retirement Gap'!$B$29,ABS(AK290+AL290+AM290-$B$10)&lt;1)</f>
        <v>1</v>
      </c>
      <c r="AT290" cm="1">
        <f t="array" ref="AT290">IF(AS290=0,1E+99,_xlfn.SWITCH(LEFT($E$39,1),"1",AO290,"2",AP290*1000000000+AO290,"3",-AQ290,"4",AO290+AP290*25000+AR290*0.005-AQ290*0.0001,AO290))</f>
        <v>-985122.61163367354</v>
      </c>
    </row>
    <row r="291" spans="33:46" x14ac:dyDescent="0.55000000000000004">
      <c r="AG291">
        <f t="shared" si="36"/>
        <v>290</v>
      </c>
      <c r="AH291">
        <f t="shared" si="37"/>
        <v>0.4</v>
      </c>
      <c r="AI291">
        <f t="shared" si="38"/>
        <v>0.4</v>
      </c>
      <c r="AJ291">
        <f t="shared" si="39"/>
        <v>0.2</v>
      </c>
      <c r="AK291">
        <f t="shared" si="40"/>
        <v>25596.121633416478</v>
      </c>
      <c r="AL291">
        <f t="shared" si="41"/>
        <v>24297.600000000002</v>
      </c>
      <c r="AM291">
        <f>MIN(MAX(0,$B$10-AL291)*AI291,'Retirement Gap'!$B$29)</f>
        <v>10850.278366583516</v>
      </c>
      <c r="AN291">
        <f>IF($E$40="B - Withdrawals + Roth conversions",AJ291*MAX(0,MIN($B$47-AL291,MIN($B$59,IRMAA!$C$16)-(AL291+$B$8*0.85+AK291*$B$46))),0)</f>
        <v>0</v>
      </c>
      <c r="AO291" cm="1">
        <f t="array" ref="AO291">_xlfn.LET(_xlpm.N,$B$49,_xlpm.R,$B$48,_xlpm.Start,$B$47,_xlpm.PlanWD,AL291,_xlpm.PlanRoth,AM291,_xlpm.PlanConv,AN291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22999.119999999999</v>
      </c>
      <c r="AP291" cm="1">
        <f t="array" ref="AP291">_xlfn.LET(_xlpm.N,$B$49,_xlpm.R,$B$48,_xlpm.Start,$B$47,_xlpm.PlanWD,AL291,_xlpm.PlanRoth,AM291,_xlpm.PlanConv,AN291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291" cm="1">
        <f t="array" ref="AQ291">_xlfn.LET(_xlpm.N,$B$49,_xlpm.R,$B$48,_xlpm.Start,$B$47,_xlpm.PlanWD,AL291,_xlpm.PlanRoth,AM291,_xlpm.PlanConv,AN291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985122.61163367354</v>
      </c>
      <c r="AR291" cm="1">
        <f t="array" ref="AR291">_xlfn.LET(_xlpm.N,$B$49,_xlpm.R,$B$48,_xlpm.Start,$B$47,_xlpm.PlanWD,AL291,_xlpm.PlanRoth,AM291,_xlpm.PlanConv,AN291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1114795.1975772022</v>
      </c>
      <c r="AS291">
        <f>--AND(AK291&lt;=SUM('Retirement Gap'!$B$24:$B$25,'Retirement Gap'!$B$27),AL291+AN291&lt;=$B$47,AM291&lt;='Retirement Gap'!$B$29,ABS(AK291+AL291+AM291-$B$10)&lt;1)</f>
        <v>1</v>
      </c>
      <c r="AT291" cm="1">
        <f t="array" ref="AT291">IF(AS291=0,1E+99,_xlfn.SWITCH(LEFT($E$39,1),"1",AO291,"2",AP291*1000000000+AO291,"3",-AQ291,"4",AO291+AP291*25000+AR291*0.005-AQ291*0.0001,AO291))</f>
        <v>-985122.61163367354</v>
      </c>
    </row>
    <row r="292" spans="33:46" x14ac:dyDescent="0.55000000000000004">
      <c r="AG292">
        <f t="shared" si="36"/>
        <v>291</v>
      </c>
      <c r="AH292">
        <f t="shared" si="37"/>
        <v>0.4</v>
      </c>
      <c r="AI292">
        <f t="shared" si="38"/>
        <v>0.4</v>
      </c>
      <c r="AJ292">
        <f t="shared" si="39"/>
        <v>0.4</v>
      </c>
      <c r="AK292">
        <f t="shared" si="40"/>
        <v>25596.121633416478</v>
      </c>
      <c r="AL292">
        <f t="shared" si="41"/>
        <v>24297.600000000002</v>
      </c>
      <c r="AM292">
        <f>MIN(MAX(0,$B$10-AL292)*AI292,'Retirement Gap'!$B$29)</f>
        <v>10850.278366583516</v>
      </c>
      <c r="AN292">
        <f>IF($E$40="B - Withdrawals + Roth conversions",AJ292*MAX(0,MIN($B$47-AL292,MIN($B$59,IRMAA!$C$16)-(AL292+$B$8*0.85+AK292*$B$46))),0)</f>
        <v>0</v>
      </c>
      <c r="AO292" cm="1">
        <f t="array" ref="AO292">_xlfn.LET(_xlpm.N,$B$49,_xlpm.R,$B$48,_xlpm.Start,$B$47,_xlpm.PlanWD,AL292,_xlpm.PlanRoth,AM292,_xlpm.PlanConv,AN292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22999.119999999999</v>
      </c>
      <c r="AP292" cm="1">
        <f t="array" ref="AP292">_xlfn.LET(_xlpm.N,$B$49,_xlpm.R,$B$48,_xlpm.Start,$B$47,_xlpm.PlanWD,AL292,_xlpm.PlanRoth,AM292,_xlpm.PlanConv,AN292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292" cm="1">
        <f t="array" ref="AQ292">_xlfn.LET(_xlpm.N,$B$49,_xlpm.R,$B$48,_xlpm.Start,$B$47,_xlpm.PlanWD,AL292,_xlpm.PlanRoth,AM292,_xlpm.PlanConv,AN292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985122.61163367354</v>
      </c>
      <c r="AR292" cm="1">
        <f t="array" ref="AR292">_xlfn.LET(_xlpm.N,$B$49,_xlpm.R,$B$48,_xlpm.Start,$B$47,_xlpm.PlanWD,AL292,_xlpm.PlanRoth,AM292,_xlpm.PlanConv,AN292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1114795.1975772022</v>
      </c>
      <c r="AS292">
        <f>--AND(AK292&lt;=SUM('Retirement Gap'!$B$24:$B$25,'Retirement Gap'!$B$27),AL292+AN292&lt;=$B$47,AM292&lt;='Retirement Gap'!$B$29,ABS(AK292+AL292+AM292-$B$10)&lt;1)</f>
        <v>1</v>
      </c>
      <c r="AT292" cm="1">
        <f t="array" ref="AT292">IF(AS292=0,1E+99,_xlfn.SWITCH(LEFT($E$39,1),"1",AO292,"2",AP292*1000000000+AO292,"3",-AQ292,"4",AO292+AP292*25000+AR292*0.005-AQ292*0.0001,AO292))</f>
        <v>-985122.61163367354</v>
      </c>
    </row>
    <row r="293" spans="33:46" x14ac:dyDescent="0.55000000000000004">
      <c r="AG293">
        <f t="shared" si="36"/>
        <v>292</v>
      </c>
      <c r="AH293">
        <f t="shared" si="37"/>
        <v>0.4</v>
      </c>
      <c r="AI293">
        <f t="shared" si="38"/>
        <v>0.4</v>
      </c>
      <c r="AJ293">
        <f t="shared" si="39"/>
        <v>0.6</v>
      </c>
      <c r="AK293">
        <f t="shared" si="40"/>
        <v>25596.121633416478</v>
      </c>
      <c r="AL293">
        <f t="shared" si="41"/>
        <v>24297.600000000002</v>
      </c>
      <c r="AM293">
        <f>MIN(MAX(0,$B$10-AL293)*AI293,'Retirement Gap'!$B$29)</f>
        <v>10850.278366583516</v>
      </c>
      <c r="AN293">
        <f>IF($E$40="B - Withdrawals + Roth conversions",AJ293*MAX(0,MIN($B$47-AL293,MIN($B$59,IRMAA!$C$16)-(AL293+$B$8*0.85+AK293*$B$46))),0)</f>
        <v>0</v>
      </c>
      <c r="AO293" cm="1">
        <f t="array" ref="AO293">_xlfn.LET(_xlpm.N,$B$49,_xlpm.R,$B$48,_xlpm.Start,$B$47,_xlpm.PlanWD,AL293,_xlpm.PlanRoth,AM293,_xlpm.PlanConv,AN293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22999.119999999999</v>
      </c>
      <c r="AP293" cm="1">
        <f t="array" ref="AP293">_xlfn.LET(_xlpm.N,$B$49,_xlpm.R,$B$48,_xlpm.Start,$B$47,_xlpm.PlanWD,AL293,_xlpm.PlanRoth,AM293,_xlpm.PlanConv,AN293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293" cm="1">
        <f t="array" ref="AQ293">_xlfn.LET(_xlpm.N,$B$49,_xlpm.R,$B$48,_xlpm.Start,$B$47,_xlpm.PlanWD,AL293,_xlpm.PlanRoth,AM293,_xlpm.PlanConv,AN293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985122.61163367354</v>
      </c>
      <c r="AR293" cm="1">
        <f t="array" ref="AR293">_xlfn.LET(_xlpm.N,$B$49,_xlpm.R,$B$48,_xlpm.Start,$B$47,_xlpm.PlanWD,AL293,_xlpm.PlanRoth,AM293,_xlpm.PlanConv,AN293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1114795.1975772022</v>
      </c>
      <c r="AS293">
        <f>--AND(AK293&lt;=SUM('Retirement Gap'!$B$24:$B$25,'Retirement Gap'!$B$27),AL293+AN293&lt;=$B$47,AM293&lt;='Retirement Gap'!$B$29,ABS(AK293+AL293+AM293-$B$10)&lt;1)</f>
        <v>1</v>
      </c>
      <c r="AT293" cm="1">
        <f t="array" ref="AT293">IF(AS293=0,1E+99,_xlfn.SWITCH(LEFT($E$39,1),"1",AO293,"2",AP293*1000000000+AO293,"3",-AQ293,"4",AO293+AP293*25000+AR293*0.005-AQ293*0.0001,AO293))</f>
        <v>-985122.61163367354</v>
      </c>
    </row>
    <row r="294" spans="33:46" x14ac:dyDescent="0.55000000000000004">
      <c r="AG294">
        <f t="shared" si="36"/>
        <v>293</v>
      </c>
      <c r="AH294">
        <f t="shared" si="37"/>
        <v>0.4</v>
      </c>
      <c r="AI294">
        <f t="shared" si="38"/>
        <v>0.4</v>
      </c>
      <c r="AJ294">
        <f t="shared" si="39"/>
        <v>0.8</v>
      </c>
      <c r="AK294">
        <f t="shared" si="40"/>
        <v>25596.121633416478</v>
      </c>
      <c r="AL294">
        <f t="shared" si="41"/>
        <v>24297.600000000002</v>
      </c>
      <c r="AM294">
        <f>MIN(MAX(0,$B$10-AL294)*AI294,'Retirement Gap'!$B$29)</f>
        <v>10850.278366583516</v>
      </c>
      <c r="AN294">
        <f>IF($E$40="B - Withdrawals + Roth conversions",AJ294*MAX(0,MIN($B$47-AL294,MIN($B$59,IRMAA!$C$16)-(AL294+$B$8*0.85+AK294*$B$46))),0)</f>
        <v>0</v>
      </c>
      <c r="AO294" cm="1">
        <f t="array" ref="AO294">_xlfn.LET(_xlpm.N,$B$49,_xlpm.R,$B$48,_xlpm.Start,$B$47,_xlpm.PlanWD,AL294,_xlpm.PlanRoth,AM294,_xlpm.PlanConv,AN294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22999.119999999999</v>
      </c>
      <c r="AP294" cm="1">
        <f t="array" ref="AP294">_xlfn.LET(_xlpm.N,$B$49,_xlpm.R,$B$48,_xlpm.Start,$B$47,_xlpm.PlanWD,AL294,_xlpm.PlanRoth,AM294,_xlpm.PlanConv,AN294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294" cm="1">
        <f t="array" ref="AQ294">_xlfn.LET(_xlpm.N,$B$49,_xlpm.R,$B$48,_xlpm.Start,$B$47,_xlpm.PlanWD,AL294,_xlpm.PlanRoth,AM294,_xlpm.PlanConv,AN294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985122.61163367354</v>
      </c>
      <c r="AR294" cm="1">
        <f t="array" ref="AR294">_xlfn.LET(_xlpm.N,$B$49,_xlpm.R,$B$48,_xlpm.Start,$B$47,_xlpm.PlanWD,AL294,_xlpm.PlanRoth,AM294,_xlpm.PlanConv,AN294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1114795.1975772022</v>
      </c>
      <c r="AS294">
        <f>--AND(AK294&lt;=SUM('Retirement Gap'!$B$24:$B$25,'Retirement Gap'!$B$27),AL294+AN294&lt;=$B$47,AM294&lt;='Retirement Gap'!$B$29,ABS(AK294+AL294+AM294-$B$10)&lt;1)</f>
        <v>1</v>
      </c>
      <c r="AT294" cm="1">
        <f t="array" ref="AT294">IF(AS294=0,1E+99,_xlfn.SWITCH(LEFT($E$39,1),"1",AO294,"2",AP294*1000000000+AO294,"3",-AQ294,"4",AO294+AP294*25000+AR294*0.005-AQ294*0.0001,AO294))</f>
        <v>-985122.61163367354</v>
      </c>
    </row>
    <row r="295" spans="33:46" x14ac:dyDescent="0.55000000000000004">
      <c r="AG295">
        <f t="shared" si="36"/>
        <v>294</v>
      </c>
      <c r="AH295">
        <f t="shared" si="37"/>
        <v>0.4</v>
      </c>
      <c r="AI295">
        <f t="shared" si="38"/>
        <v>0.4</v>
      </c>
      <c r="AJ295">
        <f t="shared" si="39"/>
        <v>1</v>
      </c>
      <c r="AK295">
        <f t="shared" si="40"/>
        <v>25596.121633416478</v>
      </c>
      <c r="AL295">
        <f t="shared" si="41"/>
        <v>24297.600000000002</v>
      </c>
      <c r="AM295">
        <f>MIN(MAX(0,$B$10-AL295)*AI295,'Retirement Gap'!$B$29)</f>
        <v>10850.278366583516</v>
      </c>
      <c r="AN295">
        <f>IF($E$40="B - Withdrawals + Roth conversions",AJ295*MAX(0,MIN($B$47-AL295,MIN($B$59,IRMAA!$C$16)-(AL295+$B$8*0.85+AK295*$B$46))),0)</f>
        <v>0</v>
      </c>
      <c r="AO295" cm="1">
        <f t="array" ref="AO295">_xlfn.LET(_xlpm.N,$B$49,_xlpm.R,$B$48,_xlpm.Start,$B$47,_xlpm.PlanWD,AL295,_xlpm.PlanRoth,AM295,_xlpm.PlanConv,AN295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22999.119999999999</v>
      </c>
      <c r="AP295" cm="1">
        <f t="array" ref="AP295">_xlfn.LET(_xlpm.N,$B$49,_xlpm.R,$B$48,_xlpm.Start,$B$47,_xlpm.PlanWD,AL295,_xlpm.PlanRoth,AM295,_xlpm.PlanConv,AN295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295" cm="1">
        <f t="array" ref="AQ295">_xlfn.LET(_xlpm.N,$B$49,_xlpm.R,$B$48,_xlpm.Start,$B$47,_xlpm.PlanWD,AL295,_xlpm.PlanRoth,AM295,_xlpm.PlanConv,AN295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985122.61163367354</v>
      </c>
      <c r="AR295" cm="1">
        <f t="array" ref="AR295">_xlfn.LET(_xlpm.N,$B$49,_xlpm.R,$B$48,_xlpm.Start,$B$47,_xlpm.PlanWD,AL295,_xlpm.PlanRoth,AM295,_xlpm.PlanConv,AN295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1114795.1975772022</v>
      </c>
      <c r="AS295">
        <f>--AND(AK295&lt;=SUM('Retirement Gap'!$B$24:$B$25,'Retirement Gap'!$B$27),AL295+AN295&lt;=$B$47,AM295&lt;='Retirement Gap'!$B$29,ABS(AK295+AL295+AM295-$B$10)&lt;1)</f>
        <v>1</v>
      </c>
      <c r="AT295" cm="1">
        <f t="array" ref="AT295">IF(AS295=0,1E+99,_xlfn.SWITCH(LEFT($E$39,1),"1",AO295,"2",AP295*1000000000+AO295,"3",-AQ295,"4",AO295+AP295*25000+AR295*0.005-AQ295*0.0001,AO295))</f>
        <v>-985122.61163367354</v>
      </c>
    </row>
    <row r="296" spans="33:46" x14ac:dyDescent="0.55000000000000004">
      <c r="AG296">
        <f t="shared" si="36"/>
        <v>295</v>
      </c>
      <c r="AH296">
        <f t="shared" si="37"/>
        <v>0.4</v>
      </c>
      <c r="AI296">
        <f t="shared" si="38"/>
        <v>0.5</v>
      </c>
      <c r="AJ296">
        <f t="shared" si="39"/>
        <v>0</v>
      </c>
      <c r="AK296">
        <f t="shared" si="40"/>
        <v>25596.121633416478</v>
      </c>
      <c r="AL296">
        <f t="shared" si="41"/>
        <v>24297.600000000002</v>
      </c>
      <c r="AM296">
        <f>MIN(MAX(0,$B$10-AL296)*AI296,'Retirement Gap'!$B$29)</f>
        <v>10850.278366583516</v>
      </c>
      <c r="AN296">
        <f>IF($E$40="B - Withdrawals + Roth conversions",AJ296*MAX(0,MIN($B$47-AL296,MIN($B$59,IRMAA!$C$16)-(AL296+$B$8*0.85+AK296*$B$46))),0)</f>
        <v>0</v>
      </c>
      <c r="AO296" cm="1">
        <f t="array" ref="AO296">_xlfn.LET(_xlpm.N,$B$49,_xlpm.R,$B$48,_xlpm.Start,$B$47,_xlpm.PlanWD,AL296,_xlpm.PlanRoth,AM296,_xlpm.PlanConv,AN296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22999.119999999999</v>
      </c>
      <c r="AP296" cm="1">
        <f t="array" ref="AP296">_xlfn.LET(_xlpm.N,$B$49,_xlpm.R,$B$48,_xlpm.Start,$B$47,_xlpm.PlanWD,AL296,_xlpm.PlanRoth,AM296,_xlpm.PlanConv,AN296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296" cm="1">
        <f t="array" ref="AQ296">_xlfn.LET(_xlpm.N,$B$49,_xlpm.R,$B$48,_xlpm.Start,$B$47,_xlpm.PlanWD,AL296,_xlpm.PlanRoth,AM296,_xlpm.PlanConv,AN296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985122.61163367354</v>
      </c>
      <c r="AR296" cm="1">
        <f t="array" ref="AR296">_xlfn.LET(_xlpm.N,$B$49,_xlpm.R,$B$48,_xlpm.Start,$B$47,_xlpm.PlanWD,AL296,_xlpm.PlanRoth,AM296,_xlpm.PlanConv,AN296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1114795.1975772022</v>
      </c>
      <c r="AS296">
        <f>--AND(AK296&lt;=SUM('Retirement Gap'!$B$24:$B$25,'Retirement Gap'!$B$27),AL296+AN296&lt;=$B$47,AM296&lt;='Retirement Gap'!$B$29,ABS(AK296+AL296+AM296-$B$10)&lt;1)</f>
        <v>1</v>
      </c>
      <c r="AT296" cm="1">
        <f t="array" ref="AT296">IF(AS296=0,1E+99,_xlfn.SWITCH(LEFT($E$39,1),"1",AO296,"2",AP296*1000000000+AO296,"3",-AQ296,"4",AO296+AP296*25000+AR296*0.005-AQ296*0.0001,AO296))</f>
        <v>-985122.61163367354</v>
      </c>
    </row>
    <row r="297" spans="33:46" x14ac:dyDescent="0.55000000000000004">
      <c r="AG297">
        <f t="shared" si="36"/>
        <v>296</v>
      </c>
      <c r="AH297">
        <f t="shared" si="37"/>
        <v>0.4</v>
      </c>
      <c r="AI297">
        <f t="shared" si="38"/>
        <v>0.5</v>
      </c>
      <c r="AJ297">
        <f t="shared" si="39"/>
        <v>0.2</v>
      </c>
      <c r="AK297">
        <f t="shared" si="40"/>
        <v>25596.121633416478</v>
      </c>
      <c r="AL297">
        <f t="shared" si="41"/>
        <v>24297.600000000002</v>
      </c>
      <c r="AM297">
        <f>MIN(MAX(0,$B$10-AL297)*AI297,'Retirement Gap'!$B$29)</f>
        <v>10850.278366583516</v>
      </c>
      <c r="AN297">
        <f>IF($E$40="B - Withdrawals + Roth conversions",AJ297*MAX(0,MIN($B$47-AL297,MIN($B$59,IRMAA!$C$16)-(AL297+$B$8*0.85+AK297*$B$46))),0)</f>
        <v>0</v>
      </c>
      <c r="AO297" cm="1">
        <f t="array" ref="AO297">_xlfn.LET(_xlpm.N,$B$49,_xlpm.R,$B$48,_xlpm.Start,$B$47,_xlpm.PlanWD,AL297,_xlpm.PlanRoth,AM297,_xlpm.PlanConv,AN297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22999.119999999999</v>
      </c>
      <c r="AP297" cm="1">
        <f t="array" ref="AP297">_xlfn.LET(_xlpm.N,$B$49,_xlpm.R,$B$48,_xlpm.Start,$B$47,_xlpm.PlanWD,AL297,_xlpm.PlanRoth,AM297,_xlpm.PlanConv,AN297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297" cm="1">
        <f t="array" ref="AQ297">_xlfn.LET(_xlpm.N,$B$49,_xlpm.R,$B$48,_xlpm.Start,$B$47,_xlpm.PlanWD,AL297,_xlpm.PlanRoth,AM297,_xlpm.PlanConv,AN297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985122.61163367354</v>
      </c>
      <c r="AR297" cm="1">
        <f t="array" ref="AR297">_xlfn.LET(_xlpm.N,$B$49,_xlpm.R,$B$48,_xlpm.Start,$B$47,_xlpm.PlanWD,AL297,_xlpm.PlanRoth,AM297,_xlpm.PlanConv,AN297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1114795.1975772022</v>
      </c>
      <c r="AS297">
        <f>--AND(AK297&lt;=SUM('Retirement Gap'!$B$24:$B$25,'Retirement Gap'!$B$27),AL297+AN297&lt;=$B$47,AM297&lt;='Retirement Gap'!$B$29,ABS(AK297+AL297+AM297-$B$10)&lt;1)</f>
        <v>1</v>
      </c>
      <c r="AT297" cm="1">
        <f t="array" ref="AT297">IF(AS297=0,1E+99,_xlfn.SWITCH(LEFT($E$39,1),"1",AO297,"2",AP297*1000000000+AO297,"3",-AQ297,"4",AO297+AP297*25000+AR297*0.005-AQ297*0.0001,AO297))</f>
        <v>-985122.61163367354</v>
      </c>
    </row>
    <row r="298" spans="33:46" x14ac:dyDescent="0.55000000000000004">
      <c r="AG298">
        <f t="shared" si="36"/>
        <v>297</v>
      </c>
      <c r="AH298">
        <f t="shared" si="37"/>
        <v>0.4</v>
      </c>
      <c r="AI298">
        <f t="shared" si="38"/>
        <v>0.5</v>
      </c>
      <c r="AJ298">
        <f t="shared" si="39"/>
        <v>0.4</v>
      </c>
      <c r="AK298">
        <f t="shared" si="40"/>
        <v>25596.121633416478</v>
      </c>
      <c r="AL298">
        <f t="shared" si="41"/>
        <v>24297.600000000002</v>
      </c>
      <c r="AM298">
        <f>MIN(MAX(0,$B$10-AL298)*AI298,'Retirement Gap'!$B$29)</f>
        <v>10850.278366583516</v>
      </c>
      <c r="AN298">
        <f>IF($E$40="B - Withdrawals + Roth conversions",AJ298*MAX(0,MIN($B$47-AL298,MIN($B$59,IRMAA!$C$16)-(AL298+$B$8*0.85+AK298*$B$46))),0)</f>
        <v>0</v>
      </c>
      <c r="AO298" cm="1">
        <f t="array" ref="AO298">_xlfn.LET(_xlpm.N,$B$49,_xlpm.R,$B$48,_xlpm.Start,$B$47,_xlpm.PlanWD,AL298,_xlpm.PlanRoth,AM298,_xlpm.PlanConv,AN298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22999.119999999999</v>
      </c>
      <c r="AP298" cm="1">
        <f t="array" ref="AP298">_xlfn.LET(_xlpm.N,$B$49,_xlpm.R,$B$48,_xlpm.Start,$B$47,_xlpm.PlanWD,AL298,_xlpm.PlanRoth,AM298,_xlpm.PlanConv,AN298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298" cm="1">
        <f t="array" ref="AQ298">_xlfn.LET(_xlpm.N,$B$49,_xlpm.R,$B$48,_xlpm.Start,$B$47,_xlpm.PlanWD,AL298,_xlpm.PlanRoth,AM298,_xlpm.PlanConv,AN298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985122.61163367354</v>
      </c>
      <c r="AR298" cm="1">
        <f t="array" ref="AR298">_xlfn.LET(_xlpm.N,$B$49,_xlpm.R,$B$48,_xlpm.Start,$B$47,_xlpm.PlanWD,AL298,_xlpm.PlanRoth,AM298,_xlpm.PlanConv,AN298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1114795.1975772022</v>
      </c>
      <c r="AS298">
        <f>--AND(AK298&lt;=SUM('Retirement Gap'!$B$24:$B$25,'Retirement Gap'!$B$27),AL298+AN298&lt;=$B$47,AM298&lt;='Retirement Gap'!$B$29,ABS(AK298+AL298+AM298-$B$10)&lt;1)</f>
        <v>1</v>
      </c>
      <c r="AT298" cm="1">
        <f t="array" ref="AT298">IF(AS298=0,1E+99,_xlfn.SWITCH(LEFT($E$39,1),"1",AO298,"2",AP298*1000000000+AO298,"3",-AQ298,"4",AO298+AP298*25000+AR298*0.005-AQ298*0.0001,AO298))</f>
        <v>-985122.61163367354</v>
      </c>
    </row>
    <row r="299" spans="33:46" x14ac:dyDescent="0.55000000000000004">
      <c r="AG299">
        <f t="shared" si="36"/>
        <v>298</v>
      </c>
      <c r="AH299">
        <f t="shared" si="37"/>
        <v>0.4</v>
      </c>
      <c r="AI299">
        <f t="shared" si="38"/>
        <v>0.5</v>
      </c>
      <c r="AJ299">
        <f t="shared" si="39"/>
        <v>0.6</v>
      </c>
      <c r="AK299">
        <f t="shared" si="40"/>
        <v>25596.121633416478</v>
      </c>
      <c r="AL299">
        <f t="shared" si="41"/>
        <v>24297.600000000002</v>
      </c>
      <c r="AM299">
        <f>MIN(MAX(0,$B$10-AL299)*AI299,'Retirement Gap'!$B$29)</f>
        <v>10850.278366583516</v>
      </c>
      <c r="AN299">
        <f>IF($E$40="B - Withdrawals + Roth conversions",AJ299*MAX(0,MIN($B$47-AL299,MIN($B$59,IRMAA!$C$16)-(AL299+$B$8*0.85+AK299*$B$46))),0)</f>
        <v>0</v>
      </c>
      <c r="AO299" cm="1">
        <f t="array" ref="AO299">_xlfn.LET(_xlpm.N,$B$49,_xlpm.R,$B$48,_xlpm.Start,$B$47,_xlpm.PlanWD,AL299,_xlpm.PlanRoth,AM299,_xlpm.PlanConv,AN299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22999.119999999999</v>
      </c>
      <c r="AP299" cm="1">
        <f t="array" ref="AP299">_xlfn.LET(_xlpm.N,$B$49,_xlpm.R,$B$48,_xlpm.Start,$B$47,_xlpm.PlanWD,AL299,_xlpm.PlanRoth,AM299,_xlpm.PlanConv,AN299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299" cm="1">
        <f t="array" ref="AQ299">_xlfn.LET(_xlpm.N,$B$49,_xlpm.R,$B$48,_xlpm.Start,$B$47,_xlpm.PlanWD,AL299,_xlpm.PlanRoth,AM299,_xlpm.PlanConv,AN299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985122.61163367354</v>
      </c>
      <c r="AR299" cm="1">
        <f t="array" ref="AR299">_xlfn.LET(_xlpm.N,$B$49,_xlpm.R,$B$48,_xlpm.Start,$B$47,_xlpm.PlanWD,AL299,_xlpm.PlanRoth,AM299,_xlpm.PlanConv,AN299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1114795.1975772022</v>
      </c>
      <c r="AS299">
        <f>--AND(AK299&lt;=SUM('Retirement Gap'!$B$24:$B$25,'Retirement Gap'!$B$27),AL299+AN299&lt;=$B$47,AM299&lt;='Retirement Gap'!$B$29,ABS(AK299+AL299+AM299-$B$10)&lt;1)</f>
        <v>1</v>
      </c>
      <c r="AT299" cm="1">
        <f t="array" ref="AT299">IF(AS299=0,1E+99,_xlfn.SWITCH(LEFT($E$39,1),"1",AO299,"2",AP299*1000000000+AO299,"3",-AQ299,"4",AO299+AP299*25000+AR299*0.005-AQ299*0.0001,AO299))</f>
        <v>-985122.61163367354</v>
      </c>
    </row>
    <row r="300" spans="33:46" x14ac:dyDescent="0.55000000000000004">
      <c r="AG300">
        <f t="shared" si="36"/>
        <v>299</v>
      </c>
      <c r="AH300">
        <f t="shared" si="37"/>
        <v>0.4</v>
      </c>
      <c r="AI300">
        <f t="shared" si="38"/>
        <v>0.5</v>
      </c>
      <c r="AJ300">
        <f t="shared" si="39"/>
        <v>0.8</v>
      </c>
      <c r="AK300">
        <f t="shared" si="40"/>
        <v>25596.121633416478</v>
      </c>
      <c r="AL300">
        <f t="shared" si="41"/>
        <v>24297.600000000002</v>
      </c>
      <c r="AM300">
        <f>MIN(MAX(0,$B$10-AL300)*AI300,'Retirement Gap'!$B$29)</f>
        <v>10850.278366583516</v>
      </c>
      <c r="AN300">
        <f>IF($E$40="B - Withdrawals + Roth conversions",AJ300*MAX(0,MIN($B$47-AL300,MIN($B$59,IRMAA!$C$16)-(AL300+$B$8*0.85+AK300*$B$46))),0)</f>
        <v>0</v>
      </c>
      <c r="AO300" cm="1">
        <f t="array" ref="AO300">_xlfn.LET(_xlpm.N,$B$49,_xlpm.R,$B$48,_xlpm.Start,$B$47,_xlpm.PlanWD,AL300,_xlpm.PlanRoth,AM300,_xlpm.PlanConv,AN300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22999.119999999999</v>
      </c>
      <c r="AP300" cm="1">
        <f t="array" ref="AP300">_xlfn.LET(_xlpm.N,$B$49,_xlpm.R,$B$48,_xlpm.Start,$B$47,_xlpm.PlanWD,AL300,_xlpm.PlanRoth,AM300,_xlpm.PlanConv,AN300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300" cm="1">
        <f t="array" ref="AQ300">_xlfn.LET(_xlpm.N,$B$49,_xlpm.R,$B$48,_xlpm.Start,$B$47,_xlpm.PlanWD,AL300,_xlpm.PlanRoth,AM300,_xlpm.PlanConv,AN300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985122.61163367354</v>
      </c>
      <c r="AR300" cm="1">
        <f t="array" ref="AR300">_xlfn.LET(_xlpm.N,$B$49,_xlpm.R,$B$48,_xlpm.Start,$B$47,_xlpm.PlanWD,AL300,_xlpm.PlanRoth,AM300,_xlpm.PlanConv,AN300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1114795.1975772022</v>
      </c>
      <c r="AS300">
        <f>--AND(AK300&lt;=SUM('Retirement Gap'!$B$24:$B$25,'Retirement Gap'!$B$27),AL300+AN300&lt;=$B$47,AM300&lt;='Retirement Gap'!$B$29,ABS(AK300+AL300+AM300-$B$10)&lt;1)</f>
        <v>1</v>
      </c>
      <c r="AT300" cm="1">
        <f t="array" ref="AT300">IF(AS300=0,1E+99,_xlfn.SWITCH(LEFT($E$39,1),"1",AO300,"2",AP300*1000000000+AO300,"3",-AQ300,"4",AO300+AP300*25000+AR300*0.005-AQ300*0.0001,AO300))</f>
        <v>-985122.61163367354</v>
      </c>
    </row>
    <row r="301" spans="33:46" x14ac:dyDescent="0.55000000000000004">
      <c r="AG301">
        <f t="shared" si="36"/>
        <v>300</v>
      </c>
      <c r="AH301">
        <f t="shared" si="37"/>
        <v>0.4</v>
      </c>
      <c r="AI301">
        <f t="shared" si="38"/>
        <v>0.5</v>
      </c>
      <c r="AJ301">
        <f t="shared" si="39"/>
        <v>1</v>
      </c>
      <c r="AK301">
        <f t="shared" si="40"/>
        <v>25596.121633416478</v>
      </c>
      <c r="AL301">
        <f t="shared" si="41"/>
        <v>24297.600000000002</v>
      </c>
      <c r="AM301">
        <f>MIN(MAX(0,$B$10-AL301)*AI301,'Retirement Gap'!$B$29)</f>
        <v>10850.278366583516</v>
      </c>
      <c r="AN301">
        <f>IF($E$40="B - Withdrawals + Roth conversions",AJ301*MAX(0,MIN($B$47-AL301,MIN($B$59,IRMAA!$C$16)-(AL301+$B$8*0.85+AK301*$B$46))),0)</f>
        <v>0</v>
      </c>
      <c r="AO301" cm="1">
        <f t="array" ref="AO301">_xlfn.LET(_xlpm.N,$B$49,_xlpm.R,$B$48,_xlpm.Start,$B$47,_xlpm.PlanWD,AL301,_xlpm.PlanRoth,AM301,_xlpm.PlanConv,AN301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22999.119999999999</v>
      </c>
      <c r="AP301" cm="1">
        <f t="array" ref="AP301">_xlfn.LET(_xlpm.N,$B$49,_xlpm.R,$B$48,_xlpm.Start,$B$47,_xlpm.PlanWD,AL301,_xlpm.PlanRoth,AM301,_xlpm.PlanConv,AN301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301" cm="1">
        <f t="array" ref="AQ301">_xlfn.LET(_xlpm.N,$B$49,_xlpm.R,$B$48,_xlpm.Start,$B$47,_xlpm.PlanWD,AL301,_xlpm.PlanRoth,AM301,_xlpm.PlanConv,AN301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985122.61163367354</v>
      </c>
      <c r="AR301" cm="1">
        <f t="array" ref="AR301">_xlfn.LET(_xlpm.N,$B$49,_xlpm.R,$B$48,_xlpm.Start,$B$47,_xlpm.PlanWD,AL301,_xlpm.PlanRoth,AM301,_xlpm.PlanConv,AN301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1114795.1975772022</v>
      </c>
      <c r="AS301">
        <f>--AND(AK301&lt;=SUM('Retirement Gap'!$B$24:$B$25,'Retirement Gap'!$B$27),AL301+AN301&lt;=$B$47,AM301&lt;='Retirement Gap'!$B$29,ABS(AK301+AL301+AM301-$B$10)&lt;1)</f>
        <v>1</v>
      </c>
      <c r="AT301" cm="1">
        <f t="array" ref="AT301">IF(AS301=0,1E+99,_xlfn.SWITCH(LEFT($E$39,1),"1",AO301,"2",AP301*1000000000+AO301,"3",-AQ301,"4",AO301+AP301*25000+AR301*0.005-AQ301*0.0001,AO301))</f>
        <v>-985122.61163367354</v>
      </c>
    </row>
    <row r="302" spans="33:46" x14ac:dyDescent="0.55000000000000004">
      <c r="AG302">
        <f t="shared" si="36"/>
        <v>301</v>
      </c>
      <c r="AH302">
        <f t="shared" si="37"/>
        <v>0.4</v>
      </c>
      <c r="AI302">
        <f t="shared" si="38"/>
        <v>0.6</v>
      </c>
      <c r="AJ302">
        <f t="shared" si="39"/>
        <v>0</v>
      </c>
      <c r="AK302">
        <f t="shared" si="40"/>
        <v>25596.121633416478</v>
      </c>
      <c r="AL302">
        <f t="shared" si="41"/>
        <v>24297.600000000002</v>
      </c>
      <c r="AM302">
        <f>MIN(MAX(0,$B$10-AL302)*AI302,'Retirement Gap'!$B$29)</f>
        <v>10850.278366583516</v>
      </c>
      <c r="AN302">
        <f>IF($E$40="B - Withdrawals + Roth conversions",AJ302*MAX(0,MIN($B$47-AL302,MIN($B$59,IRMAA!$C$16)-(AL302+$B$8*0.85+AK302*$B$46))),0)</f>
        <v>0</v>
      </c>
      <c r="AO302" cm="1">
        <f t="array" ref="AO302">_xlfn.LET(_xlpm.N,$B$49,_xlpm.R,$B$48,_xlpm.Start,$B$47,_xlpm.PlanWD,AL302,_xlpm.PlanRoth,AM302,_xlpm.PlanConv,AN302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22999.119999999999</v>
      </c>
      <c r="AP302" cm="1">
        <f t="array" ref="AP302">_xlfn.LET(_xlpm.N,$B$49,_xlpm.R,$B$48,_xlpm.Start,$B$47,_xlpm.PlanWD,AL302,_xlpm.PlanRoth,AM302,_xlpm.PlanConv,AN302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302" cm="1">
        <f t="array" ref="AQ302">_xlfn.LET(_xlpm.N,$B$49,_xlpm.R,$B$48,_xlpm.Start,$B$47,_xlpm.PlanWD,AL302,_xlpm.PlanRoth,AM302,_xlpm.PlanConv,AN302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985122.61163367354</v>
      </c>
      <c r="AR302" cm="1">
        <f t="array" ref="AR302">_xlfn.LET(_xlpm.N,$B$49,_xlpm.R,$B$48,_xlpm.Start,$B$47,_xlpm.PlanWD,AL302,_xlpm.PlanRoth,AM302,_xlpm.PlanConv,AN302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1114795.1975772022</v>
      </c>
      <c r="AS302">
        <f>--AND(AK302&lt;=SUM('Retirement Gap'!$B$24:$B$25,'Retirement Gap'!$B$27),AL302+AN302&lt;=$B$47,AM302&lt;='Retirement Gap'!$B$29,ABS(AK302+AL302+AM302-$B$10)&lt;1)</f>
        <v>1</v>
      </c>
      <c r="AT302" cm="1">
        <f t="array" ref="AT302">IF(AS302=0,1E+99,_xlfn.SWITCH(LEFT($E$39,1),"1",AO302,"2",AP302*1000000000+AO302,"3",-AQ302,"4",AO302+AP302*25000+AR302*0.005-AQ302*0.0001,AO302))</f>
        <v>-985122.61163367354</v>
      </c>
    </row>
    <row r="303" spans="33:46" x14ac:dyDescent="0.55000000000000004">
      <c r="AG303">
        <f t="shared" si="36"/>
        <v>302</v>
      </c>
      <c r="AH303">
        <f t="shared" si="37"/>
        <v>0.4</v>
      </c>
      <c r="AI303">
        <f t="shared" si="38"/>
        <v>0.6</v>
      </c>
      <c r="AJ303">
        <f t="shared" si="39"/>
        <v>0.2</v>
      </c>
      <c r="AK303">
        <f t="shared" si="40"/>
        <v>25596.121633416478</v>
      </c>
      <c r="AL303">
        <f t="shared" si="41"/>
        <v>24297.600000000002</v>
      </c>
      <c r="AM303">
        <f>MIN(MAX(0,$B$10-AL303)*AI303,'Retirement Gap'!$B$29)</f>
        <v>10850.278366583516</v>
      </c>
      <c r="AN303">
        <f>IF($E$40="B - Withdrawals + Roth conversions",AJ303*MAX(0,MIN($B$47-AL303,MIN($B$59,IRMAA!$C$16)-(AL303+$B$8*0.85+AK303*$B$46))),0)</f>
        <v>0</v>
      </c>
      <c r="AO303" cm="1">
        <f t="array" ref="AO303">_xlfn.LET(_xlpm.N,$B$49,_xlpm.R,$B$48,_xlpm.Start,$B$47,_xlpm.PlanWD,AL303,_xlpm.PlanRoth,AM303,_xlpm.PlanConv,AN303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22999.119999999999</v>
      </c>
      <c r="AP303" cm="1">
        <f t="array" ref="AP303">_xlfn.LET(_xlpm.N,$B$49,_xlpm.R,$B$48,_xlpm.Start,$B$47,_xlpm.PlanWD,AL303,_xlpm.PlanRoth,AM303,_xlpm.PlanConv,AN303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303" cm="1">
        <f t="array" ref="AQ303">_xlfn.LET(_xlpm.N,$B$49,_xlpm.R,$B$48,_xlpm.Start,$B$47,_xlpm.PlanWD,AL303,_xlpm.PlanRoth,AM303,_xlpm.PlanConv,AN303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985122.61163367354</v>
      </c>
      <c r="AR303" cm="1">
        <f t="array" ref="AR303">_xlfn.LET(_xlpm.N,$B$49,_xlpm.R,$B$48,_xlpm.Start,$B$47,_xlpm.PlanWD,AL303,_xlpm.PlanRoth,AM303,_xlpm.PlanConv,AN303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1114795.1975772022</v>
      </c>
      <c r="AS303">
        <f>--AND(AK303&lt;=SUM('Retirement Gap'!$B$24:$B$25,'Retirement Gap'!$B$27),AL303+AN303&lt;=$B$47,AM303&lt;='Retirement Gap'!$B$29,ABS(AK303+AL303+AM303-$B$10)&lt;1)</f>
        <v>1</v>
      </c>
      <c r="AT303" cm="1">
        <f t="array" ref="AT303">IF(AS303=0,1E+99,_xlfn.SWITCH(LEFT($E$39,1),"1",AO303,"2",AP303*1000000000+AO303,"3",-AQ303,"4",AO303+AP303*25000+AR303*0.005-AQ303*0.0001,AO303))</f>
        <v>-985122.61163367354</v>
      </c>
    </row>
    <row r="304" spans="33:46" x14ac:dyDescent="0.55000000000000004">
      <c r="AG304">
        <f t="shared" si="36"/>
        <v>303</v>
      </c>
      <c r="AH304">
        <f t="shared" si="37"/>
        <v>0.4</v>
      </c>
      <c r="AI304">
        <f t="shared" si="38"/>
        <v>0.6</v>
      </c>
      <c r="AJ304">
        <f t="shared" si="39"/>
        <v>0.4</v>
      </c>
      <c r="AK304">
        <f t="shared" si="40"/>
        <v>25596.121633416478</v>
      </c>
      <c r="AL304">
        <f t="shared" si="41"/>
        <v>24297.600000000002</v>
      </c>
      <c r="AM304">
        <f>MIN(MAX(0,$B$10-AL304)*AI304,'Retirement Gap'!$B$29)</f>
        <v>10850.278366583516</v>
      </c>
      <c r="AN304">
        <f>IF($E$40="B - Withdrawals + Roth conversions",AJ304*MAX(0,MIN($B$47-AL304,MIN($B$59,IRMAA!$C$16)-(AL304+$B$8*0.85+AK304*$B$46))),0)</f>
        <v>0</v>
      </c>
      <c r="AO304" cm="1">
        <f t="array" ref="AO304">_xlfn.LET(_xlpm.N,$B$49,_xlpm.R,$B$48,_xlpm.Start,$B$47,_xlpm.PlanWD,AL304,_xlpm.PlanRoth,AM304,_xlpm.PlanConv,AN304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22999.119999999999</v>
      </c>
      <c r="AP304" cm="1">
        <f t="array" ref="AP304">_xlfn.LET(_xlpm.N,$B$49,_xlpm.R,$B$48,_xlpm.Start,$B$47,_xlpm.PlanWD,AL304,_xlpm.PlanRoth,AM304,_xlpm.PlanConv,AN304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304" cm="1">
        <f t="array" ref="AQ304">_xlfn.LET(_xlpm.N,$B$49,_xlpm.R,$B$48,_xlpm.Start,$B$47,_xlpm.PlanWD,AL304,_xlpm.PlanRoth,AM304,_xlpm.PlanConv,AN304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985122.61163367354</v>
      </c>
      <c r="AR304" cm="1">
        <f t="array" ref="AR304">_xlfn.LET(_xlpm.N,$B$49,_xlpm.R,$B$48,_xlpm.Start,$B$47,_xlpm.PlanWD,AL304,_xlpm.PlanRoth,AM304,_xlpm.PlanConv,AN304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1114795.1975772022</v>
      </c>
      <c r="AS304">
        <f>--AND(AK304&lt;=SUM('Retirement Gap'!$B$24:$B$25,'Retirement Gap'!$B$27),AL304+AN304&lt;=$B$47,AM304&lt;='Retirement Gap'!$B$29,ABS(AK304+AL304+AM304-$B$10)&lt;1)</f>
        <v>1</v>
      </c>
      <c r="AT304" cm="1">
        <f t="array" ref="AT304">IF(AS304=0,1E+99,_xlfn.SWITCH(LEFT($E$39,1),"1",AO304,"2",AP304*1000000000+AO304,"3",-AQ304,"4",AO304+AP304*25000+AR304*0.005-AQ304*0.0001,AO304))</f>
        <v>-985122.61163367354</v>
      </c>
    </row>
    <row r="305" spans="33:46" x14ac:dyDescent="0.55000000000000004">
      <c r="AG305">
        <f t="shared" si="36"/>
        <v>304</v>
      </c>
      <c r="AH305">
        <f t="shared" si="37"/>
        <v>0.4</v>
      </c>
      <c r="AI305">
        <f t="shared" si="38"/>
        <v>0.6</v>
      </c>
      <c r="AJ305">
        <f t="shared" si="39"/>
        <v>0.6</v>
      </c>
      <c r="AK305">
        <f t="shared" si="40"/>
        <v>25596.121633416478</v>
      </c>
      <c r="AL305">
        <f t="shared" si="41"/>
        <v>24297.600000000002</v>
      </c>
      <c r="AM305">
        <f>MIN(MAX(0,$B$10-AL305)*AI305,'Retirement Gap'!$B$29)</f>
        <v>10850.278366583516</v>
      </c>
      <c r="AN305">
        <f>IF($E$40="B - Withdrawals + Roth conversions",AJ305*MAX(0,MIN($B$47-AL305,MIN($B$59,IRMAA!$C$16)-(AL305+$B$8*0.85+AK305*$B$46))),0)</f>
        <v>0</v>
      </c>
      <c r="AO305" cm="1">
        <f t="array" ref="AO305">_xlfn.LET(_xlpm.N,$B$49,_xlpm.R,$B$48,_xlpm.Start,$B$47,_xlpm.PlanWD,AL305,_xlpm.PlanRoth,AM305,_xlpm.PlanConv,AN305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22999.119999999999</v>
      </c>
      <c r="AP305" cm="1">
        <f t="array" ref="AP305">_xlfn.LET(_xlpm.N,$B$49,_xlpm.R,$B$48,_xlpm.Start,$B$47,_xlpm.PlanWD,AL305,_xlpm.PlanRoth,AM305,_xlpm.PlanConv,AN305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305" cm="1">
        <f t="array" ref="AQ305">_xlfn.LET(_xlpm.N,$B$49,_xlpm.R,$B$48,_xlpm.Start,$B$47,_xlpm.PlanWD,AL305,_xlpm.PlanRoth,AM305,_xlpm.PlanConv,AN305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985122.61163367354</v>
      </c>
      <c r="AR305" cm="1">
        <f t="array" ref="AR305">_xlfn.LET(_xlpm.N,$B$49,_xlpm.R,$B$48,_xlpm.Start,$B$47,_xlpm.PlanWD,AL305,_xlpm.PlanRoth,AM305,_xlpm.PlanConv,AN305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1114795.1975772022</v>
      </c>
      <c r="AS305">
        <f>--AND(AK305&lt;=SUM('Retirement Gap'!$B$24:$B$25,'Retirement Gap'!$B$27),AL305+AN305&lt;=$B$47,AM305&lt;='Retirement Gap'!$B$29,ABS(AK305+AL305+AM305-$B$10)&lt;1)</f>
        <v>1</v>
      </c>
      <c r="AT305" cm="1">
        <f t="array" ref="AT305">IF(AS305=0,1E+99,_xlfn.SWITCH(LEFT($E$39,1),"1",AO305,"2",AP305*1000000000+AO305,"3",-AQ305,"4",AO305+AP305*25000+AR305*0.005-AQ305*0.0001,AO305))</f>
        <v>-985122.61163367354</v>
      </c>
    </row>
    <row r="306" spans="33:46" x14ac:dyDescent="0.55000000000000004">
      <c r="AG306">
        <f t="shared" si="36"/>
        <v>305</v>
      </c>
      <c r="AH306">
        <f t="shared" si="37"/>
        <v>0.4</v>
      </c>
      <c r="AI306">
        <f t="shared" si="38"/>
        <v>0.6</v>
      </c>
      <c r="AJ306">
        <f t="shared" si="39"/>
        <v>0.8</v>
      </c>
      <c r="AK306">
        <f t="shared" si="40"/>
        <v>25596.121633416478</v>
      </c>
      <c r="AL306">
        <f t="shared" si="41"/>
        <v>24297.600000000002</v>
      </c>
      <c r="AM306">
        <f>MIN(MAX(0,$B$10-AL306)*AI306,'Retirement Gap'!$B$29)</f>
        <v>10850.278366583516</v>
      </c>
      <c r="AN306">
        <f>IF($E$40="B - Withdrawals + Roth conversions",AJ306*MAX(0,MIN($B$47-AL306,MIN($B$59,IRMAA!$C$16)-(AL306+$B$8*0.85+AK306*$B$46))),0)</f>
        <v>0</v>
      </c>
      <c r="AO306" cm="1">
        <f t="array" ref="AO306">_xlfn.LET(_xlpm.N,$B$49,_xlpm.R,$B$48,_xlpm.Start,$B$47,_xlpm.PlanWD,AL306,_xlpm.PlanRoth,AM306,_xlpm.PlanConv,AN306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22999.119999999999</v>
      </c>
      <c r="AP306" cm="1">
        <f t="array" ref="AP306">_xlfn.LET(_xlpm.N,$B$49,_xlpm.R,$B$48,_xlpm.Start,$B$47,_xlpm.PlanWD,AL306,_xlpm.PlanRoth,AM306,_xlpm.PlanConv,AN306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306" cm="1">
        <f t="array" ref="AQ306">_xlfn.LET(_xlpm.N,$B$49,_xlpm.R,$B$48,_xlpm.Start,$B$47,_xlpm.PlanWD,AL306,_xlpm.PlanRoth,AM306,_xlpm.PlanConv,AN306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985122.61163367354</v>
      </c>
      <c r="AR306" cm="1">
        <f t="array" ref="AR306">_xlfn.LET(_xlpm.N,$B$49,_xlpm.R,$B$48,_xlpm.Start,$B$47,_xlpm.PlanWD,AL306,_xlpm.PlanRoth,AM306,_xlpm.PlanConv,AN306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1114795.1975772022</v>
      </c>
      <c r="AS306">
        <f>--AND(AK306&lt;=SUM('Retirement Gap'!$B$24:$B$25,'Retirement Gap'!$B$27),AL306+AN306&lt;=$B$47,AM306&lt;='Retirement Gap'!$B$29,ABS(AK306+AL306+AM306-$B$10)&lt;1)</f>
        <v>1</v>
      </c>
      <c r="AT306" cm="1">
        <f t="array" ref="AT306">IF(AS306=0,1E+99,_xlfn.SWITCH(LEFT($E$39,1),"1",AO306,"2",AP306*1000000000+AO306,"3",-AQ306,"4",AO306+AP306*25000+AR306*0.005-AQ306*0.0001,AO306))</f>
        <v>-985122.61163367354</v>
      </c>
    </row>
    <row r="307" spans="33:46" x14ac:dyDescent="0.55000000000000004">
      <c r="AG307">
        <f t="shared" si="36"/>
        <v>306</v>
      </c>
      <c r="AH307">
        <f t="shared" si="37"/>
        <v>0.4</v>
      </c>
      <c r="AI307">
        <f t="shared" si="38"/>
        <v>0.6</v>
      </c>
      <c r="AJ307">
        <f t="shared" si="39"/>
        <v>1</v>
      </c>
      <c r="AK307">
        <f t="shared" si="40"/>
        <v>25596.121633416478</v>
      </c>
      <c r="AL307">
        <f t="shared" si="41"/>
        <v>24297.600000000002</v>
      </c>
      <c r="AM307">
        <f>MIN(MAX(0,$B$10-AL307)*AI307,'Retirement Gap'!$B$29)</f>
        <v>10850.278366583516</v>
      </c>
      <c r="AN307">
        <f>IF($E$40="B - Withdrawals + Roth conversions",AJ307*MAX(0,MIN($B$47-AL307,MIN($B$59,IRMAA!$C$16)-(AL307+$B$8*0.85+AK307*$B$46))),0)</f>
        <v>0</v>
      </c>
      <c r="AO307" cm="1">
        <f t="array" ref="AO307">_xlfn.LET(_xlpm.N,$B$49,_xlpm.R,$B$48,_xlpm.Start,$B$47,_xlpm.PlanWD,AL307,_xlpm.PlanRoth,AM307,_xlpm.PlanConv,AN307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22999.119999999999</v>
      </c>
      <c r="AP307" cm="1">
        <f t="array" ref="AP307">_xlfn.LET(_xlpm.N,$B$49,_xlpm.R,$B$48,_xlpm.Start,$B$47,_xlpm.PlanWD,AL307,_xlpm.PlanRoth,AM307,_xlpm.PlanConv,AN307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307" cm="1">
        <f t="array" ref="AQ307">_xlfn.LET(_xlpm.N,$B$49,_xlpm.R,$B$48,_xlpm.Start,$B$47,_xlpm.PlanWD,AL307,_xlpm.PlanRoth,AM307,_xlpm.PlanConv,AN307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985122.61163367354</v>
      </c>
      <c r="AR307" cm="1">
        <f t="array" ref="AR307">_xlfn.LET(_xlpm.N,$B$49,_xlpm.R,$B$48,_xlpm.Start,$B$47,_xlpm.PlanWD,AL307,_xlpm.PlanRoth,AM307,_xlpm.PlanConv,AN307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1114795.1975772022</v>
      </c>
      <c r="AS307">
        <f>--AND(AK307&lt;=SUM('Retirement Gap'!$B$24:$B$25,'Retirement Gap'!$B$27),AL307+AN307&lt;=$B$47,AM307&lt;='Retirement Gap'!$B$29,ABS(AK307+AL307+AM307-$B$10)&lt;1)</f>
        <v>1</v>
      </c>
      <c r="AT307" cm="1">
        <f t="array" ref="AT307">IF(AS307=0,1E+99,_xlfn.SWITCH(LEFT($E$39,1),"1",AO307,"2",AP307*1000000000+AO307,"3",-AQ307,"4",AO307+AP307*25000+AR307*0.005-AQ307*0.0001,AO307))</f>
        <v>-985122.61163367354</v>
      </c>
    </row>
    <row r="308" spans="33:46" x14ac:dyDescent="0.55000000000000004">
      <c r="AG308">
        <f t="shared" si="36"/>
        <v>307</v>
      </c>
      <c r="AH308">
        <f t="shared" si="37"/>
        <v>0.4</v>
      </c>
      <c r="AI308">
        <f t="shared" si="38"/>
        <v>0.7</v>
      </c>
      <c r="AJ308">
        <f t="shared" si="39"/>
        <v>0</v>
      </c>
      <c r="AK308">
        <f t="shared" si="40"/>
        <v>25596.121633416478</v>
      </c>
      <c r="AL308">
        <f t="shared" si="41"/>
        <v>24297.600000000002</v>
      </c>
      <c r="AM308">
        <f>MIN(MAX(0,$B$10-AL308)*AI308,'Retirement Gap'!$B$29)</f>
        <v>10850.278366583516</v>
      </c>
      <c r="AN308">
        <f>IF($E$40="B - Withdrawals + Roth conversions",AJ308*MAX(0,MIN($B$47-AL308,MIN($B$59,IRMAA!$C$16)-(AL308+$B$8*0.85+AK308*$B$46))),0)</f>
        <v>0</v>
      </c>
      <c r="AO308" cm="1">
        <f t="array" ref="AO308">_xlfn.LET(_xlpm.N,$B$49,_xlpm.R,$B$48,_xlpm.Start,$B$47,_xlpm.PlanWD,AL308,_xlpm.PlanRoth,AM308,_xlpm.PlanConv,AN308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22999.119999999999</v>
      </c>
      <c r="AP308" cm="1">
        <f t="array" ref="AP308">_xlfn.LET(_xlpm.N,$B$49,_xlpm.R,$B$48,_xlpm.Start,$B$47,_xlpm.PlanWD,AL308,_xlpm.PlanRoth,AM308,_xlpm.PlanConv,AN308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308" cm="1">
        <f t="array" ref="AQ308">_xlfn.LET(_xlpm.N,$B$49,_xlpm.R,$B$48,_xlpm.Start,$B$47,_xlpm.PlanWD,AL308,_xlpm.PlanRoth,AM308,_xlpm.PlanConv,AN308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985122.61163367354</v>
      </c>
      <c r="AR308" cm="1">
        <f t="array" ref="AR308">_xlfn.LET(_xlpm.N,$B$49,_xlpm.R,$B$48,_xlpm.Start,$B$47,_xlpm.PlanWD,AL308,_xlpm.PlanRoth,AM308,_xlpm.PlanConv,AN308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1114795.1975772022</v>
      </c>
      <c r="AS308">
        <f>--AND(AK308&lt;=SUM('Retirement Gap'!$B$24:$B$25,'Retirement Gap'!$B$27),AL308+AN308&lt;=$B$47,AM308&lt;='Retirement Gap'!$B$29,ABS(AK308+AL308+AM308-$B$10)&lt;1)</f>
        <v>1</v>
      </c>
      <c r="AT308" cm="1">
        <f t="array" ref="AT308">IF(AS308=0,1E+99,_xlfn.SWITCH(LEFT($E$39,1),"1",AO308,"2",AP308*1000000000+AO308,"3",-AQ308,"4",AO308+AP308*25000+AR308*0.005-AQ308*0.0001,AO308))</f>
        <v>-985122.61163367354</v>
      </c>
    </row>
    <row r="309" spans="33:46" x14ac:dyDescent="0.55000000000000004">
      <c r="AG309">
        <f t="shared" si="36"/>
        <v>308</v>
      </c>
      <c r="AH309">
        <f t="shared" si="37"/>
        <v>0.4</v>
      </c>
      <c r="AI309">
        <f t="shared" si="38"/>
        <v>0.7</v>
      </c>
      <c r="AJ309">
        <f t="shared" si="39"/>
        <v>0.2</v>
      </c>
      <c r="AK309">
        <f t="shared" si="40"/>
        <v>25596.121633416478</v>
      </c>
      <c r="AL309">
        <f t="shared" si="41"/>
        <v>24297.600000000002</v>
      </c>
      <c r="AM309">
        <f>MIN(MAX(0,$B$10-AL309)*AI309,'Retirement Gap'!$B$29)</f>
        <v>10850.278366583516</v>
      </c>
      <c r="AN309">
        <f>IF($E$40="B - Withdrawals + Roth conversions",AJ309*MAX(0,MIN($B$47-AL309,MIN($B$59,IRMAA!$C$16)-(AL309+$B$8*0.85+AK309*$B$46))),0)</f>
        <v>0</v>
      </c>
      <c r="AO309" cm="1">
        <f t="array" ref="AO309">_xlfn.LET(_xlpm.N,$B$49,_xlpm.R,$B$48,_xlpm.Start,$B$47,_xlpm.PlanWD,AL309,_xlpm.PlanRoth,AM309,_xlpm.PlanConv,AN309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22999.119999999999</v>
      </c>
      <c r="AP309" cm="1">
        <f t="array" ref="AP309">_xlfn.LET(_xlpm.N,$B$49,_xlpm.R,$B$48,_xlpm.Start,$B$47,_xlpm.PlanWD,AL309,_xlpm.PlanRoth,AM309,_xlpm.PlanConv,AN309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309" cm="1">
        <f t="array" ref="AQ309">_xlfn.LET(_xlpm.N,$B$49,_xlpm.R,$B$48,_xlpm.Start,$B$47,_xlpm.PlanWD,AL309,_xlpm.PlanRoth,AM309,_xlpm.PlanConv,AN309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985122.61163367354</v>
      </c>
      <c r="AR309" cm="1">
        <f t="array" ref="AR309">_xlfn.LET(_xlpm.N,$B$49,_xlpm.R,$B$48,_xlpm.Start,$B$47,_xlpm.PlanWD,AL309,_xlpm.PlanRoth,AM309,_xlpm.PlanConv,AN309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1114795.1975772022</v>
      </c>
      <c r="AS309">
        <f>--AND(AK309&lt;=SUM('Retirement Gap'!$B$24:$B$25,'Retirement Gap'!$B$27),AL309+AN309&lt;=$B$47,AM309&lt;='Retirement Gap'!$B$29,ABS(AK309+AL309+AM309-$B$10)&lt;1)</f>
        <v>1</v>
      </c>
      <c r="AT309" cm="1">
        <f t="array" ref="AT309">IF(AS309=0,1E+99,_xlfn.SWITCH(LEFT($E$39,1),"1",AO309,"2",AP309*1000000000+AO309,"3",-AQ309,"4",AO309+AP309*25000+AR309*0.005-AQ309*0.0001,AO309))</f>
        <v>-985122.61163367354</v>
      </c>
    </row>
    <row r="310" spans="33:46" x14ac:dyDescent="0.55000000000000004">
      <c r="AG310">
        <f t="shared" si="36"/>
        <v>309</v>
      </c>
      <c r="AH310">
        <f t="shared" si="37"/>
        <v>0.4</v>
      </c>
      <c r="AI310">
        <f t="shared" si="38"/>
        <v>0.7</v>
      </c>
      <c r="AJ310">
        <f t="shared" si="39"/>
        <v>0.4</v>
      </c>
      <c r="AK310">
        <f t="shared" si="40"/>
        <v>25596.121633416478</v>
      </c>
      <c r="AL310">
        <f t="shared" si="41"/>
        <v>24297.600000000002</v>
      </c>
      <c r="AM310">
        <f>MIN(MAX(0,$B$10-AL310)*AI310,'Retirement Gap'!$B$29)</f>
        <v>10850.278366583516</v>
      </c>
      <c r="AN310">
        <f>IF($E$40="B - Withdrawals + Roth conversions",AJ310*MAX(0,MIN($B$47-AL310,MIN($B$59,IRMAA!$C$16)-(AL310+$B$8*0.85+AK310*$B$46))),0)</f>
        <v>0</v>
      </c>
      <c r="AO310" cm="1">
        <f t="array" ref="AO310">_xlfn.LET(_xlpm.N,$B$49,_xlpm.R,$B$48,_xlpm.Start,$B$47,_xlpm.PlanWD,AL310,_xlpm.PlanRoth,AM310,_xlpm.PlanConv,AN310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22999.119999999999</v>
      </c>
      <c r="AP310" cm="1">
        <f t="array" ref="AP310">_xlfn.LET(_xlpm.N,$B$49,_xlpm.R,$B$48,_xlpm.Start,$B$47,_xlpm.PlanWD,AL310,_xlpm.PlanRoth,AM310,_xlpm.PlanConv,AN310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310" cm="1">
        <f t="array" ref="AQ310">_xlfn.LET(_xlpm.N,$B$49,_xlpm.R,$B$48,_xlpm.Start,$B$47,_xlpm.PlanWD,AL310,_xlpm.PlanRoth,AM310,_xlpm.PlanConv,AN310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985122.61163367354</v>
      </c>
      <c r="AR310" cm="1">
        <f t="array" ref="AR310">_xlfn.LET(_xlpm.N,$B$49,_xlpm.R,$B$48,_xlpm.Start,$B$47,_xlpm.PlanWD,AL310,_xlpm.PlanRoth,AM310,_xlpm.PlanConv,AN310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1114795.1975772022</v>
      </c>
      <c r="AS310">
        <f>--AND(AK310&lt;=SUM('Retirement Gap'!$B$24:$B$25,'Retirement Gap'!$B$27),AL310+AN310&lt;=$B$47,AM310&lt;='Retirement Gap'!$B$29,ABS(AK310+AL310+AM310-$B$10)&lt;1)</f>
        <v>1</v>
      </c>
      <c r="AT310" cm="1">
        <f t="array" ref="AT310">IF(AS310=0,1E+99,_xlfn.SWITCH(LEFT($E$39,1),"1",AO310,"2",AP310*1000000000+AO310,"3",-AQ310,"4",AO310+AP310*25000+AR310*0.005-AQ310*0.0001,AO310))</f>
        <v>-985122.61163367354</v>
      </c>
    </row>
    <row r="311" spans="33:46" x14ac:dyDescent="0.55000000000000004">
      <c r="AG311">
        <f t="shared" si="36"/>
        <v>310</v>
      </c>
      <c r="AH311">
        <f t="shared" si="37"/>
        <v>0.4</v>
      </c>
      <c r="AI311">
        <f t="shared" si="38"/>
        <v>0.7</v>
      </c>
      <c r="AJ311">
        <f t="shared" si="39"/>
        <v>0.6</v>
      </c>
      <c r="AK311">
        <f t="shared" si="40"/>
        <v>25596.121633416478</v>
      </c>
      <c r="AL311">
        <f t="shared" si="41"/>
        <v>24297.600000000002</v>
      </c>
      <c r="AM311">
        <f>MIN(MAX(0,$B$10-AL311)*AI311,'Retirement Gap'!$B$29)</f>
        <v>10850.278366583516</v>
      </c>
      <c r="AN311">
        <f>IF($E$40="B - Withdrawals + Roth conversions",AJ311*MAX(0,MIN($B$47-AL311,MIN($B$59,IRMAA!$C$16)-(AL311+$B$8*0.85+AK311*$B$46))),0)</f>
        <v>0</v>
      </c>
      <c r="AO311" cm="1">
        <f t="array" ref="AO311">_xlfn.LET(_xlpm.N,$B$49,_xlpm.R,$B$48,_xlpm.Start,$B$47,_xlpm.PlanWD,AL311,_xlpm.PlanRoth,AM311,_xlpm.PlanConv,AN311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22999.119999999999</v>
      </c>
      <c r="AP311" cm="1">
        <f t="array" ref="AP311">_xlfn.LET(_xlpm.N,$B$49,_xlpm.R,$B$48,_xlpm.Start,$B$47,_xlpm.PlanWD,AL311,_xlpm.PlanRoth,AM311,_xlpm.PlanConv,AN311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311" cm="1">
        <f t="array" ref="AQ311">_xlfn.LET(_xlpm.N,$B$49,_xlpm.R,$B$48,_xlpm.Start,$B$47,_xlpm.PlanWD,AL311,_xlpm.PlanRoth,AM311,_xlpm.PlanConv,AN311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985122.61163367354</v>
      </c>
      <c r="AR311" cm="1">
        <f t="array" ref="AR311">_xlfn.LET(_xlpm.N,$B$49,_xlpm.R,$B$48,_xlpm.Start,$B$47,_xlpm.PlanWD,AL311,_xlpm.PlanRoth,AM311,_xlpm.PlanConv,AN311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1114795.1975772022</v>
      </c>
      <c r="AS311">
        <f>--AND(AK311&lt;=SUM('Retirement Gap'!$B$24:$B$25,'Retirement Gap'!$B$27),AL311+AN311&lt;=$B$47,AM311&lt;='Retirement Gap'!$B$29,ABS(AK311+AL311+AM311-$B$10)&lt;1)</f>
        <v>1</v>
      </c>
      <c r="AT311" cm="1">
        <f t="array" ref="AT311">IF(AS311=0,1E+99,_xlfn.SWITCH(LEFT($E$39,1),"1",AO311,"2",AP311*1000000000+AO311,"3",-AQ311,"4",AO311+AP311*25000+AR311*0.005-AQ311*0.0001,AO311))</f>
        <v>-985122.61163367354</v>
      </c>
    </row>
    <row r="312" spans="33:46" x14ac:dyDescent="0.55000000000000004">
      <c r="AG312">
        <f t="shared" si="36"/>
        <v>311</v>
      </c>
      <c r="AH312">
        <f t="shared" si="37"/>
        <v>0.4</v>
      </c>
      <c r="AI312">
        <f t="shared" si="38"/>
        <v>0.7</v>
      </c>
      <c r="AJ312">
        <f t="shared" si="39"/>
        <v>0.8</v>
      </c>
      <c r="AK312">
        <f t="shared" si="40"/>
        <v>25596.121633416478</v>
      </c>
      <c r="AL312">
        <f t="shared" si="41"/>
        <v>24297.600000000002</v>
      </c>
      <c r="AM312">
        <f>MIN(MAX(0,$B$10-AL312)*AI312,'Retirement Gap'!$B$29)</f>
        <v>10850.278366583516</v>
      </c>
      <c r="AN312">
        <f>IF($E$40="B - Withdrawals + Roth conversions",AJ312*MAX(0,MIN($B$47-AL312,MIN($B$59,IRMAA!$C$16)-(AL312+$B$8*0.85+AK312*$B$46))),0)</f>
        <v>0</v>
      </c>
      <c r="AO312" cm="1">
        <f t="array" ref="AO312">_xlfn.LET(_xlpm.N,$B$49,_xlpm.R,$B$48,_xlpm.Start,$B$47,_xlpm.PlanWD,AL312,_xlpm.PlanRoth,AM312,_xlpm.PlanConv,AN312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22999.119999999999</v>
      </c>
      <c r="AP312" cm="1">
        <f t="array" ref="AP312">_xlfn.LET(_xlpm.N,$B$49,_xlpm.R,$B$48,_xlpm.Start,$B$47,_xlpm.PlanWD,AL312,_xlpm.PlanRoth,AM312,_xlpm.PlanConv,AN312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312" cm="1">
        <f t="array" ref="AQ312">_xlfn.LET(_xlpm.N,$B$49,_xlpm.R,$B$48,_xlpm.Start,$B$47,_xlpm.PlanWD,AL312,_xlpm.PlanRoth,AM312,_xlpm.PlanConv,AN312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985122.61163367354</v>
      </c>
      <c r="AR312" cm="1">
        <f t="array" ref="AR312">_xlfn.LET(_xlpm.N,$B$49,_xlpm.R,$B$48,_xlpm.Start,$B$47,_xlpm.PlanWD,AL312,_xlpm.PlanRoth,AM312,_xlpm.PlanConv,AN312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1114795.1975772022</v>
      </c>
      <c r="AS312">
        <f>--AND(AK312&lt;=SUM('Retirement Gap'!$B$24:$B$25,'Retirement Gap'!$B$27),AL312+AN312&lt;=$B$47,AM312&lt;='Retirement Gap'!$B$29,ABS(AK312+AL312+AM312-$B$10)&lt;1)</f>
        <v>1</v>
      </c>
      <c r="AT312" cm="1">
        <f t="array" ref="AT312">IF(AS312=0,1E+99,_xlfn.SWITCH(LEFT($E$39,1),"1",AO312,"2",AP312*1000000000+AO312,"3",-AQ312,"4",AO312+AP312*25000+AR312*0.005-AQ312*0.0001,AO312))</f>
        <v>-985122.61163367354</v>
      </c>
    </row>
    <row r="313" spans="33:46" x14ac:dyDescent="0.55000000000000004">
      <c r="AG313">
        <f t="shared" si="36"/>
        <v>312</v>
      </c>
      <c r="AH313">
        <f t="shared" si="37"/>
        <v>0.4</v>
      </c>
      <c r="AI313">
        <f t="shared" si="38"/>
        <v>0.7</v>
      </c>
      <c r="AJ313">
        <f t="shared" si="39"/>
        <v>1</v>
      </c>
      <c r="AK313">
        <f t="shared" si="40"/>
        <v>25596.121633416478</v>
      </c>
      <c r="AL313">
        <f t="shared" si="41"/>
        <v>24297.600000000002</v>
      </c>
      <c r="AM313">
        <f>MIN(MAX(0,$B$10-AL313)*AI313,'Retirement Gap'!$B$29)</f>
        <v>10850.278366583516</v>
      </c>
      <c r="AN313">
        <f>IF($E$40="B - Withdrawals + Roth conversions",AJ313*MAX(0,MIN($B$47-AL313,MIN($B$59,IRMAA!$C$16)-(AL313+$B$8*0.85+AK313*$B$46))),0)</f>
        <v>0</v>
      </c>
      <c r="AO313" cm="1">
        <f t="array" ref="AO313">_xlfn.LET(_xlpm.N,$B$49,_xlpm.R,$B$48,_xlpm.Start,$B$47,_xlpm.PlanWD,AL313,_xlpm.PlanRoth,AM313,_xlpm.PlanConv,AN313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22999.119999999999</v>
      </c>
      <c r="AP313" cm="1">
        <f t="array" ref="AP313">_xlfn.LET(_xlpm.N,$B$49,_xlpm.R,$B$48,_xlpm.Start,$B$47,_xlpm.PlanWD,AL313,_xlpm.PlanRoth,AM313,_xlpm.PlanConv,AN313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313" cm="1">
        <f t="array" ref="AQ313">_xlfn.LET(_xlpm.N,$B$49,_xlpm.R,$B$48,_xlpm.Start,$B$47,_xlpm.PlanWD,AL313,_xlpm.PlanRoth,AM313,_xlpm.PlanConv,AN313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985122.61163367354</v>
      </c>
      <c r="AR313" cm="1">
        <f t="array" ref="AR313">_xlfn.LET(_xlpm.N,$B$49,_xlpm.R,$B$48,_xlpm.Start,$B$47,_xlpm.PlanWD,AL313,_xlpm.PlanRoth,AM313,_xlpm.PlanConv,AN313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1114795.1975772022</v>
      </c>
      <c r="AS313">
        <f>--AND(AK313&lt;=SUM('Retirement Gap'!$B$24:$B$25,'Retirement Gap'!$B$27),AL313+AN313&lt;=$B$47,AM313&lt;='Retirement Gap'!$B$29,ABS(AK313+AL313+AM313-$B$10)&lt;1)</f>
        <v>1</v>
      </c>
      <c r="AT313" cm="1">
        <f t="array" ref="AT313">IF(AS313=0,1E+99,_xlfn.SWITCH(LEFT($E$39,1),"1",AO313,"2",AP313*1000000000+AO313,"3",-AQ313,"4",AO313+AP313*25000+AR313*0.005-AQ313*0.0001,AO313))</f>
        <v>-985122.61163367354</v>
      </c>
    </row>
    <row r="314" spans="33:46" x14ac:dyDescent="0.55000000000000004">
      <c r="AG314">
        <f t="shared" si="36"/>
        <v>313</v>
      </c>
      <c r="AH314">
        <f t="shared" si="37"/>
        <v>0.4</v>
      </c>
      <c r="AI314">
        <f t="shared" si="38"/>
        <v>0.8</v>
      </c>
      <c r="AJ314">
        <f t="shared" si="39"/>
        <v>0</v>
      </c>
      <c r="AK314">
        <f t="shared" si="40"/>
        <v>25596.121633416478</v>
      </c>
      <c r="AL314">
        <f t="shared" si="41"/>
        <v>24297.600000000002</v>
      </c>
      <c r="AM314">
        <f>MIN(MAX(0,$B$10-AL314)*AI314,'Retirement Gap'!$B$29)</f>
        <v>10850.278366583516</v>
      </c>
      <c r="AN314">
        <f>IF($E$40="B - Withdrawals + Roth conversions",AJ314*MAX(0,MIN($B$47-AL314,MIN($B$59,IRMAA!$C$16)-(AL314+$B$8*0.85+AK314*$B$46))),0)</f>
        <v>0</v>
      </c>
      <c r="AO314" cm="1">
        <f t="array" ref="AO314">_xlfn.LET(_xlpm.N,$B$49,_xlpm.R,$B$48,_xlpm.Start,$B$47,_xlpm.PlanWD,AL314,_xlpm.PlanRoth,AM314,_xlpm.PlanConv,AN314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22999.119999999999</v>
      </c>
      <c r="AP314" cm="1">
        <f t="array" ref="AP314">_xlfn.LET(_xlpm.N,$B$49,_xlpm.R,$B$48,_xlpm.Start,$B$47,_xlpm.PlanWD,AL314,_xlpm.PlanRoth,AM314,_xlpm.PlanConv,AN314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314" cm="1">
        <f t="array" ref="AQ314">_xlfn.LET(_xlpm.N,$B$49,_xlpm.R,$B$48,_xlpm.Start,$B$47,_xlpm.PlanWD,AL314,_xlpm.PlanRoth,AM314,_xlpm.PlanConv,AN314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985122.61163367354</v>
      </c>
      <c r="AR314" cm="1">
        <f t="array" ref="AR314">_xlfn.LET(_xlpm.N,$B$49,_xlpm.R,$B$48,_xlpm.Start,$B$47,_xlpm.PlanWD,AL314,_xlpm.PlanRoth,AM314,_xlpm.PlanConv,AN314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1114795.1975772022</v>
      </c>
      <c r="AS314">
        <f>--AND(AK314&lt;=SUM('Retirement Gap'!$B$24:$B$25,'Retirement Gap'!$B$27),AL314+AN314&lt;=$B$47,AM314&lt;='Retirement Gap'!$B$29,ABS(AK314+AL314+AM314-$B$10)&lt;1)</f>
        <v>1</v>
      </c>
      <c r="AT314" cm="1">
        <f t="array" ref="AT314">IF(AS314=0,1E+99,_xlfn.SWITCH(LEFT($E$39,1),"1",AO314,"2",AP314*1000000000+AO314,"3",-AQ314,"4",AO314+AP314*25000+AR314*0.005-AQ314*0.0001,AO314))</f>
        <v>-985122.61163367354</v>
      </c>
    </row>
    <row r="315" spans="33:46" x14ac:dyDescent="0.55000000000000004">
      <c r="AG315">
        <f t="shared" si="36"/>
        <v>314</v>
      </c>
      <c r="AH315">
        <f t="shared" si="37"/>
        <v>0.4</v>
      </c>
      <c r="AI315">
        <f t="shared" si="38"/>
        <v>0.8</v>
      </c>
      <c r="AJ315">
        <f t="shared" si="39"/>
        <v>0.2</v>
      </c>
      <c r="AK315">
        <f t="shared" si="40"/>
        <v>25596.121633416478</v>
      </c>
      <c r="AL315">
        <f t="shared" si="41"/>
        <v>24297.600000000002</v>
      </c>
      <c r="AM315">
        <f>MIN(MAX(0,$B$10-AL315)*AI315,'Retirement Gap'!$B$29)</f>
        <v>10850.278366583516</v>
      </c>
      <c r="AN315">
        <f>IF($E$40="B - Withdrawals + Roth conversions",AJ315*MAX(0,MIN($B$47-AL315,MIN($B$59,IRMAA!$C$16)-(AL315+$B$8*0.85+AK315*$B$46))),0)</f>
        <v>0</v>
      </c>
      <c r="AO315" cm="1">
        <f t="array" ref="AO315">_xlfn.LET(_xlpm.N,$B$49,_xlpm.R,$B$48,_xlpm.Start,$B$47,_xlpm.PlanWD,AL315,_xlpm.PlanRoth,AM315,_xlpm.PlanConv,AN315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22999.119999999999</v>
      </c>
      <c r="AP315" cm="1">
        <f t="array" ref="AP315">_xlfn.LET(_xlpm.N,$B$49,_xlpm.R,$B$48,_xlpm.Start,$B$47,_xlpm.PlanWD,AL315,_xlpm.PlanRoth,AM315,_xlpm.PlanConv,AN315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315" cm="1">
        <f t="array" ref="AQ315">_xlfn.LET(_xlpm.N,$B$49,_xlpm.R,$B$48,_xlpm.Start,$B$47,_xlpm.PlanWD,AL315,_xlpm.PlanRoth,AM315,_xlpm.PlanConv,AN315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985122.61163367354</v>
      </c>
      <c r="AR315" cm="1">
        <f t="array" ref="AR315">_xlfn.LET(_xlpm.N,$B$49,_xlpm.R,$B$48,_xlpm.Start,$B$47,_xlpm.PlanWD,AL315,_xlpm.PlanRoth,AM315,_xlpm.PlanConv,AN315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1114795.1975772022</v>
      </c>
      <c r="AS315">
        <f>--AND(AK315&lt;=SUM('Retirement Gap'!$B$24:$B$25,'Retirement Gap'!$B$27),AL315+AN315&lt;=$B$47,AM315&lt;='Retirement Gap'!$B$29,ABS(AK315+AL315+AM315-$B$10)&lt;1)</f>
        <v>1</v>
      </c>
      <c r="AT315" cm="1">
        <f t="array" ref="AT315">IF(AS315=0,1E+99,_xlfn.SWITCH(LEFT($E$39,1),"1",AO315,"2",AP315*1000000000+AO315,"3",-AQ315,"4",AO315+AP315*25000+AR315*0.005-AQ315*0.0001,AO315))</f>
        <v>-985122.61163367354</v>
      </c>
    </row>
    <row r="316" spans="33:46" x14ac:dyDescent="0.55000000000000004">
      <c r="AG316">
        <f t="shared" si="36"/>
        <v>315</v>
      </c>
      <c r="AH316">
        <f t="shared" si="37"/>
        <v>0.4</v>
      </c>
      <c r="AI316">
        <f t="shared" si="38"/>
        <v>0.8</v>
      </c>
      <c r="AJ316">
        <f t="shared" si="39"/>
        <v>0.4</v>
      </c>
      <c r="AK316">
        <f t="shared" si="40"/>
        <v>25596.121633416478</v>
      </c>
      <c r="AL316">
        <f t="shared" si="41"/>
        <v>24297.600000000002</v>
      </c>
      <c r="AM316">
        <f>MIN(MAX(0,$B$10-AL316)*AI316,'Retirement Gap'!$B$29)</f>
        <v>10850.278366583516</v>
      </c>
      <c r="AN316">
        <f>IF($E$40="B - Withdrawals + Roth conversions",AJ316*MAX(0,MIN($B$47-AL316,MIN($B$59,IRMAA!$C$16)-(AL316+$B$8*0.85+AK316*$B$46))),0)</f>
        <v>0</v>
      </c>
      <c r="AO316" cm="1">
        <f t="array" ref="AO316">_xlfn.LET(_xlpm.N,$B$49,_xlpm.R,$B$48,_xlpm.Start,$B$47,_xlpm.PlanWD,AL316,_xlpm.PlanRoth,AM316,_xlpm.PlanConv,AN316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22999.119999999999</v>
      </c>
      <c r="AP316" cm="1">
        <f t="array" ref="AP316">_xlfn.LET(_xlpm.N,$B$49,_xlpm.R,$B$48,_xlpm.Start,$B$47,_xlpm.PlanWD,AL316,_xlpm.PlanRoth,AM316,_xlpm.PlanConv,AN316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316" cm="1">
        <f t="array" ref="AQ316">_xlfn.LET(_xlpm.N,$B$49,_xlpm.R,$B$48,_xlpm.Start,$B$47,_xlpm.PlanWD,AL316,_xlpm.PlanRoth,AM316,_xlpm.PlanConv,AN316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985122.61163367354</v>
      </c>
      <c r="AR316" cm="1">
        <f t="array" ref="AR316">_xlfn.LET(_xlpm.N,$B$49,_xlpm.R,$B$48,_xlpm.Start,$B$47,_xlpm.PlanWD,AL316,_xlpm.PlanRoth,AM316,_xlpm.PlanConv,AN316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1114795.1975772022</v>
      </c>
      <c r="AS316">
        <f>--AND(AK316&lt;=SUM('Retirement Gap'!$B$24:$B$25,'Retirement Gap'!$B$27),AL316+AN316&lt;=$B$47,AM316&lt;='Retirement Gap'!$B$29,ABS(AK316+AL316+AM316-$B$10)&lt;1)</f>
        <v>1</v>
      </c>
      <c r="AT316" cm="1">
        <f t="array" ref="AT316">IF(AS316=0,1E+99,_xlfn.SWITCH(LEFT($E$39,1),"1",AO316,"2",AP316*1000000000+AO316,"3",-AQ316,"4",AO316+AP316*25000+AR316*0.005-AQ316*0.0001,AO316))</f>
        <v>-985122.61163367354</v>
      </c>
    </row>
    <row r="317" spans="33:46" x14ac:dyDescent="0.55000000000000004">
      <c r="AG317">
        <f t="shared" si="36"/>
        <v>316</v>
      </c>
      <c r="AH317">
        <f t="shared" si="37"/>
        <v>0.4</v>
      </c>
      <c r="AI317">
        <f t="shared" si="38"/>
        <v>0.8</v>
      </c>
      <c r="AJ317">
        <f t="shared" si="39"/>
        <v>0.6</v>
      </c>
      <c r="AK317">
        <f t="shared" si="40"/>
        <v>25596.121633416478</v>
      </c>
      <c r="AL317">
        <f t="shared" si="41"/>
        <v>24297.600000000002</v>
      </c>
      <c r="AM317">
        <f>MIN(MAX(0,$B$10-AL317)*AI317,'Retirement Gap'!$B$29)</f>
        <v>10850.278366583516</v>
      </c>
      <c r="AN317">
        <f>IF($E$40="B - Withdrawals + Roth conversions",AJ317*MAX(0,MIN($B$47-AL317,MIN($B$59,IRMAA!$C$16)-(AL317+$B$8*0.85+AK317*$B$46))),0)</f>
        <v>0</v>
      </c>
      <c r="AO317" cm="1">
        <f t="array" ref="AO317">_xlfn.LET(_xlpm.N,$B$49,_xlpm.R,$B$48,_xlpm.Start,$B$47,_xlpm.PlanWD,AL317,_xlpm.PlanRoth,AM317,_xlpm.PlanConv,AN317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22999.119999999999</v>
      </c>
      <c r="AP317" cm="1">
        <f t="array" ref="AP317">_xlfn.LET(_xlpm.N,$B$49,_xlpm.R,$B$48,_xlpm.Start,$B$47,_xlpm.PlanWD,AL317,_xlpm.PlanRoth,AM317,_xlpm.PlanConv,AN317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317" cm="1">
        <f t="array" ref="AQ317">_xlfn.LET(_xlpm.N,$B$49,_xlpm.R,$B$48,_xlpm.Start,$B$47,_xlpm.PlanWD,AL317,_xlpm.PlanRoth,AM317,_xlpm.PlanConv,AN317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985122.61163367354</v>
      </c>
      <c r="AR317" cm="1">
        <f t="array" ref="AR317">_xlfn.LET(_xlpm.N,$B$49,_xlpm.R,$B$48,_xlpm.Start,$B$47,_xlpm.PlanWD,AL317,_xlpm.PlanRoth,AM317,_xlpm.PlanConv,AN317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1114795.1975772022</v>
      </c>
      <c r="AS317">
        <f>--AND(AK317&lt;=SUM('Retirement Gap'!$B$24:$B$25,'Retirement Gap'!$B$27),AL317+AN317&lt;=$B$47,AM317&lt;='Retirement Gap'!$B$29,ABS(AK317+AL317+AM317-$B$10)&lt;1)</f>
        <v>1</v>
      </c>
      <c r="AT317" cm="1">
        <f t="array" ref="AT317">IF(AS317=0,1E+99,_xlfn.SWITCH(LEFT($E$39,1),"1",AO317,"2",AP317*1000000000+AO317,"3",-AQ317,"4",AO317+AP317*25000+AR317*0.005-AQ317*0.0001,AO317))</f>
        <v>-985122.61163367354</v>
      </c>
    </row>
    <row r="318" spans="33:46" x14ac:dyDescent="0.55000000000000004">
      <c r="AG318">
        <f t="shared" si="36"/>
        <v>317</v>
      </c>
      <c r="AH318">
        <f t="shared" si="37"/>
        <v>0.4</v>
      </c>
      <c r="AI318">
        <f t="shared" si="38"/>
        <v>0.8</v>
      </c>
      <c r="AJ318">
        <f t="shared" si="39"/>
        <v>0.8</v>
      </c>
      <c r="AK318">
        <f t="shared" si="40"/>
        <v>25596.121633416478</v>
      </c>
      <c r="AL318">
        <f t="shared" si="41"/>
        <v>24297.600000000002</v>
      </c>
      <c r="AM318">
        <f>MIN(MAX(0,$B$10-AL318)*AI318,'Retirement Gap'!$B$29)</f>
        <v>10850.278366583516</v>
      </c>
      <c r="AN318">
        <f>IF($E$40="B - Withdrawals + Roth conversions",AJ318*MAX(0,MIN($B$47-AL318,MIN($B$59,IRMAA!$C$16)-(AL318+$B$8*0.85+AK318*$B$46))),0)</f>
        <v>0</v>
      </c>
      <c r="AO318" cm="1">
        <f t="array" ref="AO318">_xlfn.LET(_xlpm.N,$B$49,_xlpm.R,$B$48,_xlpm.Start,$B$47,_xlpm.PlanWD,AL318,_xlpm.PlanRoth,AM318,_xlpm.PlanConv,AN318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22999.119999999999</v>
      </c>
      <c r="AP318" cm="1">
        <f t="array" ref="AP318">_xlfn.LET(_xlpm.N,$B$49,_xlpm.R,$B$48,_xlpm.Start,$B$47,_xlpm.PlanWD,AL318,_xlpm.PlanRoth,AM318,_xlpm.PlanConv,AN318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318" cm="1">
        <f t="array" ref="AQ318">_xlfn.LET(_xlpm.N,$B$49,_xlpm.R,$B$48,_xlpm.Start,$B$47,_xlpm.PlanWD,AL318,_xlpm.PlanRoth,AM318,_xlpm.PlanConv,AN318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985122.61163367354</v>
      </c>
      <c r="AR318" cm="1">
        <f t="array" ref="AR318">_xlfn.LET(_xlpm.N,$B$49,_xlpm.R,$B$48,_xlpm.Start,$B$47,_xlpm.PlanWD,AL318,_xlpm.PlanRoth,AM318,_xlpm.PlanConv,AN318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1114795.1975772022</v>
      </c>
      <c r="AS318">
        <f>--AND(AK318&lt;=SUM('Retirement Gap'!$B$24:$B$25,'Retirement Gap'!$B$27),AL318+AN318&lt;=$B$47,AM318&lt;='Retirement Gap'!$B$29,ABS(AK318+AL318+AM318-$B$10)&lt;1)</f>
        <v>1</v>
      </c>
      <c r="AT318" cm="1">
        <f t="array" ref="AT318">IF(AS318=0,1E+99,_xlfn.SWITCH(LEFT($E$39,1),"1",AO318,"2",AP318*1000000000+AO318,"3",-AQ318,"4",AO318+AP318*25000+AR318*0.005-AQ318*0.0001,AO318))</f>
        <v>-985122.61163367354</v>
      </c>
    </row>
    <row r="319" spans="33:46" x14ac:dyDescent="0.55000000000000004">
      <c r="AG319">
        <f t="shared" si="36"/>
        <v>318</v>
      </c>
      <c r="AH319">
        <f t="shared" si="37"/>
        <v>0.4</v>
      </c>
      <c r="AI319">
        <f t="shared" si="38"/>
        <v>0.8</v>
      </c>
      <c r="AJ319">
        <f t="shared" si="39"/>
        <v>1</v>
      </c>
      <c r="AK319">
        <f t="shared" si="40"/>
        <v>25596.121633416478</v>
      </c>
      <c r="AL319">
        <f t="shared" si="41"/>
        <v>24297.600000000002</v>
      </c>
      <c r="AM319">
        <f>MIN(MAX(0,$B$10-AL319)*AI319,'Retirement Gap'!$B$29)</f>
        <v>10850.278366583516</v>
      </c>
      <c r="AN319">
        <f>IF($E$40="B - Withdrawals + Roth conversions",AJ319*MAX(0,MIN($B$47-AL319,MIN($B$59,IRMAA!$C$16)-(AL319+$B$8*0.85+AK319*$B$46))),0)</f>
        <v>0</v>
      </c>
      <c r="AO319" cm="1">
        <f t="array" ref="AO319">_xlfn.LET(_xlpm.N,$B$49,_xlpm.R,$B$48,_xlpm.Start,$B$47,_xlpm.PlanWD,AL319,_xlpm.PlanRoth,AM319,_xlpm.PlanConv,AN319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22999.119999999999</v>
      </c>
      <c r="AP319" cm="1">
        <f t="array" ref="AP319">_xlfn.LET(_xlpm.N,$B$49,_xlpm.R,$B$48,_xlpm.Start,$B$47,_xlpm.PlanWD,AL319,_xlpm.PlanRoth,AM319,_xlpm.PlanConv,AN319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319" cm="1">
        <f t="array" ref="AQ319">_xlfn.LET(_xlpm.N,$B$49,_xlpm.R,$B$48,_xlpm.Start,$B$47,_xlpm.PlanWD,AL319,_xlpm.PlanRoth,AM319,_xlpm.PlanConv,AN319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985122.61163367354</v>
      </c>
      <c r="AR319" cm="1">
        <f t="array" ref="AR319">_xlfn.LET(_xlpm.N,$B$49,_xlpm.R,$B$48,_xlpm.Start,$B$47,_xlpm.PlanWD,AL319,_xlpm.PlanRoth,AM319,_xlpm.PlanConv,AN319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1114795.1975772022</v>
      </c>
      <c r="AS319">
        <f>--AND(AK319&lt;=SUM('Retirement Gap'!$B$24:$B$25,'Retirement Gap'!$B$27),AL319+AN319&lt;=$B$47,AM319&lt;='Retirement Gap'!$B$29,ABS(AK319+AL319+AM319-$B$10)&lt;1)</f>
        <v>1</v>
      </c>
      <c r="AT319" cm="1">
        <f t="array" ref="AT319">IF(AS319=0,1E+99,_xlfn.SWITCH(LEFT($E$39,1),"1",AO319,"2",AP319*1000000000+AO319,"3",-AQ319,"4",AO319+AP319*25000+AR319*0.005-AQ319*0.0001,AO319))</f>
        <v>-985122.61163367354</v>
      </c>
    </row>
    <row r="320" spans="33:46" x14ac:dyDescent="0.55000000000000004">
      <c r="AG320">
        <f t="shared" si="36"/>
        <v>319</v>
      </c>
      <c r="AH320">
        <f t="shared" si="37"/>
        <v>0.4</v>
      </c>
      <c r="AI320">
        <f t="shared" si="38"/>
        <v>0.9</v>
      </c>
      <c r="AJ320">
        <f t="shared" si="39"/>
        <v>0</v>
      </c>
      <c r="AK320">
        <f t="shared" si="40"/>
        <v>25596.121633416478</v>
      </c>
      <c r="AL320">
        <f t="shared" si="41"/>
        <v>24297.600000000002</v>
      </c>
      <c r="AM320">
        <f>MIN(MAX(0,$B$10-AL320)*AI320,'Retirement Gap'!$B$29)</f>
        <v>10850.278366583516</v>
      </c>
      <c r="AN320">
        <f>IF($E$40="B - Withdrawals + Roth conversions",AJ320*MAX(0,MIN($B$47-AL320,MIN($B$59,IRMAA!$C$16)-(AL320+$B$8*0.85+AK320*$B$46))),0)</f>
        <v>0</v>
      </c>
      <c r="AO320" cm="1">
        <f t="array" ref="AO320">_xlfn.LET(_xlpm.N,$B$49,_xlpm.R,$B$48,_xlpm.Start,$B$47,_xlpm.PlanWD,AL320,_xlpm.PlanRoth,AM320,_xlpm.PlanConv,AN320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22999.119999999999</v>
      </c>
      <c r="AP320" cm="1">
        <f t="array" ref="AP320">_xlfn.LET(_xlpm.N,$B$49,_xlpm.R,$B$48,_xlpm.Start,$B$47,_xlpm.PlanWD,AL320,_xlpm.PlanRoth,AM320,_xlpm.PlanConv,AN320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320" cm="1">
        <f t="array" ref="AQ320">_xlfn.LET(_xlpm.N,$B$49,_xlpm.R,$B$48,_xlpm.Start,$B$47,_xlpm.PlanWD,AL320,_xlpm.PlanRoth,AM320,_xlpm.PlanConv,AN320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985122.61163367354</v>
      </c>
      <c r="AR320" cm="1">
        <f t="array" ref="AR320">_xlfn.LET(_xlpm.N,$B$49,_xlpm.R,$B$48,_xlpm.Start,$B$47,_xlpm.PlanWD,AL320,_xlpm.PlanRoth,AM320,_xlpm.PlanConv,AN320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1114795.1975772022</v>
      </c>
      <c r="AS320">
        <f>--AND(AK320&lt;=SUM('Retirement Gap'!$B$24:$B$25,'Retirement Gap'!$B$27),AL320+AN320&lt;=$B$47,AM320&lt;='Retirement Gap'!$B$29,ABS(AK320+AL320+AM320-$B$10)&lt;1)</f>
        <v>1</v>
      </c>
      <c r="AT320" cm="1">
        <f t="array" ref="AT320">IF(AS320=0,1E+99,_xlfn.SWITCH(LEFT($E$39,1),"1",AO320,"2",AP320*1000000000+AO320,"3",-AQ320,"4",AO320+AP320*25000+AR320*0.005-AQ320*0.0001,AO320))</f>
        <v>-985122.61163367354</v>
      </c>
    </row>
    <row r="321" spans="33:46" x14ac:dyDescent="0.55000000000000004">
      <c r="AG321">
        <f t="shared" si="36"/>
        <v>320</v>
      </c>
      <c r="AH321">
        <f t="shared" si="37"/>
        <v>0.4</v>
      </c>
      <c r="AI321">
        <f t="shared" si="38"/>
        <v>0.9</v>
      </c>
      <c r="AJ321">
        <f t="shared" si="39"/>
        <v>0.2</v>
      </c>
      <c r="AK321">
        <f t="shared" si="40"/>
        <v>25596.121633416478</v>
      </c>
      <c r="AL321">
        <f t="shared" si="41"/>
        <v>24297.600000000002</v>
      </c>
      <c r="AM321">
        <f>MIN(MAX(0,$B$10-AL321)*AI321,'Retirement Gap'!$B$29)</f>
        <v>10850.278366583516</v>
      </c>
      <c r="AN321">
        <f>IF($E$40="B - Withdrawals + Roth conversions",AJ321*MAX(0,MIN($B$47-AL321,MIN($B$59,IRMAA!$C$16)-(AL321+$B$8*0.85+AK321*$B$46))),0)</f>
        <v>0</v>
      </c>
      <c r="AO321" cm="1">
        <f t="array" ref="AO321">_xlfn.LET(_xlpm.N,$B$49,_xlpm.R,$B$48,_xlpm.Start,$B$47,_xlpm.PlanWD,AL321,_xlpm.PlanRoth,AM321,_xlpm.PlanConv,AN321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22999.119999999999</v>
      </c>
      <c r="AP321" cm="1">
        <f t="array" ref="AP321">_xlfn.LET(_xlpm.N,$B$49,_xlpm.R,$B$48,_xlpm.Start,$B$47,_xlpm.PlanWD,AL321,_xlpm.PlanRoth,AM321,_xlpm.PlanConv,AN321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321" cm="1">
        <f t="array" ref="AQ321">_xlfn.LET(_xlpm.N,$B$49,_xlpm.R,$B$48,_xlpm.Start,$B$47,_xlpm.PlanWD,AL321,_xlpm.PlanRoth,AM321,_xlpm.PlanConv,AN321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985122.61163367354</v>
      </c>
      <c r="AR321" cm="1">
        <f t="array" ref="AR321">_xlfn.LET(_xlpm.N,$B$49,_xlpm.R,$B$48,_xlpm.Start,$B$47,_xlpm.PlanWD,AL321,_xlpm.PlanRoth,AM321,_xlpm.PlanConv,AN321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1114795.1975772022</v>
      </c>
      <c r="AS321">
        <f>--AND(AK321&lt;=SUM('Retirement Gap'!$B$24:$B$25,'Retirement Gap'!$B$27),AL321+AN321&lt;=$B$47,AM321&lt;='Retirement Gap'!$B$29,ABS(AK321+AL321+AM321-$B$10)&lt;1)</f>
        <v>1</v>
      </c>
      <c r="AT321" cm="1">
        <f t="array" ref="AT321">IF(AS321=0,1E+99,_xlfn.SWITCH(LEFT($E$39,1),"1",AO321,"2",AP321*1000000000+AO321,"3",-AQ321,"4",AO321+AP321*25000+AR321*0.005-AQ321*0.0001,AO321))</f>
        <v>-985122.61163367354</v>
      </c>
    </row>
    <row r="322" spans="33:46" x14ac:dyDescent="0.55000000000000004">
      <c r="AG322">
        <f t="shared" si="36"/>
        <v>321</v>
      </c>
      <c r="AH322">
        <f t="shared" si="37"/>
        <v>0.4</v>
      </c>
      <c r="AI322">
        <f t="shared" si="38"/>
        <v>0.9</v>
      </c>
      <c r="AJ322">
        <f t="shared" si="39"/>
        <v>0.4</v>
      </c>
      <c r="AK322">
        <f t="shared" si="40"/>
        <v>25596.121633416478</v>
      </c>
      <c r="AL322">
        <f t="shared" si="41"/>
        <v>24297.600000000002</v>
      </c>
      <c r="AM322">
        <f>MIN(MAX(0,$B$10-AL322)*AI322,'Retirement Gap'!$B$29)</f>
        <v>10850.278366583516</v>
      </c>
      <c r="AN322">
        <f>IF($E$40="B - Withdrawals + Roth conversions",AJ322*MAX(0,MIN($B$47-AL322,MIN($B$59,IRMAA!$C$16)-(AL322+$B$8*0.85+AK322*$B$46))),0)</f>
        <v>0</v>
      </c>
      <c r="AO322" cm="1">
        <f t="array" ref="AO322">_xlfn.LET(_xlpm.N,$B$49,_xlpm.R,$B$48,_xlpm.Start,$B$47,_xlpm.PlanWD,AL322,_xlpm.PlanRoth,AM322,_xlpm.PlanConv,AN322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22999.119999999999</v>
      </c>
      <c r="AP322" cm="1">
        <f t="array" ref="AP322">_xlfn.LET(_xlpm.N,$B$49,_xlpm.R,$B$48,_xlpm.Start,$B$47,_xlpm.PlanWD,AL322,_xlpm.PlanRoth,AM322,_xlpm.PlanConv,AN322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322" cm="1">
        <f t="array" ref="AQ322">_xlfn.LET(_xlpm.N,$B$49,_xlpm.R,$B$48,_xlpm.Start,$B$47,_xlpm.PlanWD,AL322,_xlpm.PlanRoth,AM322,_xlpm.PlanConv,AN322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985122.61163367354</v>
      </c>
      <c r="AR322" cm="1">
        <f t="array" ref="AR322">_xlfn.LET(_xlpm.N,$B$49,_xlpm.R,$B$48,_xlpm.Start,$B$47,_xlpm.PlanWD,AL322,_xlpm.PlanRoth,AM322,_xlpm.PlanConv,AN322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1114795.1975772022</v>
      </c>
      <c r="AS322">
        <f>--AND(AK322&lt;=SUM('Retirement Gap'!$B$24:$B$25,'Retirement Gap'!$B$27),AL322+AN322&lt;=$B$47,AM322&lt;='Retirement Gap'!$B$29,ABS(AK322+AL322+AM322-$B$10)&lt;1)</f>
        <v>1</v>
      </c>
      <c r="AT322" cm="1">
        <f t="array" ref="AT322">IF(AS322=0,1E+99,_xlfn.SWITCH(LEFT($E$39,1),"1",AO322,"2",AP322*1000000000+AO322,"3",-AQ322,"4",AO322+AP322*25000+AR322*0.005-AQ322*0.0001,AO322))</f>
        <v>-985122.61163367354</v>
      </c>
    </row>
    <row r="323" spans="33:46" x14ac:dyDescent="0.55000000000000004">
      <c r="AG323">
        <f t="shared" ref="AG323:AG386" si="42">ROW()-1</f>
        <v>322</v>
      </c>
      <c r="AH323">
        <f t="shared" ref="AH323:AH386" si="43">INT((AG323-1)/66)/10</f>
        <v>0.4</v>
      </c>
      <c r="AI323">
        <f t="shared" ref="AI323:AI386" si="44">MOD(INT((AG323-1)/6),11)/10</f>
        <v>0.9</v>
      </c>
      <c r="AJ323">
        <f t="shared" ref="AJ323:AJ386" si="45">MOD(AG323-1,6)/5</f>
        <v>0.6</v>
      </c>
      <c r="AK323">
        <f t="shared" ref="AK323:AK386" si="46">MAX(0,$B$10-AL323-AM323)</f>
        <v>25596.121633416478</v>
      </c>
      <c r="AL323">
        <f t="shared" ref="AL323:AL386" si="47">MIN($B$10*AH323,$B$47)</f>
        <v>24297.600000000002</v>
      </c>
      <c r="AM323">
        <f>MIN(MAX(0,$B$10-AL323)*AI323,'Retirement Gap'!$B$29)</f>
        <v>10850.278366583516</v>
      </c>
      <c r="AN323">
        <f>IF($E$40="B - Withdrawals + Roth conversions",AJ323*MAX(0,MIN($B$47-AL323,MIN($B$59,IRMAA!$C$16)-(AL323+$B$8*0.85+AK323*$B$46))),0)</f>
        <v>0</v>
      </c>
      <c r="AO323" cm="1">
        <f t="array" ref="AO323">_xlfn.LET(_xlpm.N,$B$49,_xlpm.R,$B$48,_xlpm.Start,$B$47,_xlpm.PlanWD,AL323,_xlpm.PlanRoth,AM323,_xlpm.PlanConv,AN323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22999.119999999999</v>
      </c>
      <c r="AP323" cm="1">
        <f t="array" ref="AP323">_xlfn.LET(_xlpm.N,$B$49,_xlpm.R,$B$48,_xlpm.Start,$B$47,_xlpm.PlanWD,AL323,_xlpm.PlanRoth,AM323,_xlpm.PlanConv,AN323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323" cm="1">
        <f t="array" ref="AQ323">_xlfn.LET(_xlpm.N,$B$49,_xlpm.R,$B$48,_xlpm.Start,$B$47,_xlpm.PlanWD,AL323,_xlpm.PlanRoth,AM323,_xlpm.PlanConv,AN323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985122.61163367354</v>
      </c>
      <c r="AR323" cm="1">
        <f t="array" ref="AR323">_xlfn.LET(_xlpm.N,$B$49,_xlpm.R,$B$48,_xlpm.Start,$B$47,_xlpm.PlanWD,AL323,_xlpm.PlanRoth,AM323,_xlpm.PlanConv,AN323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1114795.1975772022</v>
      </c>
      <c r="AS323">
        <f>--AND(AK323&lt;=SUM('Retirement Gap'!$B$24:$B$25,'Retirement Gap'!$B$27),AL323+AN323&lt;=$B$47,AM323&lt;='Retirement Gap'!$B$29,ABS(AK323+AL323+AM323-$B$10)&lt;1)</f>
        <v>1</v>
      </c>
      <c r="AT323" cm="1">
        <f t="array" ref="AT323">IF(AS323=0,1E+99,_xlfn.SWITCH(LEFT($E$39,1),"1",AO323,"2",AP323*1000000000+AO323,"3",-AQ323,"4",AO323+AP323*25000+AR323*0.005-AQ323*0.0001,AO323))</f>
        <v>-985122.61163367354</v>
      </c>
    </row>
    <row r="324" spans="33:46" x14ac:dyDescent="0.55000000000000004">
      <c r="AG324">
        <f t="shared" si="42"/>
        <v>323</v>
      </c>
      <c r="AH324">
        <f t="shared" si="43"/>
        <v>0.4</v>
      </c>
      <c r="AI324">
        <f t="shared" si="44"/>
        <v>0.9</v>
      </c>
      <c r="AJ324">
        <f t="shared" si="45"/>
        <v>0.8</v>
      </c>
      <c r="AK324">
        <f t="shared" si="46"/>
        <v>25596.121633416478</v>
      </c>
      <c r="AL324">
        <f t="shared" si="47"/>
        <v>24297.600000000002</v>
      </c>
      <c r="AM324">
        <f>MIN(MAX(0,$B$10-AL324)*AI324,'Retirement Gap'!$B$29)</f>
        <v>10850.278366583516</v>
      </c>
      <c r="AN324">
        <f>IF($E$40="B - Withdrawals + Roth conversions",AJ324*MAX(0,MIN($B$47-AL324,MIN($B$59,IRMAA!$C$16)-(AL324+$B$8*0.85+AK324*$B$46))),0)</f>
        <v>0</v>
      </c>
      <c r="AO324" cm="1">
        <f t="array" ref="AO324">_xlfn.LET(_xlpm.N,$B$49,_xlpm.R,$B$48,_xlpm.Start,$B$47,_xlpm.PlanWD,AL324,_xlpm.PlanRoth,AM324,_xlpm.PlanConv,AN324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22999.119999999999</v>
      </c>
      <c r="AP324" cm="1">
        <f t="array" ref="AP324">_xlfn.LET(_xlpm.N,$B$49,_xlpm.R,$B$48,_xlpm.Start,$B$47,_xlpm.PlanWD,AL324,_xlpm.PlanRoth,AM324,_xlpm.PlanConv,AN324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324" cm="1">
        <f t="array" ref="AQ324">_xlfn.LET(_xlpm.N,$B$49,_xlpm.R,$B$48,_xlpm.Start,$B$47,_xlpm.PlanWD,AL324,_xlpm.PlanRoth,AM324,_xlpm.PlanConv,AN324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985122.61163367354</v>
      </c>
      <c r="AR324" cm="1">
        <f t="array" ref="AR324">_xlfn.LET(_xlpm.N,$B$49,_xlpm.R,$B$48,_xlpm.Start,$B$47,_xlpm.PlanWD,AL324,_xlpm.PlanRoth,AM324,_xlpm.PlanConv,AN324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1114795.1975772022</v>
      </c>
      <c r="AS324">
        <f>--AND(AK324&lt;=SUM('Retirement Gap'!$B$24:$B$25,'Retirement Gap'!$B$27),AL324+AN324&lt;=$B$47,AM324&lt;='Retirement Gap'!$B$29,ABS(AK324+AL324+AM324-$B$10)&lt;1)</f>
        <v>1</v>
      </c>
      <c r="AT324" cm="1">
        <f t="array" ref="AT324">IF(AS324=0,1E+99,_xlfn.SWITCH(LEFT($E$39,1),"1",AO324,"2",AP324*1000000000+AO324,"3",-AQ324,"4",AO324+AP324*25000+AR324*0.005-AQ324*0.0001,AO324))</f>
        <v>-985122.61163367354</v>
      </c>
    </row>
    <row r="325" spans="33:46" x14ac:dyDescent="0.55000000000000004">
      <c r="AG325">
        <f t="shared" si="42"/>
        <v>324</v>
      </c>
      <c r="AH325">
        <f t="shared" si="43"/>
        <v>0.4</v>
      </c>
      <c r="AI325">
        <f t="shared" si="44"/>
        <v>0.9</v>
      </c>
      <c r="AJ325">
        <f t="shared" si="45"/>
        <v>1</v>
      </c>
      <c r="AK325">
        <f t="shared" si="46"/>
        <v>25596.121633416478</v>
      </c>
      <c r="AL325">
        <f t="shared" si="47"/>
        <v>24297.600000000002</v>
      </c>
      <c r="AM325">
        <f>MIN(MAX(0,$B$10-AL325)*AI325,'Retirement Gap'!$B$29)</f>
        <v>10850.278366583516</v>
      </c>
      <c r="AN325">
        <f>IF($E$40="B - Withdrawals + Roth conversions",AJ325*MAX(0,MIN($B$47-AL325,MIN($B$59,IRMAA!$C$16)-(AL325+$B$8*0.85+AK325*$B$46))),0)</f>
        <v>0</v>
      </c>
      <c r="AO325" cm="1">
        <f t="array" ref="AO325">_xlfn.LET(_xlpm.N,$B$49,_xlpm.R,$B$48,_xlpm.Start,$B$47,_xlpm.PlanWD,AL325,_xlpm.PlanRoth,AM325,_xlpm.PlanConv,AN325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22999.119999999999</v>
      </c>
      <c r="AP325" cm="1">
        <f t="array" ref="AP325">_xlfn.LET(_xlpm.N,$B$49,_xlpm.R,$B$48,_xlpm.Start,$B$47,_xlpm.PlanWD,AL325,_xlpm.PlanRoth,AM325,_xlpm.PlanConv,AN325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325" cm="1">
        <f t="array" ref="AQ325">_xlfn.LET(_xlpm.N,$B$49,_xlpm.R,$B$48,_xlpm.Start,$B$47,_xlpm.PlanWD,AL325,_xlpm.PlanRoth,AM325,_xlpm.PlanConv,AN325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985122.61163367354</v>
      </c>
      <c r="AR325" cm="1">
        <f t="array" ref="AR325">_xlfn.LET(_xlpm.N,$B$49,_xlpm.R,$B$48,_xlpm.Start,$B$47,_xlpm.PlanWD,AL325,_xlpm.PlanRoth,AM325,_xlpm.PlanConv,AN325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1114795.1975772022</v>
      </c>
      <c r="AS325">
        <f>--AND(AK325&lt;=SUM('Retirement Gap'!$B$24:$B$25,'Retirement Gap'!$B$27),AL325+AN325&lt;=$B$47,AM325&lt;='Retirement Gap'!$B$29,ABS(AK325+AL325+AM325-$B$10)&lt;1)</f>
        <v>1</v>
      </c>
      <c r="AT325" cm="1">
        <f t="array" ref="AT325">IF(AS325=0,1E+99,_xlfn.SWITCH(LEFT($E$39,1),"1",AO325,"2",AP325*1000000000+AO325,"3",-AQ325,"4",AO325+AP325*25000+AR325*0.005-AQ325*0.0001,AO325))</f>
        <v>-985122.61163367354</v>
      </c>
    </row>
    <row r="326" spans="33:46" x14ac:dyDescent="0.55000000000000004">
      <c r="AG326">
        <f t="shared" si="42"/>
        <v>325</v>
      </c>
      <c r="AH326">
        <f t="shared" si="43"/>
        <v>0.4</v>
      </c>
      <c r="AI326">
        <f t="shared" si="44"/>
        <v>1</v>
      </c>
      <c r="AJ326">
        <f t="shared" si="45"/>
        <v>0</v>
      </c>
      <c r="AK326">
        <f t="shared" si="46"/>
        <v>25596.121633416478</v>
      </c>
      <c r="AL326">
        <f t="shared" si="47"/>
        <v>24297.600000000002</v>
      </c>
      <c r="AM326">
        <f>MIN(MAX(0,$B$10-AL326)*AI326,'Retirement Gap'!$B$29)</f>
        <v>10850.278366583516</v>
      </c>
      <c r="AN326">
        <f>IF($E$40="B - Withdrawals + Roth conversions",AJ326*MAX(0,MIN($B$47-AL326,MIN($B$59,IRMAA!$C$16)-(AL326+$B$8*0.85+AK326*$B$46))),0)</f>
        <v>0</v>
      </c>
      <c r="AO326" cm="1">
        <f t="array" ref="AO326">_xlfn.LET(_xlpm.N,$B$49,_xlpm.R,$B$48,_xlpm.Start,$B$47,_xlpm.PlanWD,AL326,_xlpm.PlanRoth,AM326,_xlpm.PlanConv,AN326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22999.119999999999</v>
      </c>
      <c r="AP326" cm="1">
        <f t="array" ref="AP326">_xlfn.LET(_xlpm.N,$B$49,_xlpm.R,$B$48,_xlpm.Start,$B$47,_xlpm.PlanWD,AL326,_xlpm.PlanRoth,AM326,_xlpm.PlanConv,AN326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326" cm="1">
        <f t="array" ref="AQ326">_xlfn.LET(_xlpm.N,$B$49,_xlpm.R,$B$48,_xlpm.Start,$B$47,_xlpm.PlanWD,AL326,_xlpm.PlanRoth,AM326,_xlpm.PlanConv,AN326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985122.61163367354</v>
      </c>
      <c r="AR326" cm="1">
        <f t="array" ref="AR326">_xlfn.LET(_xlpm.N,$B$49,_xlpm.R,$B$48,_xlpm.Start,$B$47,_xlpm.PlanWD,AL326,_xlpm.PlanRoth,AM326,_xlpm.PlanConv,AN326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1114795.1975772022</v>
      </c>
      <c r="AS326">
        <f>--AND(AK326&lt;=SUM('Retirement Gap'!$B$24:$B$25,'Retirement Gap'!$B$27),AL326+AN326&lt;=$B$47,AM326&lt;='Retirement Gap'!$B$29,ABS(AK326+AL326+AM326-$B$10)&lt;1)</f>
        <v>1</v>
      </c>
      <c r="AT326" cm="1">
        <f t="array" ref="AT326">IF(AS326=0,1E+99,_xlfn.SWITCH(LEFT($E$39,1),"1",AO326,"2",AP326*1000000000+AO326,"3",-AQ326,"4",AO326+AP326*25000+AR326*0.005-AQ326*0.0001,AO326))</f>
        <v>-985122.61163367354</v>
      </c>
    </row>
    <row r="327" spans="33:46" x14ac:dyDescent="0.55000000000000004">
      <c r="AG327">
        <f t="shared" si="42"/>
        <v>326</v>
      </c>
      <c r="AH327">
        <f t="shared" si="43"/>
        <v>0.4</v>
      </c>
      <c r="AI327">
        <f t="shared" si="44"/>
        <v>1</v>
      </c>
      <c r="AJ327">
        <f t="shared" si="45"/>
        <v>0.2</v>
      </c>
      <c r="AK327">
        <f t="shared" si="46"/>
        <v>25596.121633416478</v>
      </c>
      <c r="AL327">
        <f t="shared" si="47"/>
        <v>24297.600000000002</v>
      </c>
      <c r="AM327">
        <f>MIN(MAX(0,$B$10-AL327)*AI327,'Retirement Gap'!$B$29)</f>
        <v>10850.278366583516</v>
      </c>
      <c r="AN327">
        <f>IF($E$40="B - Withdrawals + Roth conversions",AJ327*MAX(0,MIN($B$47-AL327,MIN($B$59,IRMAA!$C$16)-(AL327+$B$8*0.85+AK327*$B$46))),0)</f>
        <v>0</v>
      </c>
      <c r="AO327" cm="1">
        <f t="array" ref="AO327">_xlfn.LET(_xlpm.N,$B$49,_xlpm.R,$B$48,_xlpm.Start,$B$47,_xlpm.PlanWD,AL327,_xlpm.PlanRoth,AM327,_xlpm.PlanConv,AN327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22999.119999999999</v>
      </c>
      <c r="AP327" cm="1">
        <f t="array" ref="AP327">_xlfn.LET(_xlpm.N,$B$49,_xlpm.R,$B$48,_xlpm.Start,$B$47,_xlpm.PlanWD,AL327,_xlpm.PlanRoth,AM327,_xlpm.PlanConv,AN327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327" cm="1">
        <f t="array" ref="AQ327">_xlfn.LET(_xlpm.N,$B$49,_xlpm.R,$B$48,_xlpm.Start,$B$47,_xlpm.PlanWD,AL327,_xlpm.PlanRoth,AM327,_xlpm.PlanConv,AN327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985122.61163367354</v>
      </c>
      <c r="AR327" cm="1">
        <f t="array" ref="AR327">_xlfn.LET(_xlpm.N,$B$49,_xlpm.R,$B$48,_xlpm.Start,$B$47,_xlpm.PlanWD,AL327,_xlpm.PlanRoth,AM327,_xlpm.PlanConv,AN327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1114795.1975772022</v>
      </c>
      <c r="AS327">
        <f>--AND(AK327&lt;=SUM('Retirement Gap'!$B$24:$B$25,'Retirement Gap'!$B$27),AL327+AN327&lt;=$B$47,AM327&lt;='Retirement Gap'!$B$29,ABS(AK327+AL327+AM327-$B$10)&lt;1)</f>
        <v>1</v>
      </c>
      <c r="AT327" cm="1">
        <f t="array" ref="AT327">IF(AS327=0,1E+99,_xlfn.SWITCH(LEFT($E$39,1),"1",AO327,"2",AP327*1000000000+AO327,"3",-AQ327,"4",AO327+AP327*25000+AR327*0.005-AQ327*0.0001,AO327))</f>
        <v>-985122.61163367354</v>
      </c>
    </row>
    <row r="328" spans="33:46" x14ac:dyDescent="0.55000000000000004">
      <c r="AG328">
        <f t="shared" si="42"/>
        <v>327</v>
      </c>
      <c r="AH328">
        <f t="shared" si="43"/>
        <v>0.4</v>
      </c>
      <c r="AI328">
        <f t="shared" si="44"/>
        <v>1</v>
      </c>
      <c r="AJ328">
        <f t="shared" si="45"/>
        <v>0.4</v>
      </c>
      <c r="AK328">
        <f t="shared" si="46"/>
        <v>25596.121633416478</v>
      </c>
      <c r="AL328">
        <f t="shared" si="47"/>
        <v>24297.600000000002</v>
      </c>
      <c r="AM328">
        <f>MIN(MAX(0,$B$10-AL328)*AI328,'Retirement Gap'!$B$29)</f>
        <v>10850.278366583516</v>
      </c>
      <c r="AN328">
        <f>IF($E$40="B - Withdrawals + Roth conversions",AJ328*MAX(0,MIN($B$47-AL328,MIN($B$59,IRMAA!$C$16)-(AL328+$B$8*0.85+AK328*$B$46))),0)</f>
        <v>0</v>
      </c>
      <c r="AO328" cm="1">
        <f t="array" ref="AO328">_xlfn.LET(_xlpm.N,$B$49,_xlpm.R,$B$48,_xlpm.Start,$B$47,_xlpm.PlanWD,AL328,_xlpm.PlanRoth,AM328,_xlpm.PlanConv,AN328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22999.119999999999</v>
      </c>
      <c r="AP328" cm="1">
        <f t="array" ref="AP328">_xlfn.LET(_xlpm.N,$B$49,_xlpm.R,$B$48,_xlpm.Start,$B$47,_xlpm.PlanWD,AL328,_xlpm.PlanRoth,AM328,_xlpm.PlanConv,AN328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328" cm="1">
        <f t="array" ref="AQ328">_xlfn.LET(_xlpm.N,$B$49,_xlpm.R,$B$48,_xlpm.Start,$B$47,_xlpm.PlanWD,AL328,_xlpm.PlanRoth,AM328,_xlpm.PlanConv,AN328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985122.61163367354</v>
      </c>
      <c r="AR328" cm="1">
        <f t="array" ref="AR328">_xlfn.LET(_xlpm.N,$B$49,_xlpm.R,$B$48,_xlpm.Start,$B$47,_xlpm.PlanWD,AL328,_xlpm.PlanRoth,AM328,_xlpm.PlanConv,AN328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1114795.1975772022</v>
      </c>
      <c r="AS328">
        <f>--AND(AK328&lt;=SUM('Retirement Gap'!$B$24:$B$25,'Retirement Gap'!$B$27),AL328+AN328&lt;=$B$47,AM328&lt;='Retirement Gap'!$B$29,ABS(AK328+AL328+AM328-$B$10)&lt;1)</f>
        <v>1</v>
      </c>
      <c r="AT328" cm="1">
        <f t="array" ref="AT328">IF(AS328=0,1E+99,_xlfn.SWITCH(LEFT($E$39,1),"1",AO328,"2",AP328*1000000000+AO328,"3",-AQ328,"4",AO328+AP328*25000+AR328*0.005-AQ328*0.0001,AO328))</f>
        <v>-985122.61163367354</v>
      </c>
    </row>
    <row r="329" spans="33:46" x14ac:dyDescent="0.55000000000000004">
      <c r="AG329">
        <f t="shared" si="42"/>
        <v>328</v>
      </c>
      <c r="AH329">
        <f t="shared" si="43"/>
        <v>0.4</v>
      </c>
      <c r="AI329">
        <f t="shared" si="44"/>
        <v>1</v>
      </c>
      <c r="AJ329">
        <f t="shared" si="45"/>
        <v>0.6</v>
      </c>
      <c r="AK329">
        <f t="shared" si="46"/>
        <v>25596.121633416478</v>
      </c>
      <c r="AL329">
        <f t="shared" si="47"/>
        <v>24297.600000000002</v>
      </c>
      <c r="AM329">
        <f>MIN(MAX(0,$B$10-AL329)*AI329,'Retirement Gap'!$B$29)</f>
        <v>10850.278366583516</v>
      </c>
      <c r="AN329">
        <f>IF($E$40="B - Withdrawals + Roth conversions",AJ329*MAX(0,MIN($B$47-AL329,MIN($B$59,IRMAA!$C$16)-(AL329+$B$8*0.85+AK329*$B$46))),0)</f>
        <v>0</v>
      </c>
      <c r="AO329" cm="1">
        <f t="array" ref="AO329">_xlfn.LET(_xlpm.N,$B$49,_xlpm.R,$B$48,_xlpm.Start,$B$47,_xlpm.PlanWD,AL329,_xlpm.PlanRoth,AM329,_xlpm.PlanConv,AN329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22999.119999999999</v>
      </c>
      <c r="AP329" cm="1">
        <f t="array" ref="AP329">_xlfn.LET(_xlpm.N,$B$49,_xlpm.R,$B$48,_xlpm.Start,$B$47,_xlpm.PlanWD,AL329,_xlpm.PlanRoth,AM329,_xlpm.PlanConv,AN329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329" cm="1">
        <f t="array" ref="AQ329">_xlfn.LET(_xlpm.N,$B$49,_xlpm.R,$B$48,_xlpm.Start,$B$47,_xlpm.PlanWD,AL329,_xlpm.PlanRoth,AM329,_xlpm.PlanConv,AN329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985122.61163367354</v>
      </c>
      <c r="AR329" cm="1">
        <f t="array" ref="AR329">_xlfn.LET(_xlpm.N,$B$49,_xlpm.R,$B$48,_xlpm.Start,$B$47,_xlpm.PlanWD,AL329,_xlpm.PlanRoth,AM329,_xlpm.PlanConv,AN329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1114795.1975772022</v>
      </c>
      <c r="AS329">
        <f>--AND(AK329&lt;=SUM('Retirement Gap'!$B$24:$B$25,'Retirement Gap'!$B$27),AL329+AN329&lt;=$B$47,AM329&lt;='Retirement Gap'!$B$29,ABS(AK329+AL329+AM329-$B$10)&lt;1)</f>
        <v>1</v>
      </c>
      <c r="AT329" cm="1">
        <f t="array" ref="AT329">IF(AS329=0,1E+99,_xlfn.SWITCH(LEFT($E$39,1),"1",AO329,"2",AP329*1000000000+AO329,"3",-AQ329,"4",AO329+AP329*25000+AR329*0.005-AQ329*0.0001,AO329))</f>
        <v>-985122.61163367354</v>
      </c>
    </row>
    <row r="330" spans="33:46" x14ac:dyDescent="0.55000000000000004">
      <c r="AG330">
        <f t="shared" si="42"/>
        <v>329</v>
      </c>
      <c r="AH330">
        <f t="shared" si="43"/>
        <v>0.4</v>
      </c>
      <c r="AI330">
        <f t="shared" si="44"/>
        <v>1</v>
      </c>
      <c r="AJ330">
        <f t="shared" si="45"/>
        <v>0.8</v>
      </c>
      <c r="AK330">
        <f t="shared" si="46"/>
        <v>25596.121633416478</v>
      </c>
      <c r="AL330">
        <f t="shared" si="47"/>
        <v>24297.600000000002</v>
      </c>
      <c r="AM330">
        <f>MIN(MAX(0,$B$10-AL330)*AI330,'Retirement Gap'!$B$29)</f>
        <v>10850.278366583516</v>
      </c>
      <c r="AN330">
        <f>IF($E$40="B - Withdrawals + Roth conversions",AJ330*MAX(0,MIN($B$47-AL330,MIN($B$59,IRMAA!$C$16)-(AL330+$B$8*0.85+AK330*$B$46))),0)</f>
        <v>0</v>
      </c>
      <c r="AO330" cm="1">
        <f t="array" ref="AO330">_xlfn.LET(_xlpm.N,$B$49,_xlpm.R,$B$48,_xlpm.Start,$B$47,_xlpm.PlanWD,AL330,_xlpm.PlanRoth,AM330,_xlpm.PlanConv,AN330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22999.119999999999</v>
      </c>
      <c r="AP330" cm="1">
        <f t="array" ref="AP330">_xlfn.LET(_xlpm.N,$B$49,_xlpm.R,$B$48,_xlpm.Start,$B$47,_xlpm.PlanWD,AL330,_xlpm.PlanRoth,AM330,_xlpm.PlanConv,AN330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330" cm="1">
        <f t="array" ref="AQ330">_xlfn.LET(_xlpm.N,$B$49,_xlpm.R,$B$48,_xlpm.Start,$B$47,_xlpm.PlanWD,AL330,_xlpm.PlanRoth,AM330,_xlpm.PlanConv,AN330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985122.61163367354</v>
      </c>
      <c r="AR330" cm="1">
        <f t="array" ref="AR330">_xlfn.LET(_xlpm.N,$B$49,_xlpm.R,$B$48,_xlpm.Start,$B$47,_xlpm.PlanWD,AL330,_xlpm.PlanRoth,AM330,_xlpm.PlanConv,AN330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1114795.1975772022</v>
      </c>
      <c r="AS330">
        <f>--AND(AK330&lt;=SUM('Retirement Gap'!$B$24:$B$25,'Retirement Gap'!$B$27),AL330+AN330&lt;=$B$47,AM330&lt;='Retirement Gap'!$B$29,ABS(AK330+AL330+AM330-$B$10)&lt;1)</f>
        <v>1</v>
      </c>
      <c r="AT330" cm="1">
        <f t="array" ref="AT330">IF(AS330=0,1E+99,_xlfn.SWITCH(LEFT($E$39,1),"1",AO330,"2",AP330*1000000000+AO330,"3",-AQ330,"4",AO330+AP330*25000+AR330*0.005-AQ330*0.0001,AO330))</f>
        <v>-985122.61163367354</v>
      </c>
    </row>
    <row r="331" spans="33:46" x14ac:dyDescent="0.55000000000000004">
      <c r="AG331">
        <f t="shared" si="42"/>
        <v>330</v>
      </c>
      <c r="AH331">
        <f t="shared" si="43"/>
        <v>0.4</v>
      </c>
      <c r="AI331">
        <f t="shared" si="44"/>
        <v>1</v>
      </c>
      <c r="AJ331">
        <f t="shared" si="45"/>
        <v>1</v>
      </c>
      <c r="AK331">
        <f t="shared" si="46"/>
        <v>25596.121633416478</v>
      </c>
      <c r="AL331">
        <f t="shared" si="47"/>
        <v>24297.600000000002</v>
      </c>
      <c r="AM331">
        <f>MIN(MAX(0,$B$10-AL331)*AI331,'Retirement Gap'!$B$29)</f>
        <v>10850.278366583516</v>
      </c>
      <c r="AN331">
        <f>IF($E$40="B - Withdrawals + Roth conversions",AJ331*MAX(0,MIN($B$47-AL331,MIN($B$59,IRMAA!$C$16)-(AL331+$B$8*0.85+AK331*$B$46))),0)</f>
        <v>0</v>
      </c>
      <c r="AO331" cm="1">
        <f t="array" ref="AO331">_xlfn.LET(_xlpm.N,$B$49,_xlpm.R,$B$48,_xlpm.Start,$B$47,_xlpm.PlanWD,AL331,_xlpm.PlanRoth,AM331,_xlpm.PlanConv,AN331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22999.119999999999</v>
      </c>
      <c r="AP331" cm="1">
        <f t="array" ref="AP331">_xlfn.LET(_xlpm.N,$B$49,_xlpm.R,$B$48,_xlpm.Start,$B$47,_xlpm.PlanWD,AL331,_xlpm.PlanRoth,AM331,_xlpm.PlanConv,AN331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331" cm="1">
        <f t="array" ref="AQ331">_xlfn.LET(_xlpm.N,$B$49,_xlpm.R,$B$48,_xlpm.Start,$B$47,_xlpm.PlanWD,AL331,_xlpm.PlanRoth,AM331,_xlpm.PlanConv,AN331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985122.61163367354</v>
      </c>
      <c r="AR331" cm="1">
        <f t="array" ref="AR331">_xlfn.LET(_xlpm.N,$B$49,_xlpm.R,$B$48,_xlpm.Start,$B$47,_xlpm.PlanWD,AL331,_xlpm.PlanRoth,AM331,_xlpm.PlanConv,AN331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1114795.1975772022</v>
      </c>
      <c r="AS331">
        <f>--AND(AK331&lt;=SUM('Retirement Gap'!$B$24:$B$25,'Retirement Gap'!$B$27),AL331+AN331&lt;=$B$47,AM331&lt;='Retirement Gap'!$B$29,ABS(AK331+AL331+AM331-$B$10)&lt;1)</f>
        <v>1</v>
      </c>
      <c r="AT331" cm="1">
        <f t="array" ref="AT331">IF(AS331=0,1E+99,_xlfn.SWITCH(LEFT($E$39,1),"1",AO331,"2",AP331*1000000000+AO331,"3",-AQ331,"4",AO331+AP331*25000+AR331*0.005-AQ331*0.0001,AO331))</f>
        <v>-985122.61163367354</v>
      </c>
    </row>
    <row r="332" spans="33:46" x14ac:dyDescent="0.55000000000000004">
      <c r="AG332">
        <f t="shared" si="42"/>
        <v>331</v>
      </c>
      <c r="AH332">
        <f t="shared" si="43"/>
        <v>0.5</v>
      </c>
      <c r="AI332">
        <f t="shared" si="44"/>
        <v>0</v>
      </c>
      <c r="AJ332">
        <f t="shared" si="45"/>
        <v>0</v>
      </c>
      <c r="AK332">
        <f t="shared" si="46"/>
        <v>30372</v>
      </c>
      <c r="AL332">
        <f t="shared" si="47"/>
        <v>30372</v>
      </c>
      <c r="AM332">
        <f>MIN(MAX(0,$B$10-AL332)*AI332,'Retirement Gap'!$B$29)</f>
        <v>0</v>
      </c>
      <c r="AN332">
        <f>IF($E$40="B - Withdrawals + Roth conversions",AJ332*MAX(0,MIN($B$47-AL332,MIN($B$59,IRMAA!$C$16)-(AL332+$B$8*0.85+AK332*$B$46))),0)</f>
        <v>0</v>
      </c>
      <c r="AO332" cm="1">
        <f t="array" ref="AO332">_xlfn.LET(_xlpm.N,$B$49,_xlpm.R,$B$48,_xlpm.Start,$B$47,_xlpm.PlanWD,AL332,_xlpm.PlanRoth,AM332,_xlpm.PlanConv,AN332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26643.760000000002</v>
      </c>
      <c r="AP332" cm="1">
        <f t="array" ref="AP332">_xlfn.LET(_xlpm.N,$B$49,_xlpm.R,$B$48,_xlpm.Start,$B$47,_xlpm.PlanWD,AL332,_xlpm.PlanRoth,AM332,_xlpm.PlanConv,AN332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332" cm="1">
        <f t="array" ref="AQ332">_xlfn.LET(_xlpm.N,$B$49,_xlpm.R,$B$48,_xlpm.Start,$B$47,_xlpm.PlanWD,AL332,_xlpm.PlanRoth,AM332,_xlpm.PlanConv,AN332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981013.57673652703</v>
      </c>
      <c r="AR332" cm="1">
        <f t="array" ref="AR332">_xlfn.LET(_xlpm.N,$B$49,_xlpm.R,$B$48,_xlpm.Start,$B$47,_xlpm.PlanWD,AL332,_xlpm.PlanRoth,AM332,_xlpm.PlanConv,AN332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1080553.2401009782</v>
      </c>
      <c r="AS332">
        <f>--AND(AK332&lt;=SUM('Retirement Gap'!$B$24:$B$25,'Retirement Gap'!$B$27),AL332+AN332&lt;=$B$47,AM332&lt;='Retirement Gap'!$B$29,ABS(AK332+AL332+AM332-$B$10)&lt;1)</f>
        <v>1</v>
      </c>
      <c r="AT332" cm="1">
        <f t="array" ref="AT332">IF(AS332=0,1E+99,_xlfn.SWITCH(LEFT($E$39,1),"1",AO332,"2",AP332*1000000000+AO332,"3",-AQ332,"4",AO332+AP332*25000+AR332*0.005-AQ332*0.0001,AO332))</f>
        <v>-981013.57673652703</v>
      </c>
    </row>
    <row r="333" spans="33:46" x14ac:dyDescent="0.55000000000000004">
      <c r="AG333">
        <f t="shared" si="42"/>
        <v>332</v>
      </c>
      <c r="AH333">
        <f t="shared" si="43"/>
        <v>0.5</v>
      </c>
      <c r="AI333">
        <f t="shared" si="44"/>
        <v>0</v>
      </c>
      <c r="AJ333">
        <f t="shared" si="45"/>
        <v>0.2</v>
      </c>
      <c r="AK333">
        <f t="shared" si="46"/>
        <v>30372</v>
      </c>
      <c r="AL333">
        <f t="shared" si="47"/>
        <v>30372</v>
      </c>
      <c r="AM333">
        <f>MIN(MAX(0,$B$10-AL333)*AI333,'Retirement Gap'!$B$29)</f>
        <v>0</v>
      </c>
      <c r="AN333">
        <f>IF($E$40="B - Withdrawals + Roth conversions",AJ333*MAX(0,MIN($B$47-AL333,MIN($B$59,IRMAA!$C$16)-(AL333+$B$8*0.85+AK333*$B$46))),0)</f>
        <v>0</v>
      </c>
      <c r="AO333" cm="1">
        <f t="array" ref="AO333">_xlfn.LET(_xlpm.N,$B$49,_xlpm.R,$B$48,_xlpm.Start,$B$47,_xlpm.PlanWD,AL333,_xlpm.PlanRoth,AM333,_xlpm.PlanConv,AN333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26643.760000000002</v>
      </c>
      <c r="AP333" cm="1">
        <f t="array" ref="AP333">_xlfn.LET(_xlpm.N,$B$49,_xlpm.R,$B$48,_xlpm.Start,$B$47,_xlpm.PlanWD,AL333,_xlpm.PlanRoth,AM333,_xlpm.PlanConv,AN333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333" cm="1">
        <f t="array" ref="AQ333">_xlfn.LET(_xlpm.N,$B$49,_xlpm.R,$B$48,_xlpm.Start,$B$47,_xlpm.PlanWD,AL333,_xlpm.PlanRoth,AM333,_xlpm.PlanConv,AN333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981013.57673652703</v>
      </c>
      <c r="AR333" cm="1">
        <f t="array" ref="AR333">_xlfn.LET(_xlpm.N,$B$49,_xlpm.R,$B$48,_xlpm.Start,$B$47,_xlpm.PlanWD,AL333,_xlpm.PlanRoth,AM333,_xlpm.PlanConv,AN333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1080553.2401009782</v>
      </c>
      <c r="AS333">
        <f>--AND(AK333&lt;=SUM('Retirement Gap'!$B$24:$B$25,'Retirement Gap'!$B$27),AL333+AN333&lt;=$B$47,AM333&lt;='Retirement Gap'!$B$29,ABS(AK333+AL333+AM333-$B$10)&lt;1)</f>
        <v>1</v>
      </c>
      <c r="AT333" cm="1">
        <f t="array" ref="AT333">IF(AS333=0,1E+99,_xlfn.SWITCH(LEFT($E$39,1),"1",AO333,"2",AP333*1000000000+AO333,"3",-AQ333,"4",AO333+AP333*25000+AR333*0.005-AQ333*0.0001,AO333))</f>
        <v>-981013.57673652703</v>
      </c>
    </row>
    <row r="334" spans="33:46" x14ac:dyDescent="0.55000000000000004">
      <c r="AG334">
        <f t="shared" si="42"/>
        <v>333</v>
      </c>
      <c r="AH334">
        <f t="shared" si="43"/>
        <v>0.5</v>
      </c>
      <c r="AI334">
        <f t="shared" si="44"/>
        <v>0</v>
      </c>
      <c r="AJ334">
        <f t="shared" si="45"/>
        <v>0.4</v>
      </c>
      <c r="AK334">
        <f t="shared" si="46"/>
        <v>30372</v>
      </c>
      <c r="AL334">
        <f t="shared" si="47"/>
        <v>30372</v>
      </c>
      <c r="AM334">
        <f>MIN(MAX(0,$B$10-AL334)*AI334,'Retirement Gap'!$B$29)</f>
        <v>0</v>
      </c>
      <c r="AN334">
        <f>IF($E$40="B - Withdrawals + Roth conversions",AJ334*MAX(0,MIN($B$47-AL334,MIN($B$59,IRMAA!$C$16)-(AL334+$B$8*0.85+AK334*$B$46))),0)</f>
        <v>0</v>
      </c>
      <c r="AO334" cm="1">
        <f t="array" ref="AO334">_xlfn.LET(_xlpm.N,$B$49,_xlpm.R,$B$48,_xlpm.Start,$B$47,_xlpm.PlanWD,AL334,_xlpm.PlanRoth,AM334,_xlpm.PlanConv,AN334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26643.760000000002</v>
      </c>
      <c r="AP334" cm="1">
        <f t="array" ref="AP334">_xlfn.LET(_xlpm.N,$B$49,_xlpm.R,$B$48,_xlpm.Start,$B$47,_xlpm.PlanWD,AL334,_xlpm.PlanRoth,AM334,_xlpm.PlanConv,AN334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334" cm="1">
        <f t="array" ref="AQ334">_xlfn.LET(_xlpm.N,$B$49,_xlpm.R,$B$48,_xlpm.Start,$B$47,_xlpm.PlanWD,AL334,_xlpm.PlanRoth,AM334,_xlpm.PlanConv,AN334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981013.57673652703</v>
      </c>
      <c r="AR334" cm="1">
        <f t="array" ref="AR334">_xlfn.LET(_xlpm.N,$B$49,_xlpm.R,$B$48,_xlpm.Start,$B$47,_xlpm.PlanWD,AL334,_xlpm.PlanRoth,AM334,_xlpm.PlanConv,AN334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1080553.2401009782</v>
      </c>
      <c r="AS334">
        <f>--AND(AK334&lt;=SUM('Retirement Gap'!$B$24:$B$25,'Retirement Gap'!$B$27),AL334+AN334&lt;=$B$47,AM334&lt;='Retirement Gap'!$B$29,ABS(AK334+AL334+AM334-$B$10)&lt;1)</f>
        <v>1</v>
      </c>
      <c r="AT334" cm="1">
        <f t="array" ref="AT334">IF(AS334=0,1E+99,_xlfn.SWITCH(LEFT($E$39,1),"1",AO334,"2",AP334*1000000000+AO334,"3",-AQ334,"4",AO334+AP334*25000+AR334*0.005-AQ334*0.0001,AO334))</f>
        <v>-981013.57673652703</v>
      </c>
    </row>
    <row r="335" spans="33:46" x14ac:dyDescent="0.55000000000000004">
      <c r="AG335">
        <f t="shared" si="42"/>
        <v>334</v>
      </c>
      <c r="AH335">
        <f t="shared" si="43"/>
        <v>0.5</v>
      </c>
      <c r="AI335">
        <f t="shared" si="44"/>
        <v>0</v>
      </c>
      <c r="AJ335">
        <f t="shared" si="45"/>
        <v>0.6</v>
      </c>
      <c r="AK335">
        <f t="shared" si="46"/>
        <v>30372</v>
      </c>
      <c r="AL335">
        <f t="shared" si="47"/>
        <v>30372</v>
      </c>
      <c r="AM335">
        <f>MIN(MAX(0,$B$10-AL335)*AI335,'Retirement Gap'!$B$29)</f>
        <v>0</v>
      </c>
      <c r="AN335">
        <f>IF($E$40="B - Withdrawals + Roth conversions",AJ335*MAX(0,MIN($B$47-AL335,MIN($B$59,IRMAA!$C$16)-(AL335+$B$8*0.85+AK335*$B$46))),0)</f>
        <v>0</v>
      </c>
      <c r="AO335" cm="1">
        <f t="array" ref="AO335">_xlfn.LET(_xlpm.N,$B$49,_xlpm.R,$B$48,_xlpm.Start,$B$47,_xlpm.PlanWD,AL335,_xlpm.PlanRoth,AM335,_xlpm.PlanConv,AN335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26643.760000000002</v>
      </c>
      <c r="AP335" cm="1">
        <f t="array" ref="AP335">_xlfn.LET(_xlpm.N,$B$49,_xlpm.R,$B$48,_xlpm.Start,$B$47,_xlpm.PlanWD,AL335,_xlpm.PlanRoth,AM335,_xlpm.PlanConv,AN335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335" cm="1">
        <f t="array" ref="AQ335">_xlfn.LET(_xlpm.N,$B$49,_xlpm.R,$B$48,_xlpm.Start,$B$47,_xlpm.PlanWD,AL335,_xlpm.PlanRoth,AM335,_xlpm.PlanConv,AN335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981013.57673652703</v>
      </c>
      <c r="AR335" cm="1">
        <f t="array" ref="AR335">_xlfn.LET(_xlpm.N,$B$49,_xlpm.R,$B$48,_xlpm.Start,$B$47,_xlpm.PlanWD,AL335,_xlpm.PlanRoth,AM335,_xlpm.PlanConv,AN335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1080553.2401009782</v>
      </c>
      <c r="AS335">
        <f>--AND(AK335&lt;=SUM('Retirement Gap'!$B$24:$B$25,'Retirement Gap'!$B$27),AL335+AN335&lt;=$B$47,AM335&lt;='Retirement Gap'!$B$29,ABS(AK335+AL335+AM335-$B$10)&lt;1)</f>
        <v>1</v>
      </c>
      <c r="AT335" cm="1">
        <f t="array" ref="AT335">IF(AS335=0,1E+99,_xlfn.SWITCH(LEFT($E$39,1),"1",AO335,"2",AP335*1000000000+AO335,"3",-AQ335,"4",AO335+AP335*25000+AR335*0.005-AQ335*0.0001,AO335))</f>
        <v>-981013.57673652703</v>
      </c>
    </row>
    <row r="336" spans="33:46" x14ac:dyDescent="0.55000000000000004">
      <c r="AG336">
        <f t="shared" si="42"/>
        <v>335</v>
      </c>
      <c r="AH336">
        <f t="shared" si="43"/>
        <v>0.5</v>
      </c>
      <c r="AI336">
        <f t="shared" si="44"/>
        <v>0</v>
      </c>
      <c r="AJ336">
        <f t="shared" si="45"/>
        <v>0.8</v>
      </c>
      <c r="AK336">
        <f t="shared" si="46"/>
        <v>30372</v>
      </c>
      <c r="AL336">
        <f t="shared" si="47"/>
        <v>30372</v>
      </c>
      <c r="AM336">
        <f>MIN(MAX(0,$B$10-AL336)*AI336,'Retirement Gap'!$B$29)</f>
        <v>0</v>
      </c>
      <c r="AN336">
        <f>IF($E$40="B - Withdrawals + Roth conversions",AJ336*MAX(0,MIN($B$47-AL336,MIN($B$59,IRMAA!$C$16)-(AL336+$B$8*0.85+AK336*$B$46))),0)</f>
        <v>0</v>
      </c>
      <c r="AO336" cm="1">
        <f t="array" ref="AO336">_xlfn.LET(_xlpm.N,$B$49,_xlpm.R,$B$48,_xlpm.Start,$B$47,_xlpm.PlanWD,AL336,_xlpm.PlanRoth,AM336,_xlpm.PlanConv,AN336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26643.760000000002</v>
      </c>
      <c r="AP336" cm="1">
        <f t="array" ref="AP336">_xlfn.LET(_xlpm.N,$B$49,_xlpm.R,$B$48,_xlpm.Start,$B$47,_xlpm.PlanWD,AL336,_xlpm.PlanRoth,AM336,_xlpm.PlanConv,AN336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336" cm="1">
        <f t="array" ref="AQ336">_xlfn.LET(_xlpm.N,$B$49,_xlpm.R,$B$48,_xlpm.Start,$B$47,_xlpm.PlanWD,AL336,_xlpm.PlanRoth,AM336,_xlpm.PlanConv,AN336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981013.57673652703</v>
      </c>
      <c r="AR336" cm="1">
        <f t="array" ref="AR336">_xlfn.LET(_xlpm.N,$B$49,_xlpm.R,$B$48,_xlpm.Start,$B$47,_xlpm.PlanWD,AL336,_xlpm.PlanRoth,AM336,_xlpm.PlanConv,AN336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1080553.2401009782</v>
      </c>
      <c r="AS336">
        <f>--AND(AK336&lt;=SUM('Retirement Gap'!$B$24:$B$25,'Retirement Gap'!$B$27),AL336+AN336&lt;=$B$47,AM336&lt;='Retirement Gap'!$B$29,ABS(AK336+AL336+AM336-$B$10)&lt;1)</f>
        <v>1</v>
      </c>
      <c r="AT336" cm="1">
        <f t="array" ref="AT336">IF(AS336=0,1E+99,_xlfn.SWITCH(LEFT($E$39,1),"1",AO336,"2",AP336*1000000000+AO336,"3",-AQ336,"4",AO336+AP336*25000+AR336*0.005-AQ336*0.0001,AO336))</f>
        <v>-981013.57673652703</v>
      </c>
    </row>
    <row r="337" spans="33:46" x14ac:dyDescent="0.55000000000000004">
      <c r="AG337">
        <f t="shared" si="42"/>
        <v>336</v>
      </c>
      <c r="AH337">
        <f t="shared" si="43"/>
        <v>0.5</v>
      </c>
      <c r="AI337">
        <f t="shared" si="44"/>
        <v>0</v>
      </c>
      <c r="AJ337">
        <f t="shared" si="45"/>
        <v>1</v>
      </c>
      <c r="AK337">
        <f t="shared" si="46"/>
        <v>30372</v>
      </c>
      <c r="AL337">
        <f t="shared" si="47"/>
        <v>30372</v>
      </c>
      <c r="AM337">
        <f>MIN(MAX(0,$B$10-AL337)*AI337,'Retirement Gap'!$B$29)</f>
        <v>0</v>
      </c>
      <c r="AN337">
        <f>IF($E$40="B - Withdrawals + Roth conversions",AJ337*MAX(0,MIN($B$47-AL337,MIN($B$59,IRMAA!$C$16)-(AL337+$B$8*0.85+AK337*$B$46))),0)</f>
        <v>0</v>
      </c>
      <c r="AO337" cm="1">
        <f t="array" ref="AO337">_xlfn.LET(_xlpm.N,$B$49,_xlpm.R,$B$48,_xlpm.Start,$B$47,_xlpm.PlanWD,AL337,_xlpm.PlanRoth,AM337,_xlpm.PlanConv,AN337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26643.760000000002</v>
      </c>
      <c r="AP337" cm="1">
        <f t="array" ref="AP337">_xlfn.LET(_xlpm.N,$B$49,_xlpm.R,$B$48,_xlpm.Start,$B$47,_xlpm.PlanWD,AL337,_xlpm.PlanRoth,AM337,_xlpm.PlanConv,AN337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337" cm="1">
        <f t="array" ref="AQ337">_xlfn.LET(_xlpm.N,$B$49,_xlpm.R,$B$48,_xlpm.Start,$B$47,_xlpm.PlanWD,AL337,_xlpm.PlanRoth,AM337,_xlpm.PlanConv,AN337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981013.57673652703</v>
      </c>
      <c r="AR337" cm="1">
        <f t="array" ref="AR337">_xlfn.LET(_xlpm.N,$B$49,_xlpm.R,$B$48,_xlpm.Start,$B$47,_xlpm.PlanWD,AL337,_xlpm.PlanRoth,AM337,_xlpm.PlanConv,AN337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1080553.2401009782</v>
      </c>
      <c r="AS337">
        <f>--AND(AK337&lt;=SUM('Retirement Gap'!$B$24:$B$25,'Retirement Gap'!$B$27),AL337+AN337&lt;=$B$47,AM337&lt;='Retirement Gap'!$B$29,ABS(AK337+AL337+AM337-$B$10)&lt;1)</f>
        <v>1</v>
      </c>
      <c r="AT337" cm="1">
        <f t="array" ref="AT337">IF(AS337=0,1E+99,_xlfn.SWITCH(LEFT($E$39,1),"1",AO337,"2",AP337*1000000000+AO337,"3",-AQ337,"4",AO337+AP337*25000+AR337*0.005-AQ337*0.0001,AO337))</f>
        <v>-981013.57673652703</v>
      </c>
    </row>
    <row r="338" spans="33:46" x14ac:dyDescent="0.55000000000000004">
      <c r="AG338">
        <f t="shared" si="42"/>
        <v>337</v>
      </c>
      <c r="AH338">
        <f t="shared" si="43"/>
        <v>0.5</v>
      </c>
      <c r="AI338">
        <f t="shared" si="44"/>
        <v>0.1</v>
      </c>
      <c r="AJ338">
        <f t="shared" si="45"/>
        <v>0</v>
      </c>
      <c r="AK338">
        <f t="shared" si="46"/>
        <v>27334.799999999999</v>
      </c>
      <c r="AL338">
        <f t="shared" si="47"/>
        <v>30372</v>
      </c>
      <c r="AM338">
        <f>MIN(MAX(0,$B$10-AL338)*AI338,'Retirement Gap'!$B$29)</f>
        <v>3037.2000000000003</v>
      </c>
      <c r="AN338">
        <f>IF($E$40="B - Withdrawals + Roth conversions",AJ338*MAX(0,MIN($B$47-AL338,MIN($B$59,IRMAA!$C$16)-(AL338+$B$8*0.85+AK338*$B$46))),0)</f>
        <v>0</v>
      </c>
      <c r="AO338" cm="1">
        <f t="array" ref="AO338">_xlfn.LET(_xlpm.N,$B$49,_xlpm.R,$B$48,_xlpm.Start,$B$47,_xlpm.PlanWD,AL338,_xlpm.PlanRoth,AM338,_xlpm.PlanConv,AN338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26643.760000000002</v>
      </c>
      <c r="AP338" cm="1">
        <f t="array" ref="AP338">_xlfn.LET(_xlpm.N,$B$49,_xlpm.R,$B$48,_xlpm.Start,$B$47,_xlpm.PlanWD,AL338,_xlpm.PlanRoth,AM338,_xlpm.PlanConv,AN338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338" cm="1">
        <f t="array" ref="AQ338">_xlfn.LET(_xlpm.N,$B$49,_xlpm.R,$B$48,_xlpm.Start,$B$47,_xlpm.PlanWD,AL338,_xlpm.PlanRoth,AM338,_xlpm.PlanConv,AN338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981013.57673652703</v>
      </c>
      <c r="AR338" cm="1">
        <f t="array" ref="AR338">_xlfn.LET(_xlpm.N,$B$49,_xlpm.R,$B$48,_xlpm.Start,$B$47,_xlpm.PlanWD,AL338,_xlpm.PlanRoth,AM338,_xlpm.PlanConv,AN338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1080553.2401009782</v>
      </c>
      <c r="AS338">
        <f>--AND(AK338&lt;=SUM('Retirement Gap'!$B$24:$B$25,'Retirement Gap'!$B$27),AL338+AN338&lt;=$B$47,AM338&lt;='Retirement Gap'!$B$29,ABS(AK338+AL338+AM338-$B$10)&lt;1)</f>
        <v>1</v>
      </c>
      <c r="AT338" cm="1">
        <f t="array" ref="AT338">IF(AS338=0,1E+99,_xlfn.SWITCH(LEFT($E$39,1),"1",AO338,"2",AP338*1000000000+AO338,"3",-AQ338,"4",AO338+AP338*25000+AR338*0.005-AQ338*0.0001,AO338))</f>
        <v>-981013.57673652703</v>
      </c>
    </row>
    <row r="339" spans="33:46" x14ac:dyDescent="0.55000000000000004">
      <c r="AG339">
        <f t="shared" si="42"/>
        <v>338</v>
      </c>
      <c r="AH339">
        <f t="shared" si="43"/>
        <v>0.5</v>
      </c>
      <c r="AI339">
        <f t="shared" si="44"/>
        <v>0.1</v>
      </c>
      <c r="AJ339">
        <f t="shared" si="45"/>
        <v>0.2</v>
      </c>
      <c r="AK339">
        <f t="shared" si="46"/>
        <v>27334.799999999999</v>
      </c>
      <c r="AL339">
        <f t="shared" si="47"/>
        <v>30372</v>
      </c>
      <c r="AM339">
        <f>MIN(MAX(0,$B$10-AL339)*AI339,'Retirement Gap'!$B$29)</f>
        <v>3037.2000000000003</v>
      </c>
      <c r="AN339">
        <f>IF($E$40="B - Withdrawals + Roth conversions",AJ339*MAX(0,MIN($B$47-AL339,MIN($B$59,IRMAA!$C$16)-(AL339+$B$8*0.85+AK339*$B$46))),0)</f>
        <v>0</v>
      </c>
      <c r="AO339" cm="1">
        <f t="array" ref="AO339">_xlfn.LET(_xlpm.N,$B$49,_xlpm.R,$B$48,_xlpm.Start,$B$47,_xlpm.PlanWD,AL339,_xlpm.PlanRoth,AM339,_xlpm.PlanConv,AN339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26643.760000000002</v>
      </c>
      <c r="AP339" cm="1">
        <f t="array" ref="AP339">_xlfn.LET(_xlpm.N,$B$49,_xlpm.R,$B$48,_xlpm.Start,$B$47,_xlpm.PlanWD,AL339,_xlpm.PlanRoth,AM339,_xlpm.PlanConv,AN339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339" cm="1">
        <f t="array" ref="AQ339">_xlfn.LET(_xlpm.N,$B$49,_xlpm.R,$B$48,_xlpm.Start,$B$47,_xlpm.PlanWD,AL339,_xlpm.PlanRoth,AM339,_xlpm.PlanConv,AN339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981013.57673652703</v>
      </c>
      <c r="AR339" cm="1">
        <f t="array" ref="AR339">_xlfn.LET(_xlpm.N,$B$49,_xlpm.R,$B$48,_xlpm.Start,$B$47,_xlpm.PlanWD,AL339,_xlpm.PlanRoth,AM339,_xlpm.PlanConv,AN339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1080553.2401009782</v>
      </c>
      <c r="AS339">
        <f>--AND(AK339&lt;=SUM('Retirement Gap'!$B$24:$B$25,'Retirement Gap'!$B$27),AL339+AN339&lt;=$B$47,AM339&lt;='Retirement Gap'!$B$29,ABS(AK339+AL339+AM339-$B$10)&lt;1)</f>
        <v>1</v>
      </c>
      <c r="AT339" cm="1">
        <f t="array" ref="AT339">IF(AS339=0,1E+99,_xlfn.SWITCH(LEFT($E$39,1),"1",AO339,"2",AP339*1000000000+AO339,"3",-AQ339,"4",AO339+AP339*25000+AR339*0.005-AQ339*0.0001,AO339))</f>
        <v>-981013.57673652703</v>
      </c>
    </row>
    <row r="340" spans="33:46" x14ac:dyDescent="0.55000000000000004">
      <c r="AG340">
        <f t="shared" si="42"/>
        <v>339</v>
      </c>
      <c r="AH340">
        <f t="shared" si="43"/>
        <v>0.5</v>
      </c>
      <c r="AI340">
        <f t="shared" si="44"/>
        <v>0.1</v>
      </c>
      <c r="AJ340">
        <f t="shared" si="45"/>
        <v>0.4</v>
      </c>
      <c r="AK340">
        <f t="shared" si="46"/>
        <v>27334.799999999999</v>
      </c>
      <c r="AL340">
        <f t="shared" si="47"/>
        <v>30372</v>
      </c>
      <c r="AM340">
        <f>MIN(MAX(0,$B$10-AL340)*AI340,'Retirement Gap'!$B$29)</f>
        <v>3037.2000000000003</v>
      </c>
      <c r="AN340">
        <f>IF($E$40="B - Withdrawals + Roth conversions",AJ340*MAX(0,MIN($B$47-AL340,MIN($B$59,IRMAA!$C$16)-(AL340+$B$8*0.85+AK340*$B$46))),0)</f>
        <v>0</v>
      </c>
      <c r="AO340" cm="1">
        <f t="array" ref="AO340">_xlfn.LET(_xlpm.N,$B$49,_xlpm.R,$B$48,_xlpm.Start,$B$47,_xlpm.PlanWD,AL340,_xlpm.PlanRoth,AM340,_xlpm.PlanConv,AN340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26643.760000000002</v>
      </c>
      <c r="AP340" cm="1">
        <f t="array" ref="AP340">_xlfn.LET(_xlpm.N,$B$49,_xlpm.R,$B$48,_xlpm.Start,$B$47,_xlpm.PlanWD,AL340,_xlpm.PlanRoth,AM340,_xlpm.PlanConv,AN340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340" cm="1">
        <f t="array" ref="AQ340">_xlfn.LET(_xlpm.N,$B$49,_xlpm.R,$B$48,_xlpm.Start,$B$47,_xlpm.PlanWD,AL340,_xlpm.PlanRoth,AM340,_xlpm.PlanConv,AN340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981013.57673652703</v>
      </c>
      <c r="AR340" cm="1">
        <f t="array" ref="AR340">_xlfn.LET(_xlpm.N,$B$49,_xlpm.R,$B$48,_xlpm.Start,$B$47,_xlpm.PlanWD,AL340,_xlpm.PlanRoth,AM340,_xlpm.PlanConv,AN340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1080553.2401009782</v>
      </c>
      <c r="AS340">
        <f>--AND(AK340&lt;=SUM('Retirement Gap'!$B$24:$B$25,'Retirement Gap'!$B$27),AL340+AN340&lt;=$B$47,AM340&lt;='Retirement Gap'!$B$29,ABS(AK340+AL340+AM340-$B$10)&lt;1)</f>
        <v>1</v>
      </c>
      <c r="AT340" cm="1">
        <f t="array" ref="AT340">IF(AS340=0,1E+99,_xlfn.SWITCH(LEFT($E$39,1),"1",AO340,"2",AP340*1000000000+AO340,"3",-AQ340,"4",AO340+AP340*25000+AR340*0.005-AQ340*0.0001,AO340))</f>
        <v>-981013.57673652703</v>
      </c>
    </row>
    <row r="341" spans="33:46" x14ac:dyDescent="0.55000000000000004">
      <c r="AG341">
        <f t="shared" si="42"/>
        <v>340</v>
      </c>
      <c r="AH341">
        <f t="shared" si="43"/>
        <v>0.5</v>
      </c>
      <c r="AI341">
        <f t="shared" si="44"/>
        <v>0.1</v>
      </c>
      <c r="AJ341">
        <f t="shared" si="45"/>
        <v>0.6</v>
      </c>
      <c r="AK341">
        <f t="shared" si="46"/>
        <v>27334.799999999999</v>
      </c>
      <c r="AL341">
        <f t="shared" si="47"/>
        <v>30372</v>
      </c>
      <c r="AM341">
        <f>MIN(MAX(0,$B$10-AL341)*AI341,'Retirement Gap'!$B$29)</f>
        <v>3037.2000000000003</v>
      </c>
      <c r="AN341">
        <f>IF($E$40="B - Withdrawals + Roth conversions",AJ341*MAX(0,MIN($B$47-AL341,MIN($B$59,IRMAA!$C$16)-(AL341+$B$8*0.85+AK341*$B$46))),0)</f>
        <v>0</v>
      </c>
      <c r="AO341" cm="1">
        <f t="array" ref="AO341">_xlfn.LET(_xlpm.N,$B$49,_xlpm.R,$B$48,_xlpm.Start,$B$47,_xlpm.PlanWD,AL341,_xlpm.PlanRoth,AM341,_xlpm.PlanConv,AN341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26643.760000000002</v>
      </c>
      <c r="AP341" cm="1">
        <f t="array" ref="AP341">_xlfn.LET(_xlpm.N,$B$49,_xlpm.R,$B$48,_xlpm.Start,$B$47,_xlpm.PlanWD,AL341,_xlpm.PlanRoth,AM341,_xlpm.PlanConv,AN341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341" cm="1">
        <f t="array" ref="AQ341">_xlfn.LET(_xlpm.N,$B$49,_xlpm.R,$B$48,_xlpm.Start,$B$47,_xlpm.PlanWD,AL341,_xlpm.PlanRoth,AM341,_xlpm.PlanConv,AN341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981013.57673652703</v>
      </c>
      <c r="AR341" cm="1">
        <f t="array" ref="AR341">_xlfn.LET(_xlpm.N,$B$49,_xlpm.R,$B$48,_xlpm.Start,$B$47,_xlpm.PlanWD,AL341,_xlpm.PlanRoth,AM341,_xlpm.PlanConv,AN341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1080553.2401009782</v>
      </c>
      <c r="AS341">
        <f>--AND(AK341&lt;=SUM('Retirement Gap'!$B$24:$B$25,'Retirement Gap'!$B$27),AL341+AN341&lt;=$B$47,AM341&lt;='Retirement Gap'!$B$29,ABS(AK341+AL341+AM341-$B$10)&lt;1)</f>
        <v>1</v>
      </c>
      <c r="AT341" cm="1">
        <f t="array" ref="AT341">IF(AS341=0,1E+99,_xlfn.SWITCH(LEFT($E$39,1),"1",AO341,"2",AP341*1000000000+AO341,"3",-AQ341,"4",AO341+AP341*25000+AR341*0.005-AQ341*0.0001,AO341))</f>
        <v>-981013.57673652703</v>
      </c>
    </row>
    <row r="342" spans="33:46" x14ac:dyDescent="0.55000000000000004">
      <c r="AG342">
        <f t="shared" si="42"/>
        <v>341</v>
      </c>
      <c r="AH342">
        <f t="shared" si="43"/>
        <v>0.5</v>
      </c>
      <c r="AI342">
        <f t="shared" si="44"/>
        <v>0.1</v>
      </c>
      <c r="AJ342">
        <f t="shared" si="45"/>
        <v>0.8</v>
      </c>
      <c r="AK342">
        <f t="shared" si="46"/>
        <v>27334.799999999999</v>
      </c>
      <c r="AL342">
        <f t="shared" si="47"/>
        <v>30372</v>
      </c>
      <c r="AM342">
        <f>MIN(MAX(0,$B$10-AL342)*AI342,'Retirement Gap'!$B$29)</f>
        <v>3037.2000000000003</v>
      </c>
      <c r="AN342">
        <f>IF($E$40="B - Withdrawals + Roth conversions",AJ342*MAX(0,MIN($B$47-AL342,MIN($B$59,IRMAA!$C$16)-(AL342+$B$8*0.85+AK342*$B$46))),0)</f>
        <v>0</v>
      </c>
      <c r="AO342" cm="1">
        <f t="array" ref="AO342">_xlfn.LET(_xlpm.N,$B$49,_xlpm.R,$B$48,_xlpm.Start,$B$47,_xlpm.PlanWD,AL342,_xlpm.PlanRoth,AM342,_xlpm.PlanConv,AN342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26643.760000000002</v>
      </c>
      <c r="AP342" cm="1">
        <f t="array" ref="AP342">_xlfn.LET(_xlpm.N,$B$49,_xlpm.R,$B$48,_xlpm.Start,$B$47,_xlpm.PlanWD,AL342,_xlpm.PlanRoth,AM342,_xlpm.PlanConv,AN342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342" cm="1">
        <f t="array" ref="AQ342">_xlfn.LET(_xlpm.N,$B$49,_xlpm.R,$B$48,_xlpm.Start,$B$47,_xlpm.PlanWD,AL342,_xlpm.PlanRoth,AM342,_xlpm.PlanConv,AN342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981013.57673652703</v>
      </c>
      <c r="AR342" cm="1">
        <f t="array" ref="AR342">_xlfn.LET(_xlpm.N,$B$49,_xlpm.R,$B$48,_xlpm.Start,$B$47,_xlpm.PlanWD,AL342,_xlpm.PlanRoth,AM342,_xlpm.PlanConv,AN342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1080553.2401009782</v>
      </c>
      <c r="AS342">
        <f>--AND(AK342&lt;=SUM('Retirement Gap'!$B$24:$B$25,'Retirement Gap'!$B$27),AL342+AN342&lt;=$B$47,AM342&lt;='Retirement Gap'!$B$29,ABS(AK342+AL342+AM342-$B$10)&lt;1)</f>
        <v>1</v>
      </c>
      <c r="AT342" cm="1">
        <f t="array" ref="AT342">IF(AS342=0,1E+99,_xlfn.SWITCH(LEFT($E$39,1),"1",AO342,"2",AP342*1000000000+AO342,"3",-AQ342,"4",AO342+AP342*25000+AR342*0.005-AQ342*0.0001,AO342))</f>
        <v>-981013.57673652703</v>
      </c>
    </row>
    <row r="343" spans="33:46" x14ac:dyDescent="0.55000000000000004">
      <c r="AG343">
        <f t="shared" si="42"/>
        <v>342</v>
      </c>
      <c r="AH343">
        <f t="shared" si="43"/>
        <v>0.5</v>
      </c>
      <c r="AI343">
        <f t="shared" si="44"/>
        <v>0.1</v>
      </c>
      <c r="AJ343">
        <f t="shared" si="45"/>
        <v>1</v>
      </c>
      <c r="AK343">
        <f t="shared" si="46"/>
        <v>27334.799999999999</v>
      </c>
      <c r="AL343">
        <f t="shared" si="47"/>
        <v>30372</v>
      </c>
      <c r="AM343">
        <f>MIN(MAX(0,$B$10-AL343)*AI343,'Retirement Gap'!$B$29)</f>
        <v>3037.2000000000003</v>
      </c>
      <c r="AN343">
        <f>IF($E$40="B - Withdrawals + Roth conversions",AJ343*MAX(0,MIN($B$47-AL343,MIN($B$59,IRMAA!$C$16)-(AL343+$B$8*0.85+AK343*$B$46))),0)</f>
        <v>0</v>
      </c>
      <c r="AO343" cm="1">
        <f t="array" ref="AO343">_xlfn.LET(_xlpm.N,$B$49,_xlpm.R,$B$48,_xlpm.Start,$B$47,_xlpm.PlanWD,AL343,_xlpm.PlanRoth,AM343,_xlpm.PlanConv,AN343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26643.760000000002</v>
      </c>
      <c r="AP343" cm="1">
        <f t="array" ref="AP343">_xlfn.LET(_xlpm.N,$B$49,_xlpm.R,$B$48,_xlpm.Start,$B$47,_xlpm.PlanWD,AL343,_xlpm.PlanRoth,AM343,_xlpm.PlanConv,AN343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343" cm="1">
        <f t="array" ref="AQ343">_xlfn.LET(_xlpm.N,$B$49,_xlpm.R,$B$48,_xlpm.Start,$B$47,_xlpm.PlanWD,AL343,_xlpm.PlanRoth,AM343,_xlpm.PlanConv,AN343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981013.57673652703</v>
      </c>
      <c r="AR343" cm="1">
        <f t="array" ref="AR343">_xlfn.LET(_xlpm.N,$B$49,_xlpm.R,$B$48,_xlpm.Start,$B$47,_xlpm.PlanWD,AL343,_xlpm.PlanRoth,AM343,_xlpm.PlanConv,AN343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1080553.2401009782</v>
      </c>
      <c r="AS343">
        <f>--AND(AK343&lt;=SUM('Retirement Gap'!$B$24:$B$25,'Retirement Gap'!$B$27),AL343+AN343&lt;=$B$47,AM343&lt;='Retirement Gap'!$B$29,ABS(AK343+AL343+AM343-$B$10)&lt;1)</f>
        <v>1</v>
      </c>
      <c r="AT343" cm="1">
        <f t="array" ref="AT343">IF(AS343=0,1E+99,_xlfn.SWITCH(LEFT($E$39,1),"1",AO343,"2",AP343*1000000000+AO343,"3",-AQ343,"4",AO343+AP343*25000+AR343*0.005-AQ343*0.0001,AO343))</f>
        <v>-981013.57673652703</v>
      </c>
    </row>
    <row r="344" spans="33:46" x14ac:dyDescent="0.55000000000000004">
      <c r="AG344">
        <f t="shared" si="42"/>
        <v>343</v>
      </c>
      <c r="AH344">
        <f t="shared" si="43"/>
        <v>0.5</v>
      </c>
      <c r="AI344">
        <f t="shared" si="44"/>
        <v>0.2</v>
      </c>
      <c r="AJ344">
        <f t="shared" si="45"/>
        <v>0</v>
      </c>
      <c r="AK344">
        <f t="shared" si="46"/>
        <v>24297.599999999999</v>
      </c>
      <c r="AL344">
        <f t="shared" si="47"/>
        <v>30372</v>
      </c>
      <c r="AM344">
        <f>MIN(MAX(0,$B$10-AL344)*AI344,'Retirement Gap'!$B$29)</f>
        <v>6074.4000000000005</v>
      </c>
      <c r="AN344">
        <f>IF($E$40="B - Withdrawals + Roth conversions",AJ344*MAX(0,MIN($B$47-AL344,MIN($B$59,IRMAA!$C$16)-(AL344+$B$8*0.85+AK344*$B$46))),0)</f>
        <v>0</v>
      </c>
      <c r="AO344" cm="1">
        <f t="array" ref="AO344">_xlfn.LET(_xlpm.N,$B$49,_xlpm.R,$B$48,_xlpm.Start,$B$47,_xlpm.PlanWD,AL344,_xlpm.PlanRoth,AM344,_xlpm.PlanConv,AN344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26643.760000000002</v>
      </c>
      <c r="AP344" cm="1">
        <f t="array" ref="AP344">_xlfn.LET(_xlpm.N,$B$49,_xlpm.R,$B$48,_xlpm.Start,$B$47,_xlpm.PlanWD,AL344,_xlpm.PlanRoth,AM344,_xlpm.PlanConv,AN344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344" cm="1">
        <f t="array" ref="AQ344">_xlfn.LET(_xlpm.N,$B$49,_xlpm.R,$B$48,_xlpm.Start,$B$47,_xlpm.PlanWD,AL344,_xlpm.PlanRoth,AM344,_xlpm.PlanConv,AN344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981013.57673652703</v>
      </c>
      <c r="AR344" cm="1">
        <f t="array" ref="AR344">_xlfn.LET(_xlpm.N,$B$49,_xlpm.R,$B$48,_xlpm.Start,$B$47,_xlpm.PlanWD,AL344,_xlpm.PlanRoth,AM344,_xlpm.PlanConv,AN344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1080553.2401009782</v>
      </c>
      <c r="AS344">
        <f>--AND(AK344&lt;=SUM('Retirement Gap'!$B$24:$B$25,'Retirement Gap'!$B$27),AL344+AN344&lt;=$B$47,AM344&lt;='Retirement Gap'!$B$29,ABS(AK344+AL344+AM344-$B$10)&lt;1)</f>
        <v>1</v>
      </c>
      <c r="AT344" cm="1">
        <f t="array" ref="AT344">IF(AS344=0,1E+99,_xlfn.SWITCH(LEFT($E$39,1),"1",AO344,"2",AP344*1000000000+AO344,"3",-AQ344,"4",AO344+AP344*25000+AR344*0.005-AQ344*0.0001,AO344))</f>
        <v>-981013.57673652703</v>
      </c>
    </row>
    <row r="345" spans="33:46" x14ac:dyDescent="0.55000000000000004">
      <c r="AG345">
        <f t="shared" si="42"/>
        <v>344</v>
      </c>
      <c r="AH345">
        <f t="shared" si="43"/>
        <v>0.5</v>
      </c>
      <c r="AI345">
        <f t="shared" si="44"/>
        <v>0.2</v>
      </c>
      <c r="AJ345">
        <f t="shared" si="45"/>
        <v>0.2</v>
      </c>
      <c r="AK345">
        <f t="shared" si="46"/>
        <v>24297.599999999999</v>
      </c>
      <c r="AL345">
        <f t="shared" si="47"/>
        <v>30372</v>
      </c>
      <c r="AM345">
        <f>MIN(MAX(0,$B$10-AL345)*AI345,'Retirement Gap'!$B$29)</f>
        <v>6074.4000000000005</v>
      </c>
      <c r="AN345">
        <f>IF($E$40="B - Withdrawals + Roth conversions",AJ345*MAX(0,MIN($B$47-AL345,MIN($B$59,IRMAA!$C$16)-(AL345+$B$8*0.85+AK345*$B$46))),0)</f>
        <v>0</v>
      </c>
      <c r="AO345" cm="1">
        <f t="array" ref="AO345">_xlfn.LET(_xlpm.N,$B$49,_xlpm.R,$B$48,_xlpm.Start,$B$47,_xlpm.PlanWD,AL345,_xlpm.PlanRoth,AM345,_xlpm.PlanConv,AN345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26643.760000000002</v>
      </c>
      <c r="AP345" cm="1">
        <f t="array" ref="AP345">_xlfn.LET(_xlpm.N,$B$49,_xlpm.R,$B$48,_xlpm.Start,$B$47,_xlpm.PlanWD,AL345,_xlpm.PlanRoth,AM345,_xlpm.PlanConv,AN345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345" cm="1">
        <f t="array" ref="AQ345">_xlfn.LET(_xlpm.N,$B$49,_xlpm.R,$B$48,_xlpm.Start,$B$47,_xlpm.PlanWD,AL345,_xlpm.PlanRoth,AM345,_xlpm.PlanConv,AN345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981013.57673652703</v>
      </c>
      <c r="AR345" cm="1">
        <f t="array" ref="AR345">_xlfn.LET(_xlpm.N,$B$49,_xlpm.R,$B$48,_xlpm.Start,$B$47,_xlpm.PlanWD,AL345,_xlpm.PlanRoth,AM345,_xlpm.PlanConv,AN345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1080553.2401009782</v>
      </c>
      <c r="AS345">
        <f>--AND(AK345&lt;=SUM('Retirement Gap'!$B$24:$B$25,'Retirement Gap'!$B$27),AL345+AN345&lt;=$B$47,AM345&lt;='Retirement Gap'!$B$29,ABS(AK345+AL345+AM345-$B$10)&lt;1)</f>
        <v>1</v>
      </c>
      <c r="AT345" cm="1">
        <f t="array" ref="AT345">IF(AS345=0,1E+99,_xlfn.SWITCH(LEFT($E$39,1),"1",AO345,"2",AP345*1000000000+AO345,"3",-AQ345,"4",AO345+AP345*25000+AR345*0.005-AQ345*0.0001,AO345))</f>
        <v>-981013.57673652703</v>
      </c>
    </row>
    <row r="346" spans="33:46" x14ac:dyDescent="0.55000000000000004">
      <c r="AG346">
        <f t="shared" si="42"/>
        <v>345</v>
      </c>
      <c r="AH346">
        <f t="shared" si="43"/>
        <v>0.5</v>
      </c>
      <c r="AI346">
        <f t="shared" si="44"/>
        <v>0.2</v>
      </c>
      <c r="AJ346">
        <f t="shared" si="45"/>
        <v>0.4</v>
      </c>
      <c r="AK346">
        <f t="shared" si="46"/>
        <v>24297.599999999999</v>
      </c>
      <c r="AL346">
        <f t="shared" si="47"/>
        <v>30372</v>
      </c>
      <c r="AM346">
        <f>MIN(MAX(0,$B$10-AL346)*AI346,'Retirement Gap'!$B$29)</f>
        <v>6074.4000000000005</v>
      </c>
      <c r="AN346">
        <f>IF($E$40="B - Withdrawals + Roth conversions",AJ346*MAX(0,MIN($B$47-AL346,MIN($B$59,IRMAA!$C$16)-(AL346+$B$8*0.85+AK346*$B$46))),0)</f>
        <v>0</v>
      </c>
      <c r="AO346" cm="1">
        <f t="array" ref="AO346">_xlfn.LET(_xlpm.N,$B$49,_xlpm.R,$B$48,_xlpm.Start,$B$47,_xlpm.PlanWD,AL346,_xlpm.PlanRoth,AM346,_xlpm.PlanConv,AN346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26643.760000000002</v>
      </c>
      <c r="AP346" cm="1">
        <f t="array" ref="AP346">_xlfn.LET(_xlpm.N,$B$49,_xlpm.R,$B$48,_xlpm.Start,$B$47,_xlpm.PlanWD,AL346,_xlpm.PlanRoth,AM346,_xlpm.PlanConv,AN346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346" cm="1">
        <f t="array" ref="AQ346">_xlfn.LET(_xlpm.N,$B$49,_xlpm.R,$B$48,_xlpm.Start,$B$47,_xlpm.PlanWD,AL346,_xlpm.PlanRoth,AM346,_xlpm.PlanConv,AN346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981013.57673652703</v>
      </c>
      <c r="AR346" cm="1">
        <f t="array" ref="AR346">_xlfn.LET(_xlpm.N,$B$49,_xlpm.R,$B$48,_xlpm.Start,$B$47,_xlpm.PlanWD,AL346,_xlpm.PlanRoth,AM346,_xlpm.PlanConv,AN346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1080553.2401009782</v>
      </c>
      <c r="AS346">
        <f>--AND(AK346&lt;=SUM('Retirement Gap'!$B$24:$B$25,'Retirement Gap'!$B$27),AL346+AN346&lt;=$B$47,AM346&lt;='Retirement Gap'!$B$29,ABS(AK346+AL346+AM346-$B$10)&lt;1)</f>
        <v>1</v>
      </c>
      <c r="AT346" cm="1">
        <f t="array" ref="AT346">IF(AS346=0,1E+99,_xlfn.SWITCH(LEFT($E$39,1),"1",AO346,"2",AP346*1000000000+AO346,"3",-AQ346,"4",AO346+AP346*25000+AR346*0.005-AQ346*0.0001,AO346))</f>
        <v>-981013.57673652703</v>
      </c>
    </row>
    <row r="347" spans="33:46" x14ac:dyDescent="0.55000000000000004">
      <c r="AG347">
        <f t="shared" si="42"/>
        <v>346</v>
      </c>
      <c r="AH347">
        <f t="shared" si="43"/>
        <v>0.5</v>
      </c>
      <c r="AI347">
        <f t="shared" si="44"/>
        <v>0.2</v>
      </c>
      <c r="AJ347">
        <f t="shared" si="45"/>
        <v>0.6</v>
      </c>
      <c r="AK347">
        <f t="shared" si="46"/>
        <v>24297.599999999999</v>
      </c>
      <c r="AL347">
        <f t="shared" si="47"/>
        <v>30372</v>
      </c>
      <c r="AM347">
        <f>MIN(MAX(0,$B$10-AL347)*AI347,'Retirement Gap'!$B$29)</f>
        <v>6074.4000000000005</v>
      </c>
      <c r="AN347">
        <f>IF($E$40="B - Withdrawals + Roth conversions",AJ347*MAX(0,MIN($B$47-AL347,MIN($B$59,IRMAA!$C$16)-(AL347+$B$8*0.85+AK347*$B$46))),0)</f>
        <v>0</v>
      </c>
      <c r="AO347" cm="1">
        <f t="array" ref="AO347">_xlfn.LET(_xlpm.N,$B$49,_xlpm.R,$B$48,_xlpm.Start,$B$47,_xlpm.PlanWD,AL347,_xlpm.PlanRoth,AM347,_xlpm.PlanConv,AN347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26643.760000000002</v>
      </c>
      <c r="AP347" cm="1">
        <f t="array" ref="AP347">_xlfn.LET(_xlpm.N,$B$49,_xlpm.R,$B$48,_xlpm.Start,$B$47,_xlpm.PlanWD,AL347,_xlpm.PlanRoth,AM347,_xlpm.PlanConv,AN347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347" cm="1">
        <f t="array" ref="AQ347">_xlfn.LET(_xlpm.N,$B$49,_xlpm.R,$B$48,_xlpm.Start,$B$47,_xlpm.PlanWD,AL347,_xlpm.PlanRoth,AM347,_xlpm.PlanConv,AN347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981013.57673652703</v>
      </c>
      <c r="AR347" cm="1">
        <f t="array" ref="AR347">_xlfn.LET(_xlpm.N,$B$49,_xlpm.R,$B$48,_xlpm.Start,$B$47,_xlpm.PlanWD,AL347,_xlpm.PlanRoth,AM347,_xlpm.PlanConv,AN347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1080553.2401009782</v>
      </c>
      <c r="AS347">
        <f>--AND(AK347&lt;=SUM('Retirement Gap'!$B$24:$B$25,'Retirement Gap'!$B$27),AL347+AN347&lt;=$B$47,AM347&lt;='Retirement Gap'!$B$29,ABS(AK347+AL347+AM347-$B$10)&lt;1)</f>
        <v>1</v>
      </c>
      <c r="AT347" cm="1">
        <f t="array" ref="AT347">IF(AS347=0,1E+99,_xlfn.SWITCH(LEFT($E$39,1),"1",AO347,"2",AP347*1000000000+AO347,"3",-AQ347,"4",AO347+AP347*25000+AR347*0.005-AQ347*0.0001,AO347))</f>
        <v>-981013.57673652703</v>
      </c>
    </row>
    <row r="348" spans="33:46" x14ac:dyDescent="0.55000000000000004">
      <c r="AG348">
        <f t="shared" si="42"/>
        <v>347</v>
      </c>
      <c r="AH348">
        <f t="shared" si="43"/>
        <v>0.5</v>
      </c>
      <c r="AI348">
        <f t="shared" si="44"/>
        <v>0.2</v>
      </c>
      <c r="AJ348">
        <f t="shared" si="45"/>
        <v>0.8</v>
      </c>
      <c r="AK348">
        <f t="shared" si="46"/>
        <v>24297.599999999999</v>
      </c>
      <c r="AL348">
        <f t="shared" si="47"/>
        <v>30372</v>
      </c>
      <c r="AM348">
        <f>MIN(MAX(0,$B$10-AL348)*AI348,'Retirement Gap'!$B$29)</f>
        <v>6074.4000000000005</v>
      </c>
      <c r="AN348">
        <f>IF($E$40="B - Withdrawals + Roth conversions",AJ348*MAX(0,MIN($B$47-AL348,MIN($B$59,IRMAA!$C$16)-(AL348+$B$8*0.85+AK348*$B$46))),0)</f>
        <v>0</v>
      </c>
      <c r="AO348" cm="1">
        <f t="array" ref="AO348">_xlfn.LET(_xlpm.N,$B$49,_xlpm.R,$B$48,_xlpm.Start,$B$47,_xlpm.PlanWD,AL348,_xlpm.PlanRoth,AM348,_xlpm.PlanConv,AN348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26643.760000000002</v>
      </c>
      <c r="AP348" cm="1">
        <f t="array" ref="AP348">_xlfn.LET(_xlpm.N,$B$49,_xlpm.R,$B$48,_xlpm.Start,$B$47,_xlpm.PlanWD,AL348,_xlpm.PlanRoth,AM348,_xlpm.PlanConv,AN348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348" cm="1">
        <f t="array" ref="AQ348">_xlfn.LET(_xlpm.N,$B$49,_xlpm.R,$B$48,_xlpm.Start,$B$47,_xlpm.PlanWD,AL348,_xlpm.PlanRoth,AM348,_xlpm.PlanConv,AN348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981013.57673652703</v>
      </c>
      <c r="AR348" cm="1">
        <f t="array" ref="AR348">_xlfn.LET(_xlpm.N,$B$49,_xlpm.R,$B$48,_xlpm.Start,$B$47,_xlpm.PlanWD,AL348,_xlpm.PlanRoth,AM348,_xlpm.PlanConv,AN348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1080553.2401009782</v>
      </c>
      <c r="AS348">
        <f>--AND(AK348&lt;=SUM('Retirement Gap'!$B$24:$B$25,'Retirement Gap'!$B$27),AL348+AN348&lt;=$B$47,AM348&lt;='Retirement Gap'!$B$29,ABS(AK348+AL348+AM348-$B$10)&lt;1)</f>
        <v>1</v>
      </c>
      <c r="AT348" cm="1">
        <f t="array" ref="AT348">IF(AS348=0,1E+99,_xlfn.SWITCH(LEFT($E$39,1),"1",AO348,"2",AP348*1000000000+AO348,"3",-AQ348,"4",AO348+AP348*25000+AR348*0.005-AQ348*0.0001,AO348))</f>
        <v>-981013.57673652703</v>
      </c>
    </row>
    <row r="349" spans="33:46" x14ac:dyDescent="0.55000000000000004">
      <c r="AG349">
        <f t="shared" si="42"/>
        <v>348</v>
      </c>
      <c r="AH349">
        <f t="shared" si="43"/>
        <v>0.5</v>
      </c>
      <c r="AI349">
        <f t="shared" si="44"/>
        <v>0.2</v>
      </c>
      <c r="AJ349">
        <f t="shared" si="45"/>
        <v>1</v>
      </c>
      <c r="AK349">
        <f t="shared" si="46"/>
        <v>24297.599999999999</v>
      </c>
      <c r="AL349">
        <f t="shared" si="47"/>
        <v>30372</v>
      </c>
      <c r="AM349">
        <f>MIN(MAX(0,$B$10-AL349)*AI349,'Retirement Gap'!$B$29)</f>
        <v>6074.4000000000005</v>
      </c>
      <c r="AN349">
        <f>IF($E$40="B - Withdrawals + Roth conversions",AJ349*MAX(0,MIN($B$47-AL349,MIN($B$59,IRMAA!$C$16)-(AL349+$B$8*0.85+AK349*$B$46))),0)</f>
        <v>0</v>
      </c>
      <c r="AO349" cm="1">
        <f t="array" ref="AO349">_xlfn.LET(_xlpm.N,$B$49,_xlpm.R,$B$48,_xlpm.Start,$B$47,_xlpm.PlanWD,AL349,_xlpm.PlanRoth,AM349,_xlpm.PlanConv,AN349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26643.760000000002</v>
      </c>
      <c r="AP349" cm="1">
        <f t="array" ref="AP349">_xlfn.LET(_xlpm.N,$B$49,_xlpm.R,$B$48,_xlpm.Start,$B$47,_xlpm.PlanWD,AL349,_xlpm.PlanRoth,AM349,_xlpm.PlanConv,AN349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349" cm="1">
        <f t="array" ref="AQ349">_xlfn.LET(_xlpm.N,$B$49,_xlpm.R,$B$48,_xlpm.Start,$B$47,_xlpm.PlanWD,AL349,_xlpm.PlanRoth,AM349,_xlpm.PlanConv,AN349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981013.57673652703</v>
      </c>
      <c r="AR349" cm="1">
        <f t="array" ref="AR349">_xlfn.LET(_xlpm.N,$B$49,_xlpm.R,$B$48,_xlpm.Start,$B$47,_xlpm.PlanWD,AL349,_xlpm.PlanRoth,AM349,_xlpm.PlanConv,AN349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1080553.2401009782</v>
      </c>
      <c r="AS349">
        <f>--AND(AK349&lt;=SUM('Retirement Gap'!$B$24:$B$25,'Retirement Gap'!$B$27),AL349+AN349&lt;=$B$47,AM349&lt;='Retirement Gap'!$B$29,ABS(AK349+AL349+AM349-$B$10)&lt;1)</f>
        <v>1</v>
      </c>
      <c r="AT349" cm="1">
        <f t="array" ref="AT349">IF(AS349=0,1E+99,_xlfn.SWITCH(LEFT($E$39,1),"1",AO349,"2",AP349*1000000000+AO349,"3",-AQ349,"4",AO349+AP349*25000+AR349*0.005-AQ349*0.0001,AO349))</f>
        <v>-981013.57673652703</v>
      </c>
    </row>
    <row r="350" spans="33:46" x14ac:dyDescent="0.55000000000000004">
      <c r="AG350">
        <f t="shared" si="42"/>
        <v>349</v>
      </c>
      <c r="AH350">
        <f t="shared" si="43"/>
        <v>0.5</v>
      </c>
      <c r="AI350">
        <f t="shared" si="44"/>
        <v>0.3</v>
      </c>
      <c r="AJ350">
        <f t="shared" si="45"/>
        <v>0</v>
      </c>
      <c r="AK350">
        <f t="shared" si="46"/>
        <v>21260.400000000001</v>
      </c>
      <c r="AL350">
        <f t="shared" si="47"/>
        <v>30372</v>
      </c>
      <c r="AM350">
        <f>MIN(MAX(0,$B$10-AL350)*AI350,'Retirement Gap'!$B$29)</f>
        <v>9111.6</v>
      </c>
      <c r="AN350">
        <f>IF($E$40="B - Withdrawals + Roth conversions",AJ350*MAX(0,MIN($B$47-AL350,MIN($B$59,IRMAA!$C$16)-(AL350+$B$8*0.85+AK350*$B$46))),0)</f>
        <v>0</v>
      </c>
      <c r="AO350" cm="1">
        <f t="array" ref="AO350">_xlfn.LET(_xlpm.N,$B$49,_xlpm.R,$B$48,_xlpm.Start,$B$47,_xlpm.PlanWD,AL350,_xlpm.PlanRoth,AM350,_xlpm.PlanConv,AN350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26643.760000000002</v>
      </c>
      <c r="AP350" cm="1">
        <f t="array" ref="AP350">_xlfn.LET(_xlpm.N,$B$49,_xlpm.R,$B$48,_xlpm.Start,$B$47,_xlpm.PlanWD,AL350,_xlpm.PlanRoth,AM350,_xlpm.PlanConv,AN350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350" cm="1">
        <f t="array" ref="AQ350">_xlfn.LET(_xlpm.N,$B$49,_xlpm.R,$B$48,_xlpm.Start,$B$47,_xlpm.PlanWD,AL350,_xlpm.PlanRoth,AM350,_xlpm.PlanConv,AN350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981013.57673652703</v>
      </c>
      <c r="AR350" cm="1">
        <f t="array" ref="AR350">_xlfn.LET(_xlpm.N,$B$49,_xlpm.R,$B$48,_xlpm.Start,$B$47,_xlpm.PlanWD,AL350,_xlpm.PlanRoth,AM350,_xlpm.PlanConv,AN350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1080553.2401009782</v>
      </c>
      <c r="AS350">
        <f>--AND(AK350&lt;=SUM('Retirement Gap'!$B$24:$B$25,'Retirement Gap'!$B$27),AL350+AN350&lt;=$B$47,AM350&lt;='Retirement Gap'!$B$29,ABS(AK350+AL350+AM350-$B$10)&lt;1)</f>
        <v>1</v>
      </c>
      <c r="AT350" cm="1">
        <f t="array" ref="AT350">IF(AS350=0,1E+99,_xlfn.SWITCH(LEFT($E$39,1),"1",AO350,"2",AP350*1000000000+AO350,"3",-AQ350,"4",AO350+AP350*25000+AR350*0.005-AQ350*0.0001,AO350))</f>
        <v>-981013.57673652703</v>
      </c>
    </row>
    <row r="351" spans="33:46" x14ac:dyDescent="0.55000000000000004">
      <c r="AG351">
        <f t="shared" si="42"/>
        <v>350</v>
      </c>
      <c r="AH351">
        <f t="shared" si="43"/>
        <v>0.5</v>
      </c>
      <c r="AI351">
        <f t="shared" si="44"/>
        <v>0.3</v>
      </c>
      <c r="AJ351">
        <f t="shared" si="45"/>
        <v>0.2</v>
      </c>
      <c r="AK351">
        <f t="shared" si="46"/>
        <v>21260.400000000001</v>
      </c>
      <c r="AL351">
        <f t="shared" si="47"/>
        <v>30372</v>
      </c>
      <c r="AM351">
        <f>MIN(MAX(0,$B$10-AL351)*AI351,'Retirement Gap'!$B$29)</f>
        <v>9111.6</v>
      </c>
      <c r="AN351">
        <f>IF($E$40="B - Withdrawals + Roth conversions",AJ351*MAX(0,MIN($B$47-AL351,MIN($B$59,IRMAA!$C$16)-(AL351+$B$8*0.85+AK351*$B$46))),0)</f>
        <v>0</v>
      </c>
      <c r="AO351" cm="1">
        <f t="array" ref="AO351">_xlfn.LET(_xlpm.N,$B$49,_xlpm.R,$B$48,_xlpm.Start,$B$47,_xlpm.PlanWD,AL351,_xlpm.PlanRoth,AM351,_xlpm.PlanConv,AN351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26643.760000000002</v>
      </c>
      <c r="AP351" cm="1">
        <f t="array" ref="AP351">_xlfn.LET(_xlpm.N,$B$49,_xlpm.R,$B$48,_xlpm.Start,$B$47,_xlpm.PlanWD,AL351,_xlpm.PlanRoth,AM351,_xlpm.PlanConv,AN351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351" cm="1">
        <f t="array" ref="AQ351">_xlfn.LET(_xlpm.N,$B$49,_xlpm.R,$B$48,_xlpm.Start,$B$47,_xlpm.PlanWD,AL351,_xlpm.PlanRoth,AM351,_xlpm.PlanConv,AN351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981013.57673652703</v>
      </c>
      <c r="AR351" cm="1">
        <f t="array" ref="AR351">_xlfn.LET(_xlpm.N,$B$49,_xlpm.R,$B$48,_xlpm.Start,$B$47,_xlpm.PlanWD,AL351,_xlpm.PlanRoth,AM351,_xlpm.PlanConv,AN351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1080553.2401009782</v>
      </c>
      <c r="AS351">
        <f>--AND(AK351&lt;=SUM('Retirement Gap'!$B$24:$B$25,'Retirement Gap'!$B$27),AL351+AN351&lt;=$B$47,AM351&lt;='Retirement Gap'!$B$29,ABS(AK351+AL351+AM351-$B$10)&lt;1)</f>
        <v>1</v>
      </c>
      <c r="AT351" cm="1">
        <f t="array" ref="AT351">IF(AS351=0,1E+99,_xlfn.SWITCH(LEFT($E$39,1),"1",AO351,"2",AP351*1000000000+AO351,"3",-AQ351,"4",AO351+AP351*25000+AR351*0.005-AQ351*0.0001,AO351))</f>
        <v>-981013.57673652703</v>
      </c>
    </row>
    <row r="352" spans="33:46" x14ac:dyDescent="0.55000000000000004">
      <c r="AG352">
        <f t="shared" si="42"/>
        <v>351</v>
      </c>
      <c r="AH352">
        <f t="shared" si="43"/>
        <v>0.5</v>
      </c>
      <c r="AI352">
        <f t="shared" si="44"/>
        <v>0.3</v>
      </c>
      <c r="AJ352">
        <f t="shared" si="45"/>
        <v>0.4</v>
      </c>
      <c r="AK352">
        <f t="shared" si="46"/>
        <v>21260.400000000001</v>
      </c>
      <c r="AL352">
        <f t="shared" si="47"/>
        <v>30372</v>
      </c>
      <c r="AM352">
        <f>MIN(MAX(0,$B$10-AL352)*AI352,'Retirement Gap'!$B$29)</f>
        <v>9111.6</v>
      </c>
      <c r="AN352">
        <f>IF($E$40="B - Withdrawals + Roth conversions",AJ352*MAX(0,MIN($B$47-AL352,MIN($B$59,IRMAA!$C$16)-(AL352+$B$8*0.85+AK352*$B$46))),0)</f>
        <v>0</v>
      </c>
      <c r="AO352" cm="1">
        <f t="array" ref="AO352">_xlfn.LET(_xlpm.N,$B$49,_xlpm.R,$B$48,_xlpm.Start,$B$47,_xlpm.PlanWD,AL352,_xlpm.PlanRoth,AM352,_xlpm.PlanConv,AN352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26643.760000000002</v>
      </c>
      <c r="AP352" cm="1">
        <f t="array" ref="AP352">_xlfn.LET(_xlpm.N,$B$49,_xlpm.R,$B$48,_xlpm.Start,$B$47,_xlpm.PlanWD,AL352,_xlpm.PlanRoth,AM352,_xlpm.PlanConv,AN352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352" cm="1">
        <f t="array" ref="AQ352">_xlfn.LET(_xlpm.N,$B$49,_xlpm.R,$B$48,_xlpm.Start,$B$47,_xlpm.PlanWD,AL352,_xlpm.PlanRoth,AM352,_xlpm.PlanConv,AN352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981013.57673652703</v>
      </c>
      <c r="AR352" cm="1">
        <f t="array" ref="AR352">_xlfn.LET(_xlpm.N,$B$49,_xlpm.R,$B$48,_xlpm.Start,$B$47,_xlpm.PlanWD,AL352,_xlpm.PlanRoth,AM352,_xlpm.PlanConv,AN352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1080553.2401009782</v>
      </c>
      <c r="AS352">
        <f>--AND(AK352&lt;=SUM('Retirement Gap'!$B$24:$B$25,'Retirement Gap'!$B$27),AL352+AN352&lt;=$B$47,AM352&lt;='Retirement Gap'!$B$29,ABS(AK352+AL352+AM352-$B$10)&lt;1)</f>
        <v>1</v>
      </c>
      <c r="AT352" cm="1">
        <f t="array" ref="AT352">IF(AS352=0,1E+99,_xlfn.SWITCH(LEFT($E$39,1),"1",AO352,"2",AP352*1000000000+AO352,"3",-AQ352,"4",AO352+AP352*25000+AR352*0.005-AQ352*0.0001,AO352))</f>
        <v>-981013.57673652703</v>
      </c>
    </row>
    <row r="353" spans="33:46" x14ac:dyDescent="0.55000000000000004">
      <c r="AG353">
        <f t="shared" si="42"/>
        <v>352</v>
      </c>
      <c r="AH353">
        <f t="shared" si="43"/>
        <v>0.5</v>
      </c>
      <c r="AI353">
        <f t="shared" si="44"/>
        <v>0.3</v>
      </c>
      <c r="AJ353">
        <f t="shared" si="45"/>
        <v>0.6</v>
      </c>
      <c r="AK353">
        <f t="shared" si="46"/>
        <v>21260.400000000001</v>
      </c>
      <c r="AL353">
        <f t="shared" si="47"/>
        <v>30372</v>
      </c>
      <c r="AM353">
        <f>MIN(MAX(0,$B$10-AL353)*AI353,'Retirement Gap'!$B$29)</f>
        <v>9111.6</v>
      </c>
      <c r="AN353">
        <f>IF($E$40="B - Withdrawals + Roth conversions",AJ353*MAX(0,MIN($B$47-AL353,MIN($B$59,IRMAA!$C$16)-(AL353+$B$8*0.85+AK353*$B$46))),0)</f>
        <v>0</v>
      </c>
      <c r="AO353" cm="1">
        <f t="array" ref="AO353">_xlfn.LET(_xlpm.N,$B$49,_xlpm.R,$B$48,_xlpm.Start,$B$47,_xlpm.PlanWD,AL353,_xlpm.PlanRoth,AM353,_xlpm.PlanConv,AN353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26643.760000000002</v>
      </c>
      <c r="AP353" cm="1">
        <f t="array" ref="AP353">_xlfn.LET(_xlpm.N,$B$49,_xlpm.R,$B$48,_xlpm.Start,$B$47,_xlpm.PlanWD,AL353,_xlpm.PlanRoth,AM353,_xlpm.PlanConv,AN353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353" cm="1">
        <f t="array" ref="AQ353">_xlfn.LET(_xlpm.N,$B$49,_xlpm.R,$B$48,_xlpm.Start,$B$47,_xlpm.PlanWD,AL353,_xlpm.PlanRoth,AM353,_xlpm.PlanConv,AN353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981013.57673652703</v>
      </c>
      <c r="AR353" cm="1">
        <f t="array" ref="AR353">_xlfn.LET(_xlpm.N,$B$49,_xlpm.R,$B$48,_xlpm.Start,$B$47,_xlpm.PlanWD,AL353,_xlpm.PlanRoth,AM353,_xlpm.PlanConv,AN353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1080553.2401009782</v>
      </c>
      <c r="AS353">
        <f>--AND(AK353&lt;=SUM('Retirement Gap'!$B$24:$B$25,'Retirement Gap'!$B$27),AL353+AN353&lt;=$B$47,AM353&lt;='Retirement Gap'!$B$29,ABS(AK353+AL353+AM353-$B$10)&lt;1)</f>
        <v>1</v>
      </c>
      <c r="AT353" cm="1">
        <f t="array" ref="AT353">IF(AS353=0,1E+99,_xlfn.SWITCH(LEFT($E$39,1),"1",AO353,"2",AP353*1000000000+AO353,"3",-AQ353,"4",AO353+AP353*25000+AR353*0.005-AQ353*0.0001,AO353))</f>
        <v>-981013.57673652703</v>
      </c>
    </row>
    <row r="354" spans="33:46" x14ac:dyDescent="0.55000000000000004">
      <c r="AG354">
        <f t="shared" si="42"/>
        <v>353</v>
      </c>
      <c r="AH354">
        <f t="shared" si="43"/>
        <v>0.5</v>
      </c>
      <c r="AI354">
        <f t="shared" si="44"/>
        <v>0.3</v>
      </c>
      <c r="AJ354">
        <f t="shared" si="45"/>
        <v>0.8</v>
      </c>
      <c r="AK354">
        <f t="shared" si="46"/>
        <v>21260.400000000001</v>
      </c>
      <c r="AL354">
        <f t="shared" si="47"/>
        <v>30372</v>
      </c>
      <c r="AM354">
        <f>MIN(MAX(0,$B$10-AL354)*AI354,'Retirement Gap'!$B$29)</f>
        <v>9111.6</v>
      </c>
      <c r="AN354">
        <f>IF($E$40="B - Withdrawals + Roth conversions",AJ354*MAX(0,MIN($B$47-AL354,MIN($B$59,IRMAA!$C$16)-(AL354+$B$8*0.85+AK354*$B$46))),0)</f>
        <v>0</v>
      </c>
      <c r="AO354" cm="1">
        <f t="array" ref="AO354">_xlfn.LET(_xlpm.N,$B$49,_xlpm.R,$B$48,_xlpm.Start,$B$47,_xlpm.PlanWD,AL354,_xlpm.PlanRoth,AM354,_xlpm.PlanConv,AN354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26643.760000000002</v>
      </c>
      <c r="AP354" cm="1">
        <f t="array" ref="AP354">_xlfn.LET(_xlpm.N,$B$49,_xlpm.R,$B$48,_xlpm.Start,$B$47,_xlpm.PlanWD,AL354,_xlpm.PlanRoth,AM354,_xlpm.PlanConv,AN354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354" cm="1">
        <f t="array" ref="AQ354">_xlfn.LET(_xlpm.N,$B$49,_xlpm.R,$B$48,_xlpm.Start,$B$47,_xlpm.PlanWD,AL354,_xlpm.PlanRoth,AM354,_xlpm.PlanConv,AN354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981013.57673652703</v>
      </c>
      <c r="AR354" cm="1">
        <f t="array" ref="AR354">_xlfn.LET(_xlpm.N,$B$49,_xlpm.R,$B$48,_xlpm.Start,$B$47,_xlpm.PlanWD,AL354,_xlpm.PlanRoth,AM354,_xlpm.PlanConv,AN354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1080553.2401009782</v>
      </c>
      <c r="AS354">
        <f>--AND(AK354&lt;=SUM('Retirement Gap'!$B$24:$B$25,'Retirement Gap'!$B$27),AL354+AN354&lt;=$B$47,AM354&lt;='Retirement Gap'!$B$29,ABS(AK354+AL354+AM354-$B$10)&lt;1)</f>
        <v>1</v>
      </c>
      <c r="AT354" cm="1">
        <f t="array" ref="AT354">IF(AS354=0,1E+99,_xlfn.SWITCH(LEFT($E$39,1),"1",AO354,"2",AP354*1000000000+AO354,"3",-AQ354,"4",AO354+AP354*25000+AR354*0.005-AQ354*0.0001,AO354))</f>
        <v>-981013.57673652703</v>
      </c>
    </row>
    <row r="355" spans="33:46" x14ac:dyDescent="0.55000000000000004">
      <c r="AG355">
        <f t="shared" si="42"/>
        <v>354</v>
      </c>
      <c r="AH355">
        <f t="shared" si="43"/>
        <v>0.5</v>
      </c>
      <c r="AI355">
        <f t="shared" si="44"/>
        <v>0.3</v>
      </c>
      <c r="AJ355">
        <f t="shared" si="45"/>
        <v>1</v>
      </c>
      <c r="AK355">
        <f t="shared" si="46"/>
        <v>21260.400000000001</v>
      </c>
      <c r="AL355">
        <f t="shared" si="47"/>
        <v>30372</v>
      </c>
      <c r="AM355">
        <f>MIN(MAX(0,$B$10-AL355)*AI355,'Retirement Gap'!$B$29)</f>
        <v>9111.6</v>
      </c>
      <c r="AN355">
        <f>IF($E$40="B - Withdrawals + Roth conversions",AJ355*MAX(0,MIN($B$47-AL355,MIN($B$59,IRMAA!$C$16)-(AL355+$B$8*0.85+AK355*$B$46))),0)</f>
        <v>0</v>
      </c>
      <c r="AO355" cm="1">
        <f t="array" ref="AO355">_xlfn.LET(_xlpm.N,$B$49,_xlpm.R,$B$48,_xlpm.Start,$B$47,_xlpm.PlanWD,AL355,_xlpm.PlanRoth,AM355,_xlpm.PlanConv,AN355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26643.760000000002</v>
      </c>
      <c r="AP355" cm="1">
        <f t="array" ref="AP355">_xlfn.LET(_xlpm.N,$B$49,_xlpm.R,$B$48,_xlpm.Start,$B$47,_xlpm.PlanWD,AL355,_xlpm.PlanRoth,AM355,_xlpm.PlanConv,AN355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355" cm="1">
        <f t="array" ref="AQ355">_xlfn.LET(_xlpm.N,$B$49,_xlpm.R,$B$48,_xlpm.Start,$B$47,_xlpm.PlanWD,AL355,_xlpm.PlanRoth,AM355,_xlpm.PlanConv,AN355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981013.57673652703</v>
      </c>
      <c r="AR355" cm="1">
        <f t="array" ref="AR355">_xlfn.LET(_xlpm.N,$B$49,_xlpm.R,$B$48,_xlpm.Start,$B$47,_xlpm.PlanWD,AL355,_xlpm.PlanRoth,AM355,_xlpm.PlanConv,AN355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1080553.2401009782</v>
      </c>
      <c r="AS355">
        <f>--AND(AK355&lt;=SUM('Retirement Gap'!$B$24:$B$25,'Retirement Gap'!$B$27),AL355+AN355&lt;=$B$47,AM355&lt;='Retirement Gap'!$B$29,ABS(AK355+AL355+AM355-$B$10)&lt;1)</f>
        <v>1</v>
      </c>
      <c r="AT355" cm="1">
        <f t="array" ref="AT355">IF(AS355=0,1E+99,_xlfn.SWITCH(LEFT($E$39,1),"1",AO355,"2",AP355*1000000000+AO355,"3",-AQ355,"4",AO355+AP355*25000+AR355*0.005-AQ355*0.0001,AO355))</f>
        <v>-981013.57673652703</v>
      </c>
    </row>
    <row r="356" spans="33:46" x14ac:dyDescent="0.55000000000000004">
      <c r="AG356">
        <f t="shared" si="42"/>
        <v>355</v>
      </c>
      <c r="AH356">
        <f t="shared" si="43"/>
        <v>0.5</v>
      </c>
      <c r="AI356">
        <f t="shared" si="44"/>
        <v>0.4</v>
      </c>
      <c r="AJ356">
        <f t="shared" si="45"/>
        <v>0</v>
      </c>
      <c r="AK356">
        <f t="shared" si="46"/>
        <v>19521.721633416484</v>
      </c>
      <c r="AL356">
        <f t="shared" si="47"/>
        <v>30372</v>
      </c>
      <c r="AM356">
        <f>MIN(MAX(0,$B$10-AL356)*AI356,'Retirement Gap'!$B$29)</f>
        <v>10850.278366583516</v>
      </c>
      <c r="AN356">
        <f>IF($E$40="B - Withdrawals + Roth conversions",AJ356*MAX(0,MIN($B$47-AL356,MIN($B$59,IRMAA!$C$16)-(AL356+$B$8*0.85+AK356*$B$46))),0)</f>
        <v>0</v>
      </c>
      <c r="AO356" cm="1">
        <f t="array" ref="AO356">_xlfn.LET(_xlpm.N,$B$49,_xlpm.R,$B$48,_xlpm.Start,$B$47,_xlpm.PlanWD,AL356,_xlpm.PlanRoth,AM356,_xlpm.PlanConv,AN356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26643.760000000002</v>
      </c>
      <c r="AP356" cm="1">
        <f t="array" ref="AP356">_xlfn.LET(_xlpm.N,$B$49,_xlpm.R,$B$48,_xlpm.Start,$B$47,_xlpm.PlanWD,AL356,_xlpm.PlanRoth,AM356,_xlpm.PlanConv,AN356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356" cm="1">
        <f t="array" ref="AQ356">_xlfn.LET(_xlpm.N,$B$49,_xlpm.R,$B$48,_xlpm.Start,$B$47,_xlpm.PlanWD,AL356,_xlpm.PlanRoth,AM356,_xlpm.PlanConv,AN356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981013.57673652703</v>
      </c>
      <c r="AR356" cm="1">
        <f t="array" ref="AR356">_xlfn.LET(_xlpm.N,$B$49,_xlpm.R,$B$48,_xlpm.Start,$B$47,_xlpm.PlanWD,AL356,_xlpm.PlanRoth,AM356,_xlpm.PlanConv,AN356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1080553.2401009782</v>
      </c>
      <c r="AS356">
        <f>--AND(AK356&lt;=SUM('Retirement Gap'!$B$24:$B$25,'Retirement Gap'!$B$27),AL356+AN356&lt;=$B$47,AM356&lt;='Retirement Gap'!$B$29,ABS(AK356+AL356+AM356-$B$10)&lt;1)</f>
        <v>1</v>
      </c>
      <c r="AT356" cm="1">
        <f t="array" ref="AT356">IF(AS356=0,1E+99,_xlfn.SWITCH(LEFT($E$39,1),"1",AO356,"2",AP356*1000000000+AO356,"3",-AQ356,"4",AO356+AP356*25000+AR356*0.005-AQ356*0.0001,AO356))</f>
        <v>-981013.57673652703</v>
      </c>
    </row>
    <row r="357" spans="33:46" x14ac:dyDescent="0.55000000000000004">
      <c r="AG357">
        <f t="shared" si="42"/>
        <v>356</v>
      </c>
      <c r="AH357">
        <f t="shared" si="43"/>
        <v>0.5</v>
      </c>
      <c r="AI357">
        <f t="shared" si="44"/>
        <v>0.4</v>
      </c>
      <c r="AJ357">
        <f t="shared" si="45"/>
        <v>0.2</v>
      </c>
      <c r="AK357">
        <f t="shared" si="46"/>
        <v>19521.721633416484</v>
      </c>
      <c r="AL357">
        <f t="shared" si="47"/>
        <v>30372</v>
      </c>
      <c r="AM357">
        <f>MIN(MAX(0,$B$10-AL357)*AI357,'Retirement Gap'!$B$29)</f>
        <v>10850.278366583516</v>
      </c>
      <c r="AN357">
        <f>IF($E$40="B - Withdrawals + Roth conversions",AJ357*MAX(0,MIN($B$47-AL357,MIN($B$59,IRMAA!$C$16)-(AL357+$B$8*0.85+AK357*$B$46))),0)</f>
        <v>0</v>
      </c>
      <c r="AO357" cm="1">
        <f t="array" ref="AO357">_xlfn.LET(_xlpm.N,$B$49,_xlpm.R,$B$48,_xlpm.Start,$B$47,_xlpm.PlanWD,AL357,_xlpm.PlanRoth,AM357,_xlpm.PlanConv,AN357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26643.760000000002</v>
      </c>
      <c r="AP357" cm="1">
        <f t="array" ref="AP357">_xlfn.LET(_xlpm.N,$B$49,_xlpm.R,$B$48,_xlpm.Start,$B$47,_xlpm.PlanWD,AL357,_xlpm.PlanRoth,AM357,_xlpm.PlanConv,AN357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357" cm="1">
        <f t="array" ref="AQ357">_xlfn.LET(_xlpm.N,$B$49,_xlpm.R,$B$48,_xlpm.Start,$B$47,_xlpm.PlanWD,AL357,_xlpm.PlanRoth,AM357,_xlpm.PlanConv,AN357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981013.57673652703</v>
      </c>
      <c r="AR357" cm="1">
        <f t="array" ref="AR357">_xlfn.LET(_xlpm.N,$B$49,_xlpm.R,$B$48,_xlpm.Start,$B$47,_xlpm.PlanWD,AL357,_xlpm.PlanRoth,AM357,_xlpm.PlanConv,AN357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1080553.2401009782</v>
      </c>
      <c r="AS357">
        <f>--AND(AK357&lt;=SUM('Retirement Gap'!$B$24:$B$25,'Retirement Gap'!$B$27),AL357+AN357&lt;=$B$47,AM357&lt;='Retirement Gap'!$B$29,ABS(AK357+AL357+AM357-$B$10)&lt;1)</f>
        <v>1</v>
      </c>
      <c r="AT357" cm="1">
        <f t="array" ref="AT357">IF(AS357=0,1E+99,_xlfn.SWITCH(LEFT($E$39,1),"1",AO357,"2",AP357*1000000000+AO357,"3",-AQ357,"4",AO357+AP357*25000+AR357*0.005-AQ357*0.0001,AO357))</f>
        <v>-981013.57673652703</v>
      </c>
    </row>
    <row r="358" spans="33:46" x14ac:dyDescent="0.55000000000000004">
      <c r="AG358">
        <f t="shared" si="42"/>
        <v>357</v>
      </c>
      <c r="AH358">
        <f t="shared" si="43"/>
        <v>0.5</v>
      </c>
      <c r="AI358">
        <f t="shared" si="44"/>
        <v>0.4</v>
      </c>
      <c r="AJ358">
        <f t="shared" si="45"/>
        <v>0.4</v>
      </c>
      <c r="AK358">
        <f t="shared" si="46"/>
        <v>19521.721633416484</v>
      </c>
      <c r="AL358">
        <f t="shared" si="47"/>
        <v>30372</v>
      </c>
      <c r="AM358">
        <f>MIN(MAX(0,$B$10-AL358)*AI358,'Retirement Gap'!$B$29)</f>
        <v>10850.278366583516</v>
      </c>
      <c r="AN358">
        <f>IF($E$40="B - Withdrawals + Roth conversions",AJ358*MAX(0,MIN($B$47-AL358,MIN($B$59,IRMAA!$C$16)-(AL358+$B$8*0.85+AK358*$B$46))),0)</f>
        <v>0</v>
      </c>
      <c r="AO358" cm="1">
        <f t="array" ref="AO358">_xlfn.LET(_xlpm.N,$B$49,_xlpm.R,$B$48,_xlpm.Start,$B$47,_xlpm.PlanWD,AL358,_xlpm.PlanRoth,AM358,_xlpm.PlanConv,AN358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26643.760000000002</v>
      </c>
      <c r="AP358" cm="1">
        <f t="array" ref="AP358">_xlfn.LET(_xlpm.N,$B$49,_xlpm.R,$B$48,_xlpm.Start,$B$47,_xlpm.PlanWD,AL358,_xlpm.PlanRoth,AM358,_xlpm.PlanConv,AN358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358" cm="1">
        <f t="array" ref="AQ358">_xlfn.LET(_xlpm.N,$B$49,_xlpm.R,$B$48,_xlpm.Start,$B$47,_xlpm.PlanWD,AL358,_xlpm.PlanRoth,AM358,_xlpm.PlanConv,AN358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981013.57673652703</v>
      </c>
      <c r="AR358" cm="1">
        <f t="array" ref="AR358">_xlfn.LET(_xlpm.N,$B$49,_xlpm.R,$B$48,_xlpm.Start,$B$47,_xlpm.PlanWD,AL358,_xlpm.PlanRoth,AM358,_xlpm.PlanConv,AN358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1080553.2401009782</v>
      </c>
      <c r="AS358">
        <f>--AND(AK358&lt;=SUM('Retirement Gap'!$B$24:$B$25,'Retirement Gap'!$B$27),AL358+AN358&lt;=$B$47,AM358&lt;='Retirement Gap'!$B$29,ABS(AK358+AL358+AM358-$B$10)&lt;1)</f>
        <v>1</v>
      </c>
      <c r="AT358" cm="1">
        <f t="array" ref="AT358">IF(AS358=0,1E+99,_xlfn.SWITCH(LEFT($E$39,1),"1",AO358,"2",AP358*1000000000+AO358,"3",-AQ358,"4",AO358+AP358*25000+AR358*0.005-AQ358*0.0001,AO358))</f>
        <v>-981013.57673652703</v>
      </c>
    </row>
    <row r="359" spans="33:46" x14ac:dyDescent="0.55000000000000004">
      <c r="AG359">
        <f t="shared" si="42"/>
        <v>358</v>
      </c>
      <c r="AH359">
        <f t="shared" si="43"/>
        <v>0.5</v>
      </c>
      <c r="AI359">
        <f t="shared" si="44"/>
        <v>0.4</v>
      </c>
      <c r="AJ359">
        <f t="shared" si="45"/>
        <v>0.6</v>
      </c>
      <c r="AK359">
        <f t="shared" si="46"/>
        <v>19521.721633416484</v>
      </c>
      <c r="AL359">
        <f t="shared" si="47"/>
        <v>30372</v>
      </c>
      <c r="AM359">
        <f>MIN(MAX(0,$B$10-AL359)*AI359,'Retirement Gap'!$B$29)</f>
        <v>10850.278366583516</v>
      </c>
      <c r="AN359">
        <f>IF($E$40="B - Withdrawals + Roth conversions",AJ359*MAX(0,MIN($B$47-AL359,MIN($B$59,IRMAA!$C$16)-(AL359+$B$8*0.85+AK359*$B$46))),0)</f>
        <v>0</v>
      </c>
      <c r="AO359" cm="1">
        <f t="array" ref="AO359">_xlfn.LET(_xlpm.N,$B$49,_xlpm.R,$B$48,_xlpm.Start,$B$47,_xlpm.PlanWD,AL359,_xlpm.PlanRoth,AM359,_xlpm.PlanConv,AN359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26643.760000000002</v>
      </c>
      <c r="AP359" cm="1">
        <f t="array" ref="AP359">_xlfn.LET(_xlpm.N,$B$49,_xlpm.R,$B$48,_xlpm.Start,$B$47,_xlpm.PlanWD,AL359,_xlpm.PlanRoth,AM359,_xlpm.PlanConv,AN359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359" cm="1">
        <f t="array" ref="AQ359">_xlfn.LET(_xlpm.N,$B$49,_xlpm.R,$B$48,_xlpm.Start,$B$47,_xlpm.PlanWD,AL359,_xlpm.PlanRoth,AM359,_xlpm.PlanConv,AN359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981013.57673652703</v>
      </c>
      <c r="AR359" cm="1">
        <f t="array" ref="AR359">_xlfn.LET(_xlpm.N,$B$49,_xlpm.R,$B$48,_xlpm.Start,$B$47,_xlpm.PlanWD,AL359,_xlpm.PlanRoth,AM359,_xlpm.PlanConv,AN359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1080553.2401009782</v>
      </c>
      <c r="AS359">
        <f>--AND(AK359&lt;=SUM('Retirement Gap'!$B$24:$B$25,'Retirement Gap'!$B$27),AL359+AN359&lt;=$B$47,AM359&lt;='Retirement Gap'!$B$29,ABS(AK359+AL359+AM359-$B$10)&lt;1)</f>
        <v>1</v>
      </c>
      <c r="AT359" cm="1">
        <f t="array" ref="AT359">IF(AS359=0,1E+99,_xlfn.SWITCH(LEFT($E$39,1),"1",AO359,"2",AP359*1000000000+AO359,"3",-AQ359,"4",AO359+AP359*25000+AR359*0.005-AQ359*0.0001,AO359))</f>
        <v>-981013.57673652703</v>
      </c>
    </row>
    <row r="360" spans="33:46" x14ac:dyDescent="0.55000000000000004">
      <c r="AG360">
        <f t="shared" si="42"/>
        <v>359</v>
      </c>
      <c r="AH360">
        <f t="shared" si="43"/>
        <v>0.5</v>
      </c>
      <c r="AI360">
        <f t="shared" si="44"/>
        <v>0.4</v>
      </c>
      <c r="AJ360">
        <f t="shared" si="45"/>
        <v>0.8</v>
      </c>
      <c r="AK360">
        <f t="shared" si="46"/>
        <v>19521.721633416484</v>
      </c>
      <c r="AL360">
        <f t="shared" si="47"/>
        <v>30372</v>
      </c>
      <c r="AM360">
        <f>MIN(MAX(0,$B$10-AL360)*AI360,'Retirement Gap'!$B$29)</f>
        <v>10850.278366583516</v>
      </c>
      <c r="AN360">
        <f>IF($E$40="B - Withdrawals + Roth conversions",AJ360*MAX(0,MIN($B$47-AL360,MIN($B$59,IRMAA!$C$16)-(AL360+$B$8*0.85+AK360*$B$46))),0)</f>
        <v>0</v>
      </c>
      <c r="AO360" cm="1">
        <f t="array" ref="AO360">_xlfn.LET(_xlpm.N,$B$49,_xlpm.R,$B$48,_xlpm.Start,$B$47,_xlpm.PlanWD,AL360,_xlpm.PlanRoth,AM360,_xlpm.PlanConv,AN360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26643.760000000002</v>
      </c>
      <c r="AP360" cm="1">
        <f t="array" ref="AP360">_xlfn.LET(_xlpm.N,$B$49,_xlpm.R,$B$48,_xlpm.Start,$B$47,_xlpm.PlanWD,AL360,_xlpm.PlanRoth,AM360,_xlpm.PlanConv,AN360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360" cm="1">
        <f t="array" ref="AQ360">_xlfn.LET(_xlpm.N,$B$49,_xlpm.R,$B$48,_xlpm.Start,$B$47,_xlpm.PlanWD,AL360,_xlpm.PlanRoth,AM360,_xlpm.PlanConv,AN360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981013.57673652703</v>
      </c>
      <c r="AR360" cm="1">
        <f t="array" ref="AR360">_xlfn.LET(_xlpm.N,$B$49,_xlpm.R,$B$48,_xlpm.Start,$B$47,_xlpm.PlanWD,AL360,_xlpm.PlanRoth,AM360,_xlpm.PlanConv,AN360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1080553.2401009782</v>
      </c>
      <c r="AS360">
        <f>--AND(AK360&lt;=SUM('Retirement Gap'!$B$24:$B$25,'Retirement Gap'!$B$27),AL360+AN360&lt;=$B$47,AM360&lt;='Retirement Gap'!$B$29,ABS(AK360+AL360+AM360-$B$10)&lt;1)</f>
        <v>1</v>
      </c>
      <c r="AT360" cm="1">
        <f t="array" ref="AT360">IF(AS360=0,1E+99,_xlfn.SWITCH(LEFT($E$39,1),"1",AO360,"2",AP360*1000000000+AO360,"3",-AQ360,"4",AO360+AP360*25000+AR360*0.005-AQ360*0.0001,AO360))</f>
        <v>-981013.57673652703</v>
      </c>
    </row>
    <row r="361" spans="33:46" x14ac:dyDescent="0.55000000000000004">
      <c r="AG361">
        <f t="shared" si="42"/>
        <v>360</v>
      </c>
      <c r="AH361">
        <f t="shared" si="43"/>
        <v>0.5</v>
      </c>
      <c r="AI361">
        <f t="shared" si="44"/>
        <v>0.4</v>
      </c>
      <c r="AJ361">
        <f t="shared" si="45"/>
        <v>1</v>
      </c>
      <c r="AK361">
        <f t="shared" si="46"/>
        <v>19521.721633416484</v>
      </c>
      <c r="AL361">
        <f t="shared" si="47"/>
        <v>30372</v>
      </c>
      <c r="AM361">
        <f>MIN(MAX(0,$B$10-AL361)*AI361,'Retirement Gap'!$B$29)</f>
        <v>10850.278366583516</v>
      </c>
      <c r="AN361">
        <f>IF($E$40="B - Withdrawals + Roth conversions",AJ361*MAX(0,MIN($B$47-AL361,MIN($B$59,IRMAA!$C$16)-(AL361+$B$8*0.85+AK361*$B$46))),0)</f>
        <v>0</v>
      </c>
      <c r="AO361" cm="1">
        <f t="array" ref="AO361">_xlfn.LET(_xlpm.N,$B$49,_xlpm.R,$B$48,_xlpm.Start,$B$47,_xlpm.PlanWD,AL361,_xlpm.PlanRoth,AM361,_xlpm.PlanConv,AN361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26643.760000000002</v>
      </c>
      <c r="AP361" cm="1">
        <f t="array" ref="AP361">_xlfn.LET(_xlpm.N,$B$49,_xlpm.R,$B$48,_xlpm.Start,$B$47,_xlpm.PlanWD,AL361,_xlpm.PlanRoth,AM361,_xlpm.PlanConv,AN361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361" cm="1">
        <f t="array" ref="AQ361">_xlfn.LET(_xlpm.N,$B$49,_xlpm.R,$B$48,_xlpm.Start,$B$47,_xlpm.PlanWD,AL361,_xlpm.PlanRoth,AM361,_xlpm.PlanConv,AN361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981013.57673652703</v>
      </c>
      <c r="AR361" cm="1">
        <f t="array" ref="AR361">_xlfn.LET(_xlpm.N,$B$49,_xlpm.R,$B$48,_xlpm.Start,$B$47,_xlpm.PlanWD,AL361,_xlpm.PlanRoth,AM361,_xlpm.PlanConv,AN361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1080553.2401009782</v>
      </c>
      <c r="AS361">
        <f>--AND(AK361&lt;=SUM('Retirement Gap'!$B$24:$B$25,'Retirement Gap'!$B$27),AL361+AN361&lt;=$B$47,AM361&lt;='Retirement Gap'!$B$29,ABS(AK361+AL361+AM361-$B$10)&lt;1)</f>
        <v>1</v>
      </c>
      <c r="AT361" cm="1">
        <f t="array" ref="AT361">IF(AS361=0,1E+99,_xlfn.SWITCH(LEFT($E$39,1),"1",AO361,"2",AP361*1000000000+AO361,"3",-AQ361,"4",AO361+AP361*25000+AR361*0.005-AQ361*0.0001,AO361))</f>
        <v>-981013.57673652703</v>
      </c>
    </row>
    <row r="362" spans="33:46" x14ac:dyDescent="0.55000000000000004">
      <c r="AG362">
        <f t="shared" si="42"/>
        <v>361</v>
      </c>
      <c r="AH362">
        <f t="shared" si="43"/>
        <v>0.5</v>
      </c>
      <c r="AI362">
        <f t="shared" si="44"/>
        <v>0.5</v>
      </c>
      <c r="AJ362">
        <f t="shared" si="45"/>
        <v>0</v>
      </c>
      <c r="AK362">
        <f t="shared" si="46"/>
        <v>19521.721633416484</v>
      </c>
      <c r="AL362">
        <f t="shared" si="47"/>
        <v>30372</v>
      </c>
      <c r="AM362">
        <f>MIN(MAX(0,$B$10-AL362)*AI362,'Retirement Gap'!$B$29)</f>
        <v>10850.278366583516</v>
      </c>
      <c r="AN362">
        <f>IF($E$40="B - Withdrawals + Roth conversions",AJ362*MAX(0,MIN($B$47-AL362,MIN($B$59,IRMAA!$C$16)-(AL362+$B$8*0.85+AK362*$B$46))),0)</f>
        <v>0</v>
      </c>
      <c r="AO362" cm="1">
        <f t="array" ref="AO362">_xlfn.LET(_xlpm.N,$B$49,_xlpm.R,$B$48,_xlpm.Start,$B$47,_xlpm.PlanWD,AL362,_xlpm.PlanRoth,AM362,_xlpm.PlanConv,AN362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26643.760000000002</v>
      </c>
      <c r="AP362" cm="1">
        <f t="array" ref="AP362">_xlfn.LET(_xlpm.N,$B$49,_xlpm.R,$B$48,_xlpm.Start,$B$47,_xlpm.PlanWD,AL362,_xlpm.PlanRoth,AM362,_xlpm.PlanConv,AN362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362" cm="1">
        <f t="array" ref="AQ362">_xlfn.LET(_xlpm.N,$B$49,_xlpm.R,$B$48,_xlpm.Start,$B$47,_xlpm.PlanWD,AL362,_xlpm.PlanRoth,AM362,_xlpm.PlanConv,AN362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981013.57673652703</v>
      </c>
      <c r="AR362" cm="1">
        <f t="array" ref="AR362">_xlfn.LET(_xlpm.N,$B$49,_xlpm.R,$B$48,_xlpm.Start,$B$47,_xlpm.PlanWD,AL362,_xlpm.PlanRoth,AM362,_xlpm.PlanConv,AN362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1080553.2401009782</v>
      </c>
      <c r="AS362">
        <f>--AND(AK362&lt;=SUM('Retirement Gap'!$B$24:$B$25,'Retirement Gap'!$B$27),AL362+AN362&lt;=$B$47,AM362&lt;='Retirement Gap'!$B$29,ABS(AK362+AL362+AM362-$B$10)&lt;1)</f>
        <v>1</v>
      </c>
      <c r="AT362" cm="1">
        <f t="array" ref="AT362">IF(AS362=0,1E+99,_xlfn.SWITCH(LEFT($E$39,1),"1",AO362,"2",AP362*1000000000+AO362,"3",-AQ362,"4",AO362+AP362*25000+AR362*0.005-AQ362*0.0001,AO362))</f>
        <v>-981013.57673652703</v>
      </c>
    </row>
    <row r="363" spans="33:46" x14ac:dyDescent="0.55000000000000004">
      <c r="AG363">
        <f t="shared" si="42"/>
        <v>362</v>
      </c>
      <c r="AH363">
        <f t="shared" si="43"/>
        <v>0.5</v>
      </c>
      <c r="AI363">
        <f t="shared" si="44"/>
        <v>0.5</v>
      </c>
      <c r="AJ363">
        <f t="shared" si="45"/>
        <v>0.2</v>
      </c>
      <c r="AK363">
        <f t="shared" si="46"/>
        <v>19521.721633416484</v>
      </c>
      <c r="AL363">
        <f t="shared" si="47"/>
        <v>30372</v>
      </c>
      <c r="AM363">
        <f>MIN(MAX(0,$B$10-AL363)*AI363,'Retirement Gap'!$B$29)</f>
        <v>10850.278366583516</v>
      </c>
      <c r="AN363">
        <f>IF($E$40="B - Withdrawals + Roth conversions",AJ363*MAX(0,MIN($B$47-AL363,MIN($B$59,IRMAA!$C$16)-(AL363+$B$8*0.85+AK363*$B$46))),0)</f>
        <v>0</v>
      </c>
      <c r="AO363" cm="1">
        <f t="array" ref="AO363">_xlfn.LET(_xlpm.N,$B$49,_xlpm.R,$B$48,_xlpm.Start,$B$47,_xlpm.PlanWD,AL363,_xlpm.PlanRoth,AM363,_xlpm.PlanConv,AN363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26643.760000000002</v>
      </c>
      <c r="AP363" cm="1">
        <f t="array" ref="AP363">_xlfn.LET(_xlpm.N,$B$49,_xlpm.R,$B$48,_xlpm.Start,$B$47,_xlpm.PlanWD,AL363,_xlpm.PlanRoth,AM363,_xlpm.PlanConv,AN363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363" cm="1">
        <f t="array" ref="AQ363">_xlfn.LET(_xlpm.N,$B$49,_xlpm.R,$B$48,_xlpm.Start,$B$47,_xlpm.PlanWD,AL363,_xlpm.PlanRoth,AM363,_xlpm.PlanConv,AN363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981013.57673652703</v>
      </c>
      <c r="AR363" cm="1">
        <f t="array" ref="AR363">_xlfn.LET(_xlpm.N,$B$49,_xlpm.R,$B$48,_xlpm.Start,$B$47,_xlpm.PlanWD,AL363,_xlpm.PlanRoth,AM363,_xlpm.PlanConv,AN363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1080553.2401009782</v>
      </c>
      <c r="AS363">
        <f>--AND(AK363&lt;=SUM('Retirement Gap'!$B$24:$B$25,'Retirement Gap'!$B$27),AL363+AN363&lt;=$B$47,AM363&lt;='Retirement Gap'!$B$29,ABS(AK363+AL363+AM363-$B$10)&lt;1)</f>
        <v>1</v>
      </c>
      <c r="AT363" cm="1">
        <f t="array" ref="AT363">IF(AS363=0,1E+99,_xlfn.SWITCH(LEFT($E$39,1),"1",AO363,"2",AP363*1000000000+AO363,"3",-AQ363,"4",AO363+AP363*25000+AR363*0.005-AQ363*0.0001,AO363))</f>
        <v>-981013.57673652703</v>
      </c>
    </row>
    <row r="364" spans="33:46" x14ac:dyDescent="0.55000000000000004">
      <c r="AG364">
        <f t="shared" si="42"/>
        <v>363</v>
      </c>
      <c r="AH364">
        <f t="shared" si="43"/>
        <v>0.5</v>
      </c>
      <c r="AI364">
        <f t="shared" si="44"/>
        <v>0.5</v>
      </c>
      <c r="AJ364">
        <f t="shared" si="45"/>
        <v>0.4</v>
      </c>
      <c r="AK364">
        <f t="shared" si="46"/>
        <v>19521.721633416484</v>
      </c>
      <c r="AL364">
        <f t="shared" si="47"/>
        <v>30372</v>
      </c>
      <c r="AM364">
        <f>MIN(MAX(0,$B$10-AL364)*AI364,'Retirement Gap'!$B$29)</f>
        <v>10850.278366583516</v>
      </c>
      <c r="AN364">
        <f>IF($E$40="B - Withdrawals + Roth conversions",AJ364*MAX(0,MIN($B$47-AL364,MIN($B$59,IRMAA!$C$16)-(AL364+$B$8*0.85+AK364*$B$46))),0)</f>
        <v>0</v>
      </c>
      <c r="AO364" cm="1">
        <f t="array" ref="AO364">_xlfn.LET(_xlpm.N,$B$49,_xlpm.R,$B$48,_xlpm.Start,$B$47,_xlpm.PlanWD,AL364,_xlpm.PlanRoth,AM364,_xlpm.PlanConv,AN364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26643.760000000002</v>
      </c>
      <c r="AP364" cm="1">
        <f t="array" ref="AP364">_xlfn.LET(_xlpm.N,$B$49,_xlpm.R,$B$48,_xlpm.Start,$B$47,_xlpm.PlanWD,AL364,_xlpm.PlanRoth,AM364,_xlpm.PlanConv,AN364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364" cm="1">
        <f t="array" ref="AQ364">_xlfn.LET(_xlpm.N,$B$49,_xlpm.R,$B$48,_xlpm.Start,$B$47,_xlpm.PlanWD,AL364,_xlpm.PlanRoth,AM364,_xlpm.PlanConv,AN364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981013.57673652703</v>
      </c>
      <c r="AR364" cm="1">
        <f t="array" ref="AR364">_xlfn.LET(_xlpm.N,$B$49,_xlpm.R,$B$48,_xlpm.Start,$B$47,_xlpm.PlanWD,AL364,_xlpm.PlanRoth,AM364,_xlpm.PlanConv,AN364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1080553.2401009782</v>
      </c>
      <c r="AS364">
        <f>--AND(AK364&lt;=SUM('Retirement Gap'!$B$24:$B$25,'Retirement Gap'!$B$27),AL364+AN364&lt;=$B$47,AM364&lt;='Retirement Gap'!$B$29,ABS(AK364+AL364+AM364-$B$10)&lt;1)</f>
        <v>1</v>
      </c>
      <c r="AT364" cm="1">
        <f t="array" ref="AT364">IF(AS364=0,1E+99,_xlfn.SWITCH(LEFT($E$39,1),"1",AO364,"2",AP364*1000000000+AO364,"3",-AQ364,"4",AO364+AP364*25000+AR364*0.005-AQ364*0.0001,AO364))</f>
        <v>-981013.57673652703</v>
      </c>
    </row>
    <row r="365" spans="33:46" x14ac:dyDescent="0.55000000000000004">
      <c r="AG365">
        <f t="shared" si="42"/>
        <v>364</v>
      </c>
      <c r="AH365">
        <f t="shared" si="43"/>
        <v>0.5</v>
      </c>
      <c r="AI365">
        <f t="shared" si="44"/>
        <v>0.5</v>
      </c>
      <c r="AJ365">
        <f t="shared" si="45"/>
        <v>0.6</v>
      </c>
      <c r="AK365">
        <f t="shared" si="46"/>
        <v>19521.721633416484</v>
      </c>
      <c r="AL365">
        <f t="shared" si="47"/>
        <v>30372</v>
      </c>
      <c r="AM365">
        <f>MIN(MAX(0,$B$10-AL365)*AI365,'Retirement Gap'!$B$29)</f>
        <v>10850.278366583516</v>
      </c>
      <c r="AN365">
        <f>IF($E$40="B - Withdrawals + Roth conversions",AJ365*MAX(0,MIN($B$47-AL365,MIN($B$59,IRMAA!$C$16)-(AL365+$B$8*0.85+AK365*$B$46))),0)</f>
        <v>0</v>
      </c>
      <c r="AO365" cm="1">
        <f t="array" ref="AO365">_xlfn.LET(_xlpm.N,$B$49,_xlpm.R,$B$48,_xlpm.Start,$B$47,_xlpm.PlanWD,AL365,_xlpm.PlanRoth,AM365,_xlpm.PlanConv,AN365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26643.760000000002</v>
      </c>
      <c r="AP365" cm="1">
        <f t="array" ref="AP365">_xlfn.LET(_xlpm.N,$B$49,_xlpm.R,$B$48,_xlpm.Start,$B$47,_xlpm.PlanWD,AL365,_xlpm.PlanRoth,AM365,_xlpm.PlanConv,AN365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365" cm="1">
        <f t="array" ref="AQ365">_xlfn.LET(_xlpm.N,$B$49,_xlpm.R,$B$48,_xlpm.Start,$B$47,_xlpm.PlanWD,AL365,_xlpm.PlanRoth,AM365,_xlpm.PlanConv,AN365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981013.57673652703</v>
      </c>
      <c r="AR365" cm="1">
        <f t="array" ref="AR365">_xlfn.LET(_xlpm.N,$B$49,_xlpm.R,$B$48,_xlpm.Start,$B$47,_xlpm.PlanWD,AL365,_xlpm.PlanRoth,AM365,_xlpm.PlanConv,AN365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1080553.2401009782</v>
      </c>
      <c r="AS365">
        <f>--AND(AK365&lt;=SUM('Retirement Gap'!$B$24:$B$25,'Retirement Gap'!$B$27),AL365+AN365&lt;=$B$47,AM365&lt;='Retirement Gap'!$B$29,ABS(AK365+AL365+AM365-$B$10)&lt;1)</f>
        <v>1</v>
      </c>
      <c r="AT365" cm="1">
        <f t="array" ref="AT365">IF(AS365=0,1E+99,_xlfn.SWITCH(LEFT($E$39,1),"1",AO365,"2",AP365*1000000000+AO365,"3",-AQ365,"4",AO365+AP365*25000+AR365*0.005-AQ365*0.0001,AO365))</f>
        <v>-981013.57673652703</v>
      </c>
    </row>
    <row r="366" spans="33:46" x14ac:dyDescent="0.55000000000000004">
      <c r="AG366">
        <f t="shared" si="42"/>
        <v>365</v>
      </c>
      <c r="AH366">
        <f t="shared" si="43"/>
        <v>0.5</v>
      </c>
      <c r="AI366">
        <f t="shared" si="44"/>
        <v>0.5</v>
      </c>
      <c r="AJ366">
        <f t="shared" si="45"/>
        <v>0.8</v>
      </c>
      <c r="AK366">
        <f t="shared" si="46"/>
        <v>19521.721633416484</v>
      </c>
      <c r="AL366">
        <f t="shared" si="47"/>
        <v>30372</v>
      </c>
      <c r="AM366">
        <f>MIN(MAX(0,$B$10-AL366)*AI366,'Retirement Gap'!$B$29)</f>
        <v>10850.278366583516</v>
      </c>
      <c r="AN366">
        <f>IF($E$40="B - Withdrawals + Roth conversions",AJ366*MAX(0,MIN($B$47-AL366,MIN($B$59,IRMAA!$C$16)-(AL366+$B$8*0.85+AK366*$B$46))),0)</f>
        <v>0</v>
      </c>
      <c r="AO366" cm="1">
        <f t="array" ref="AO366">_xlfn.LET(_xlpm.N,$B$49,_xlpm.R,$B$48,_xlpm.Start,$B$47,_xlpm.PlanWD,AL366,_xlpm.PlanRoth,AM366,_xlpm.PlanConv,AN366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26643.760000000002</v>
      </c>
      <c r="AP366" cm="1">
        <f t="array" ref="AP366">_xlfn.LET(_xlpm.N,$B$49,_xlpm.R,$B$48,_xlpm.Start,$B$47,_xlpm.PlanWD,AL366,_xlpm.PlanRoth,AM366,_xlpm.PlanConv,AN366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366" cm="1">
        <f t="array" ref="AQ366">_xlfn.LET(_xlpm.N,$B$49,_xlpm.R,$B$48,_xlpm.Start,$B$47,_xlpm.PlanWD,AL366,_xlpm.PlanRoth,AM366,_xlpm.PlanConv,AN366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981013.57673652703</v>
      </c>
      <c r="AR366" cm="1">
        <f t="array" ref="AR366">_xlfn.LET(_xlpm.N,$B$49,_xlpm.R,$B$48,_xlpm.Start,$B$47,_xlpm.PlanWD,AL366,_xlpm.PlanRoth,AM366,_xlpm.PlanConv,AN366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1080553.2401009782</v>
      </c>
      <c r="AS366">
        <f>--AND(AK366&lt;=SUM('Retirement Gap'!$B$24:$B$25,'Retirement Gap'!$B$27),AL366+AN366&lt;=$B$47,AM366&lt;='Retirement Gap'!$B$29,ABS(AK366+AL366+AM366-$B$10)&lt;1)</f>
        <v>1</v>
      </c>
      <c r="AT366" cm="1">
        <f t="array" ref="AT366">IF(AS366=0,1E+99,_xlfn.SWITCH(LEFT($E$39,1),"1",AO366,"2",AP366*1000000000+AO366,"3",-AQ366,"4",AO366+AP366*25000+AR366*0.005-AQ366*0.0001,AO366))</f>
        <v>-981013.57673652703</v>
      </c>
    </row>
    <row r="367" spans="33:46" x14ac:dyDescent="0.55000000000000004">
      <c r="AG367">
        <f t="shared" si="42"/>
        <v>366</v>
      </c>
      <c r="AH367">
        <f t="shared" si="43"/>
        <v>0.5</v>
      </c>
      <c r="AI367">
        <f t="shared" si="44"/>
        <v>0.5</v>
      </c>
      <c r="AJ367">
        <f t="shared" si="45"/>
        <v>1</v>
      </c>
      <c r="AK367">
        <f t="shared" si="46"/>
        <v>19521.721633416484</v>
      </c>
      <c r="AL367">
        <f t="shared" si="47"/>
        <v>30372</v>
      </c>
      <c r="AM367">
        <f>MIN(MAX(0,$B$10-AL367)*AI367,'Retirement Gap'!$B$29)</f>
        <v>10850.278366583516</v>
      </c>
      <c r="AN367">
        <f>IF($E$40="B - Withdrawals + Roth conversions",AJ367*MAX(0,MIN($B$47-AL367,MIN($B$59,IRMAA!$C$16)-(AL367+$B$8*0.85+AK367*$B$46))),0)</f>
        <v>0</v>
      </c>
      <c r="AO367" cm="1">
        <f t="array" ref="AO367">_xlfn.LET(_xlpm.N,$B$49,_xlpm.R,$B$48,_xlpm.Start,$B$47,_xlpm.PlanWD,AL367,_xlpm.PlanRoth,AM367,_xlpm.PlanConv,AN367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26643.760000000002</v>
      </c>
      <c r="AP367" cm="1">
        <f t="array" ref="AP367">_xlfn.LET(_xlpm.N,$B$49,_xlpm.R,$B$48,_xlpm.Start,$B$47,_xlpm.PlanWD,AL367,_xlpm.PlanRoth,AM367,_xlpm.PlanConv,AN367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367" cm="1">
        <f t="array" ref="AQ367">_xlfn.LET(_xlpm.N,$B$49,_xlpm.R,$B$48,_xlpm.Start,$B$47,_xlpm.PlanWD,AL367,_xlpm.PlanRoth,AM367,_xlpm.PlanConv,AN367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981013.57673652703</v>
      </c>
      <c r="AR367" cm="1">
        <f t="array" ref="AR367">_xlfn.LET(_xlpm.N,$B$49,_xlpm.R,$B$48,_xlpm.Start,$B$47,_xlpm.PlanWD,AL367,_xlpm.PlanRoth,AM367,_xlpm.PlanConv,AN367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1080553.2401009782</v>
      </c>
      <c r="AS367">
        <f>--AND(AK367&lt;=SUM('Retirement Gap'!$B$24:$B$25,'Retirement Gap'!$B$27),AL367+AN367&lt;=$B$47,AM367&lt;='Retirement Gap'!$B$29,ABS(AK367+AL367+AM367-$B$10)&lt;1)</f>
        <v>1</v>
      </c>
      <c r="AT367" cm="1">
        <f t="array" ref="AT367">IF(AS367=0,1E+99,_xlfn.SWITCH(LEFT($E$39,1),"1",AO367,"2",AP367*1000000000+AO367,"3",-AQ367,"4",AO367+AP367*25000+AR367*0.005-AQ367*0.0001,AO367))</f>
        <v>-981013.57673652703</v>
      </c>
    </row>
    <row r="368" spans="33:46" x14ac:dyDescent="0.55000000000000004">
      <c r="AG368">
        <f t="shared" si="42"/>
        <v>367</v>
      </c>
      <c r="AH368">
        <f t="shared" si="43"/>
        <v>0.5</v>
      </c>
      <c r="AI368">
        <f t="shared" si="44"/>
        <v>0.6</v>
      </c>
      <c r="AJ368">
        <f t="shared" si="45"/>
        <v>0</v>
      </c>
      <c r="AK368">
        <f t="shared" si="46"/>
        <v>19521.721633416484</v>
      </c>
      <c r="AL368">
        <f t="shared" si="47"/>
        <v>30372</v>
      </c>
      <c r="AM368">
        <f>MIN(MAX(0,$B$10-AL368)*AI368,'Retirement Gap'!$B$29)</f>
        <v>10850.278366583516</v>
      </c>
      <c r="AN368">
        <f>IF($E$40="B - Withdrawals + Roth conversions",AJ368*MAX(0,MIN($B$47-AL368,MIN($B$59,IRMAA!$C$16)-(AL368+$B$8*0.85+AK368*$B$46))),0)</f>
        <v>0</v>
      </c>
      <c r="AO368" cm="1">
        <f t="array" ref="AO368">_xlfn.LET(_xlpm.N,$B$49,_xlpm.R,$B$48,_xlpm.Start,$B$47,_xlpm.PlanWD,AL368,_xlpm.PlanRoth,AM368,_xlpm.PlanConv,AN368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26643.760000000002</v>
      </c>
      <c r="AP368" cm="1">
        <f t="array" ref="AP368">_xlfn.LET(_xlpm.N,$B$49,_xlpm.R,$B$48,_xlpm.Start,$B$47,_xlpm.PlanWD,AL368,_xlpm.PlanRoth,AM368,_xlpm.PlanConv,AN368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368" cm="1">
        <f t="array" ref="AQ368">_xlfn.LET(_xlpm.N,$B$49,_xlpm.R,$B$48,_xlpm.Start,$B$47,_xlpm.PlanWD,AL368,_xlpm.PlanRoth,AM368,_xlpm.PlanConv,AN368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981013.57673652703</v>
      </c>
      <c r="AR368" cm="1">
        <f t="array" ref="AR368">_xlfn.LET(_xlpm.N,$B$49,_xlpm.R,$B$48,_xlpm.Start,$B$47,_xlpm.PlanWD,AL368,_xlpm.PlanRoth,AM368,_xlpm.PlanConv,AN368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1080553.2401009782</v>
      </c>
      <c r="AS368">
        <f>--AND(AK368&lt;=SUM('Retirement Gap'!$B$24:$B$25,'Retirement Gap'!$B$27),AL368+AN368&lt;=$B$47,AM368&lt;='Retirement Gap'!$B$29,ABS(AK368+AL368+AM368-$B$10)&lt;1)</f>
        <v>1</v>
      </c>
      <c r="AT368" cm="1">
        <f t="array" ref="AT368">IF(AS368=0,1E+99,_xlfn.SWITCH(LEFT($E$39,1),"1",AO368,"2",AP368*1000000000+AO368,"3",-AQ368,"4",AO368+AP368*25000+AR368*0.005-AQ368*0.0001,AO368))</f>
        <v>-981013.57673652703</v>
      </c>
    </row>
    <row r="369" spans="33:46" x14ac:dyDescent="0.55000000000000004">
      <c r="AG369">
        <f t="shared" si="42"/>
        <v>368</v>
      </c>
      <c r="AH369">
        <f t="shared" si="43"/>
        <v>0.5</v>
      </c>
      <c r="AI369">
        <f t="shared" si="44"/>
        <v>0.6</v>
      </c>
      <c r="AJ369">
        <f t="shared" si="45"/>
        <v>0.2</v>
      </c>
      <c r="AK369">
        <f t="shared" si="46"/>
        <v>19521.721633416484</v>
      </c>
      <c r="AL369">
        <f t="shared" si="47"/>
        <v>30372</v>
      </c>
      <c r="AM369">
        <f>MIN(MAX(0,$B$10-AL369)*AI369,'Retirement Gap'!$B$29)</f>
        <v>10850.278366583516</v>
      </c>
      <c r="AN369">
        <f>IF($E$40="B - Withdrawals + Roth conversions",AJ369*MAX(0,MIN($B$47-AL369,MIN($B$59,IRMAA!$C$16)-(AL369+$B$8*0.85+AK369*$B$46))),0)</f>
        <v>0</v>
      </c>
      <c r="AO369" cm="1">
        <f t="array" ref="AO369">_xlfn.LET(_xlpm.N,$B$49,_xlpm.R,$B$48,_xlpm.Start,$B$47,_xlpm.PlanWD,AL369,_xlpm.PlanRoth,AM369,_xlpm.PlanConv,AN369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26643.760000000002</v>
      </c>
      <c r="AP369" cm="1">
        <f t="array" ref="AP369">_xlfn.LET(_xlpm.N,$B$49,_xlpm.R,$B$48,_xlpm.Start,$B$47,_xlpm.PlanWD,AL369,_xlpm.PlanRoth,AM369,_xlpm.PlanConv,AN369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369" cm="1">
        <f t="array" ref="AQ369">_xlfn.LET(_xlpm.N,$B$49,_xlpm.R,$B$48,_xlpm.Start,$B$47,_xlpm.PlanWD,AL369,_xlpm.PlanRoth,AM369,_xlpm.PlanConv,AN369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981013.57673652703</v>
      </c>
      <c r="AR369" cm="1">
        <f t="array" ref="AR369">_xlfn.LET(_xlpm.N,$B$49,_xlpm.R,$B$48,_xlpm.Start,$B$47,_xlpm.PlanWD,AL369,_xlpm.PlanRoth,AM369,_xlpm.PlanConv,AN369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1080553.2401009782</v>
      </c>
      <c r="AS369">
        <f>--AND(AK369&lt;=SUM('Retirement Gap'!$B$24:$B$25,'Retirement Gap'!$B$27),AL369+AN369&lt;=$B$47,AM369&lt;='Retirement Gap'!$B$29,ABS(AK369+AL369+AM369-$B$10)&lt;1)</f>
        <v>1</v>
      </c>
      <c r="AT369" cm="1">
        <f t="array" ref="AT369">IF(AS369=0,1E+99,_xlfn.SWITCH(LEFT($E$39,1),"1",AO369,"2",AP369*1000000000+AO369,"3",-AQ369,"4",AO369+AP369*25000+AR369*0.005-AQ369*0.0001,AO369))</f>
        <v>-981013.57673652703</v>
      </c>
    </row>
    <row r="370" spans="33:46" x14ac:dyDescent="0.55000000000000004">
      <c r="AG370">
        <f t="shared" si="42"/>
        <v>369</v>
      </c>
      <c r="AH370">
        <f t="shared" si="43"/>
        <v>0.5</v>
      </c>
      <c r="AI370">
        <f t="shared" si="44"/>
        <v>0.6</v>
      </c>
      <c r="AJ370">
        <f t="shared" si="45"/>
        <v>0.4</v>
      </c>
      <c r="AK370">
        <f t="shared" si="46"/>
        <v>19521.721633416484</v>
      </c>
      <c r="AL370">
        <f t="shared" si="47"/>
        <v>30372</v>
      </c>
      <c r="AM370">
        <f>MIN(MAX(0,$B$10-AL370)*AI370,'Retirement Gap'!$B$29)</f>
        <v>10850.278366583516</v>
      </c>
      <c r="AN370">
        <f>IF($E$40="B - Withdrawals + Roth conversions",AJ370*MAX(0,MIN($B$47-AL370,MIN($B$59,IRMAA!$C$16)-(AL370+$B$8*0.85+AK370*$B$46))),0)</f>
        <v>0</v>
      </c>
      <c r="AO370" cm="1">
        <f t="array" ref="AO370">_xlfn.LET(_xlpm.N,$B$49,_xlpm.R,$B$48,_xlpm.Start,$B$47,_xlpm.PlanWD,AL370,_xlpm.PlanRoth,AM370,_xlpm.PlanConv,AN370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26643.760000000002</v>
      </c>
      <c r="AP370" cm="1">
        <f t="array" ref="AP370">_xlfn.LET(_xlpm.N,$B$49,_xlpm.R,$B$48,_xlpm.Start,$B$47,_xlpm.PlanWD,AL370,_xlpm.PlanRoth,AM370,_xlpm.PlanConv,AN370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370" cm="1">
        <f t="array" ref="AQ370">_xlfn.LET(_xlpm.N,$B$49,_xlpm.R,$B$48,_xlpm.Start,$B$47,_xlpm.PlanWD,AL370,_xlpm.PlanRoth,AM370,_xlpm.PlanConv,AN370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981013.57673652703</v>
      </c>
      <c r="AR370" cm="1">
        <f t="array" ref="AR370">_xlfn.LET(_xlpm.N,$B$49,_xlpm.R,$B$48,_xlpm.Start,$B$47,_xlpm.PlanWD,AL370,_xlpm.PlanRoth,AM370,_xlpm.PlanConv,AN370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1080553.2401009782</v>
      </c>
      <c r="AS370">
        <f>--AND(AK370&lt;=SUM('Retirement Gap'!$B$24:$B$25,'Retirement Gap'!$B$27),AL370+AN370&lt;=$B$47,AM370&lt;='Retirement Gap'!$B$29,ABS(AK370+AL370+AM370-$B$10)&lt;1)</f>
        <v>1</v>
      </c>
      <c r="AT370" cm="1">
        <f t="array" ref="AT370">IF(AS370=0,1E+99,_xlfn.SWITCH(LEFT($E$39,1),"1",AO370,"2",AP370*1000000000+AO370,"3",-AQ370,"4",AO370+AP370*25000+AR370*0.005-AQ370*0.0001,AO370))</f>
        <v>-981013.57673652703</v>
      </c>
    </row>
    <row r="371" spans="33:46" x14ac:dyDescent="0.55000000000000004">
      <c r="AG371">
        <f t="shared" si="42"/>
        <v>370</v>
      </c>
      <c r="AH371">
        <f t="shared" si="43"/>
        <v>0.5</v>
      </c>
      <c r="AI371">
        <f t="shared" si="44"/>
        <v>0.6</v>
      </c>
      <c r="AJ371">
        <f t="shared" si="45"/>
        <v>0.6</v>
      </c>
      <c r="AK371">
        <f t="shared" si="46"/>
        <v>19521.721633416484</v>
      </c>
      <c r="AL371">
        <f t="shared" si="47"/>
        <v>30372</v>
      </c>
      <c r="AM371">
        <f>MIN(MAX(0,$B$10-AL371)*AI371,'Retirement Gap'!$B$29)</f>
        <v>10850.278366583516</v>
      </c>
      <c r="AN371">
        <f>IF($E$40="B - Withdrawals + Roth conversions",AJ371*MAX(0,MIN($B$47-AL371,MIN($B$59,IRMAA!$C$16)-(AL371+$B$8*0.85+AK371*$B$46))),0)</f>
        <v>0</v>
      </c>
      <c r="AO371" cm="1">
        <f t="array" ref="AO371">_xlfn.LET(_xlpm.N,$B$49,_xlpm.R,$B$48,_xlpm.Start,$B$47,_xlpm.PlanWD,AL371,_xlpm.PlanRoth,AM371,_xlpm.PlanConv,AN371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26643.760000000002</v>
      </c>
      <c r="AP371" cm="1">
        <f t="array" ref="AP371">_xlfn.LET(_xlpm.N,$B$49,_xlpm.R,$B$48,_xlpm.Start,$B$47,_xlpm.PlanWD,AL371,_xlpm.PlanRoth,AM371,_xlpm.PlanConv,AN371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371" cm="1">
        <f t="array" ref="AQ371">_xlfn.LET(_xlpm.N,$B$49,_xlpm.R,$B$48,_xlpm.Start,$B$47,_xlpm.PlanWD,AL371,_xlpm.PlanRoth,AM371,_xlpm.PlanConv,AN371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981013.57673652703</v>
      </c>
      <c r="AR371" cm="1">
        <f t="array" ref="AR371">_xlfn.LET(_xlpm.N,$B$49,_xlpm.R,$B$48,_xlpm.Start,$B$47,_xlpm.PlanWD,AL371,_xlpm.PlanRoth,AM371,_xlpm.PlanConv,AN371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1080553.2401009782</v>
      </c>
      <c r="AS371">
        <f>--AND(AK371&lt;=SUM('Retirement Gap'!$B$24:$B$25,'Retirement Gap'!$B$27),AL371+AN371&lt;=$B$47,AM371&lt;='Retirement Gap'!$B$29,ABS(AK371+AL371+AM371-$B$10)&lt;1)</f>
        <v>1</v>
      </c>
      <c r="AT371" cm="1">
        <f t="array" ref="AT371">IF(AS371=0,1E+99,_xlfn.SWITCH(LEFT($E$39,1),"1",AO371,"2",AP371*1000000000+AO371,"3",-AQ371,"4",AO371+AP371*25000+AR371*0.005-AQ371*0.0001,AO371))</f>
        <v>-981013.57673652703</v>
      </c>
    </row>
    <row r="372" spans="33:46" x14ac:dyDescent="0.55000000000000004">
      <c r="AG372">
        <f t="shared" si="42"/>
        <v>371</v>
      </c>
      <c r="AH372">
        <f t="shared" si="43"/>
        <v>0.5</v>
      </c>
      <c r="AI372">
        <f t="shared" si="44"/>
        <v>0.6</v>
      </c>
      <c r="AJ372">
        <f t="shared" si="45"/>
        <v>0.8</v>
      </c>
      <c r="AK372">
        <f t="shared" si="46"/>
        <v>19521.721633416484</v>
      </c>
      <c r="AL372">
        <f t="shared" si="47"/>
        <v>30372</v>
      </c>
      <c r="AM372">
        <f>MIN(MAX(0,$B$10-AL372)*AI372,'Retirement Gap'!$B$29)</f>
        <v>10850.278366583516</v>
      </c>
      <c r="AN372">
        <f>IF($E$40="B - Withdrawals + Roth conversions",AJ372*MAX(0,MIN($B$47-AL372,MIN($B$59,IRMAA!$C$16)-(AL372+$B$8*0.85+AK372*$B$46))),0)</f>
        <v>0</v>
      </c>
      <c r="AO372" cm="1">
        <f t="array" ref="AO372">_xlfn.LET(_xlpm.N,$B$49,_xlpm.R,$B$48,_xlpm.Start,$B$47,_xlpm.PlanWD,AL372,_xlpm.PlanRoth,AM372,_xlpm.PlanConv,AN372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26643.760000000002</v>
      </c>
      <c r="AP372" cm="1">
        <f t="array" ref="AP372">_xlfn.LET(_xlpm.N,$B$49,_xlpm.R,$B$48,_xlpm.Start,$B$47,_xlpm.PlanWD,AL372,_xlpm.PlanRoth,AM372,_xlpm.PlanConv,AN372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372" cm="1">
        <f t="array" ref="AQ372">_xlfn.LET(_xlpm.N,$B$49,_xlpm.R,$B$48,_xlpm.Start,$B$47,_xlpm.PlanWD,AL372,_xlpm.PlanRoth,AM372,_xlpm.PlanConv,AN372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981013.57673652703</v>
      </c>
      <c r="AR372" cm="1">
        <f t="array" ref="AR372">_xlfn.LET(_xlpm.N,$B$49,_xlpm.R,$B$48,_xlpm.Start,$B$47,_xlpm.PlanWD,AL372,_xlpm.PlanRoth,AM372,_xlpm.PlanConv,AN372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1080553.2401009782</v>
      </c>
      <c r="AS372">
        <f>--AND(AK372&lt;=SUM('Retirement Gap'!$B$24:$B$25,'Retirement Gap'!$B$27),AL372+AN372&lt;=$B$47,AM372&lt;='Retirement Gap'!$B$29,ABS(AK372+AL372+AM372-$B$10)&lt;1)</f>
        <v>1</v>
      </c>
      <c r="AT372" cm="1">
        <f t="array" ref="AT372">IF(AS372=0,1E+99,_xlfn.SWITCH(LEFT($E$39,1),"1",AO372,"2",AP372*1000000000+AO372,"3",-AQ372,"4",AO372+AP372*25000+AR372*0.005-AQ372*0.0001,AO372))</f>
        <v>-981013.57673652703</v>
      </c>
    </row>
    <row r="373" spans="33:46" x14ac:dyDescent="0.55000000000000004">
      <c r="AG373">
        <f t="shared" si="42"/>
        <v>372</v>
      </c>
      <c r="AH373">
        <f t="shared" si="43"/>
        <v>0.5</v>
      </c>
      <c r="AI373">
        <f t="shared" si="44"/>
        <v>0.6</v>
      </c>
      <c r="AJ373">
        <f t="shared" si="45"/>
        <v>1</v>
      </c>
      <c r="AK373">
        <f t="shared" si="46"/>
        <v>19521.721633416484</v>
      </c>
      <c r="AL373">
        <f t="shared" si="47"/>
        <v>30372</v>
      </c>
      <c r="AM373">
        <f>MIN(MAX(0,$B$10-AL373)*AI373,'Retirement Gap'!$B$29)</f>
        <v>10850.278366583516</v>
      </c>
      <c r="AN373">
        <f>IF($E$40="B - Withdrawals + Roth conversions",AJ373*MAX(0,MIN($B$47-AL373,MIN($B$59,IRMAA!$C$16)-(AL373+$B$8*0.85+AK373*$B$46))),0)</f>
        <v>0</v>
      </c>
      <c r="AO373" cm="1">
        <f t="array" ref="AO373">_xlfn.LET(_xlpm.N,$B$49,_xlpm.R,$B$48,_xlpm.Start,$B$47,_xlpm.PlanWD,AL373,_xlpm.PlanRoth,AM373,_xlpm.PlanConv,AN373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26643.760000000002</v>
      </c>
      <c r="AP373" cm="1">
        <f t="array" ref="AP373">_xlfn.LET(_xlpm.N,$B$49,_xlpm.R,$B$48,_xlpm.Start,$B$47,_xlpm.PlanWD,AL373,_xlpm.PlanRoth,AM373,_xlpm.PlanConv,AN373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373" cm="1">
        <f t="array" ref="AQ373">_xlfn.LET(_xlpm.N,$B$49,_xlpm.R,$B$48,_xlpm.Start,$B$47,_xlpm.PlanWD,AL373,_xlpm.PlanRoth,AM373,_xlpm.PlanConv,AN373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981013.57673652703</v>
      </c>
      <c r="AR373" cm="1">
        <f t="array" ref="AR373">_xlfn.LET(_xlpm.N,$B$49,_xlpm.R,$B$48,_xlpm.Start,$B$47,_xlpm.PlanWD,AL373,_xlpm.PlanRoth,AM373,_xlpm.PlanConv,AN373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1080553.2401009782</v>
      </c>
      <c r="AS373">
        <f>--AND(AK373&lt;=SUM('Retirement Gap'!$B$24:$B$25,'Retirement Gap'!$B$27),AL373+AN373&lt;=$B$47,AM373&lt;='Retirement Gap'!$B$29,ABS(AK373+AL373+AM373-$B$10)&lt;1)</f>
        <v>1</v>
      </c>
      <c r="AT373" cm="1">
        <f t="array" ref="AT373">IF(AS373=0,1E+99,_xlfn.SWITCH(LEFT($E$39,1),"1",AO373,"2",AP373*1000000000+AO373,"3",-AQ373,"4",AO373+AP373*25000+AR373*0.005-AQ373*0.0001,AO373))</f>
        <v>-981013.57673652703</v>
      </c>
    </row>
    <row r="374" spans="33:46" x14ac:dyDescent="0.55000000000000004">
      <c r="AG374">
        <f t="shared" si="42"/>
        <v>373</v>
      </c>
      <c r="AH374">
        <f t="shared" si="43"/>
        <v>0.5</v>
      </c>
      <c r="AI374">
        <f t="shared" si="44"/>
        <v>0.7</v>
      </c>
      <c r="AJ374">
        <f t="shared" si="45"/>
        <v>0</v>
      </c>
      <c r="AK374">
        <f t="shared" si="46"/>
        <v>19521.721633416484</v>
      </c>
      <c r="AL374">
        <f t="shared" si="47"/>
        <v>30372</v>
      </c>
      <c r="AM374">
        <f>MIN(MAX(0,$B$10-AL374)*AI374,'Retirement Gap'!$B$29)</f>
        <v>10850.278366583516</v>
      </c>
      <c r="AN374">
        <f>IF($E$40="B - Withdrawals + Roth conversions",AJ374*MAX(0,MIN($B$47-AL374,MIN($B$59,IRMAA!$C$16)-(AL374+$B$8*0.85+AK374*$B$46))),0)</f>
        <v>0</v>
      </c>
      <c r="AO374" cm="1">
        <f t="array" ref="AO374">_xlfn.LET(_xlpm.N,$B$49,_xlpm.R,$B$48,_xlpm.Start,$B$47,_xlpm.PlanWD,AL374,_xlpm.PlanRoth,AM374,_xlpm.PlanConv,AN374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26643.760000000002</v>
      </c>
      <c r="AP374" cm="1">
        <f t="array" ref="AP374">_xlfn.LET(_xlpm.N,$B$49,_xlpm.R,$B$48,_xlpm.Start,$B$47,_xlpm.PlanWD,AL374,_xlpm.PlanRoth,AM374,_xlpm.PlanConv,AN374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374" cm="1">
        <f t="array" ref="AQ374">_xlfn.LET(_xlpm.N,$B$49,_xlpm.R,$B$48,_xlpm.Start,$B$47,_xlpm.PlanWD,AL374,_xlpm.PlanRoth,AM374,_xlpm.PlanConv,AN374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981013.57673652703</v>
      </c>
      <c r="AR374" cm="1">
        <f t="array" ref="AR374">_xlfn.LET(_xlpm.N,$B$49,_xlpm.R,$B$48,_xlpm.Start,$B$47,_xlpm.PlanWD,AL374,_xlpm.PlanRoth,AM374,_xlpm.PlanConv,AN374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1080553.2401009782</v>
      </c>
      <c r="AS374">
        <f>--AND(AK374&lt;=SUM('Retirement Gap'!$B$24:$B$25,'Retirement Gap'!$B$27),AL374+AN374&lt;=$B$47,AM374&lt;='Retirement Gap'!$B$29,ABS(AK374+AL374+AM374-$B$10)&lt;1)</f>
        <v>1</v>
      </c>
      <c r="AT374" cm="1">
        <f t="array" ref="AT374">IF(AS374=0,1E+99,_xlfn.SWITCH(LEFT($E$39,1),"1",AO374,"2",AP374*1000000000+AO374,"3",-AQ374,"4",AO374+AP374*25000+AR374*0.005-AQ374*0.0001,AO374))</f>
        <v>-981013.57673652703</v>
      </c>
    </row>
    <row r="375" spans="33:46" x14ac:dyDescent="0.55000000000000004">
      <c r="AG375">
        <f t="shared" si="42"/>
        <v>374</v>
      </c>
      <c r="AH375">
        <f t="shared" si="43"/>
        <v>0.5</v>
      </c>
      <c r="AI375">
        <f t="shared" si="44"/>
        <v>0.7</v>
      </c>
      <c r="AJ375">
        <f t="shared" si="45"/>
        <v>0.2</v>
      </c>
      <c r="AK375">
        <f t="shared" si="46"/>
        <v>19521.721633416484</v>
      </c>
      <c r="AL375">
        <f t="shared" si="47"/>
        <v>30372</v>
      </c>
      <c r="AM375">
        <f>MIN(MAX(0,$B$10-AL375)*AI375,'Retirement Gap'!$B$29)</f>
        <v>10850.278366583516</v>
      </c>
      <c r="AN375">
        <f>IF($E$40="B - Withdrawals + Roth conversions",AJ375*MAX(0,MIN($B$47-AL375,MIN($B$59,IRMAA!$C$16)-(AL375+$B$8*0.85+AK375*$B$46))),0)</f>
        <v>0</v>
      </c>
      <c r="AO375" cm="1">
        <f t="array" ref="AO375">_xlfn.LET(_xlpm.N,$B$49,_xlpm.R,$B$48,_xlpm.Start,$B$47,_xlpm.PlanWD,AL375,_xlpm.PlanRoth,AM375,_xlpm.PlanConv,AN375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26643.760000000002</v>
      </c>
      <c r="AP375" cm="1">
        <f t="array" ref="AP375">_xlfn.LET(_xlpm.N,$B$49,_xlpm.R,$B$48,_xlpm.Start,$B$47,_xlpm.PlanWD,AL375,_xlpm.PlanRoth,AM375,_xlpm.PlanConv,AN375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375" cm="1">
        <f t="array" ref="AQ375">_xlfn.LET(_xlpm.N,$B$49,_xlpm.R,$B$48,_xlpm.Start,$B$47,_xlpm.PlanWD,AL375,_xlpm.PlanRoth,AM375,_xlpm.PlanConv,AN375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981013.57673652703</v>
      </c>
      <c r="AR375" cm="1">
        <f t="array" ref="AR375">_xlfn.LET(_xlpm.N,$B$49,_xlpm.R,$B$48,_xlpm.Start,$B$47,_xlpm.PlanWD,AL375,_xlpm.PlanRoth,AM375,_xlpm.PlanConv,AN375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1080553.2401009782</v>
      </c>
      <c r="AS375">
        <f>--AND(AK375&lt;=SUM('Retirement Gap'!$B$24:$B$25,'Retirement Gap'!$B$27),AL375+AN375&lt;=$B$47,AM375&lt;='Retirement Gap'!$B$29,ABS(AK375+AL375+AM375-$B$10)&lt;1)</f>
        <v>1</v>
      </c>
      <c r="AT375" cm="1">
        <f t="array" ref="AT375">IF(AS375=0,1E+99,_xlfn.SWITCH(LEFT($E$39,1),"1",AO375,"2",AP375*1000000000+AO375,"3",-AQ375,"4",AO375+AP375*25000+AR375*0.005-AQ375*0.0001,AO375))</f>
        <v>-981013.57673652703</v>
      </c>
    </row>
    <row r="376" spans="33:46" x14ac:dyDescent="0.55000000000000004">
      <c r="AG376">
        <f t="shared" si="42"/>
        <v>375</v>
      </c>
      <c r="AH376">
        <f t="shared" si="43"/>
        <v>0.5</v>
      </c>
      <c r="AI376">
        <f t="shared" si="44"/>
        <v>0.7</v>
      </c>
      <c r="AJ376">
        <f t="shared" si="45"/>
        <v>0.4</v>
      </c>
      <c r="AK376">
        <f t="shared" si="46"/>
        <v>19521.721633416484</v>
      </c>
      <c r="AL376">
        <f t="shared" si="47"/>
        <v>30372</v>
      </c>
      <c r="AM376">
        <f>MIN(MAX(0,$B$10-AL376)*AI376,'Retirement Gap'!$B$29)</f>
        <v>10850.278366583516</v>
      </c>
      <c r="AN376">
        <f>IF($E$40="B - Withdrawals + Roth conversions",AJ376*MAX(0,MIN($B$47-AL376,MIN($B$59,IRMAA!$C$16)-(AL376+$B$8*0.85+AK376*$B$46))),0)</f>
        <v>0</v>
      </c>
      <c r="AO376" cm="1">
        <f t="array" ref="AO376">_xlfn.LET(_xlpm.N,$B$49,_xlpm.R,$B$48,_xlpm.Start,$B$47,_xlpm.PlanWD,AL376,_xlpm.PlanRoth,AM376,_xlpm.PlanConv,AN376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26643.760000000002</v>
      </c>
      <c r="AP376" cm="1">
        <f t="array" ref="AP376">_xlfn.LET(_xlpm.N,$B$49,_xlpm.R,$B$48,_xlpm.Start,$B$47,_xlpm.PlanWD,AL376,_xlpm.PlanRoth,AM376,_xlpm.PlanConv,AN376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376" cm="1">
        <f t="array" ref="AQ376">_xlfn.LET(_xlpm.N,$B$49,_xlpm.R,$B$48,_xlpm.Start,$B$47,_xlpm.PlanWD,AL376,_xlpm.PlanRoth,AM376,_xlpm.PlanConv,AN376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981013.57673652703</v>
      </c>
      <c r="AR376" cm="1">
        <f t="array" ref="AR376">_xlfn.LET(_xlpm.N,$B$49,_xlpm.R,$B$48,_xlpm.Start,$B$47,_xlpm.PlanWD,AL376,_xlpm.PlanRoth,AM376,_xlpm.PlanConv,AN376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1080553.2401009782</v>
      </c>
      <c r="AS376">
        <f>--AND(AK376&lt;=SUM('Retirement Gap'!$B$24:$B$25,'Retirement Gap'!$B$27),AL376+AN376&lt;=$B$47,AM376&lt;='Retirement Gap'!$B$29,ABS(AK376+AL376+AM376-$B$10)&lt;1)</f>
        <v>1</v>
      </c>
      <c r="AT376" cm="1">
        <f t="array" ref="AT376">IF(AS376=0,1E+99,_xlfn.SWITCH(LEFT($E$39,1),"1",AO376,"2",AP376*1000000000+AO376,"3",-AQ376,"4",AO376+AP376*25000+AR376*0.005-AQ376*0.0001,AO376))</f>
        <v>-981013.57673652703</v>
      </c>
    </row>
    <row r="377" spans="33:46" x14ac:dyDescent="0.55000000000000004">
      <c r="AG377">
        <f t="shared" si="42"/>
        <v>376</v>
      </c>
      <c r="AH377">
        <f t="shared" si="43"/>
        <v>0.5</v>
      </c>
      <c r="AI377">
        <f t="shared" si="44"/>
        <v>0.7</v>
      </c>
      <c r="AJ377">
        <f t="shared" si="45"/>
        <v>0.6</v>
      </c>
      <c r="AK377">
        <f t="shared" si="46"/>
        <v>19521.721633416484</v>
      </c>
      <c r="AL377">
        <f t="shared" si="47"/>
        <v>30372</v>
      </c>
      <c r="AM377">
        <f>MIN(MAX(0,$B$10-AL377)*AI377,'Retirement Gap'!$B$29)</f>
        <v>10850.278366583516</v>
      </c>
      <c r="AN377">
        <f>IF($E$40="B - Withdrawals + Roth conversions",AJ377*MAX(0,MIN($B$47-AL377,MIN($B$59,IRMAA!$C$16)-(AL377+$B$8*0.85+AK377*$B$46))),0)</f>
        <v>0</v>
      </c>
      <c r="AO377" cm="1">
        <f t="array" ref="AO377">_xlfn.LET(_xlpm.N,$B$49,_xlpm.R,$B$48,_xlpm.Start,$B$47,_xlpm.PlanWD,AL377,_xlpm.PlanRoth,AM377,_xlpm.PlanConv,AN377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26643.760000000002</v>
      </c>
      <c r="AP377" cm="1">
        <f t="array" ref="AP377">_xlfn.LET(_xlpm.N,$B$49,_xlpm.R,$B$48,_xlpm.Start,$B$47,_xlpm.PlanWD,AL377,_xlpm.PlanRoth,AM377,_xlpm.PlanConv,AN377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377" cm="1">
        <f t="array" ref="AQ377">_xlfn.LET(_xlpm.N,$B$49,_xlpm.R,$B$48,_xlpm.Start,$B$47,_xlpm.PlanWD,AL377,_xlpm.PlanRoth,AM377,_xlpm.PlanConv,AN377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981013.57673652703</v>
      </c>
      <c r="AR377" cm="1">
        <f t="array" ref="AR377">_xlfn.LET(_xlpm.N,$B$49,_xlpm.R,$B$48,_xlpm.Start,$B$47,_xlpm.PlanWD,AL377,_xlpm.PlanRoth,AM377,_xlpm.PlanConv,AN377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1080553.2401009782</v>
      </c>
      <c r="AS377">
        <f>--AND(AK377&lt;=SUM('Retirement Gap'!$B$24:$B$25,'Retirement Gap'!$B$27),AL377+AN377&lt;=$B$47,AM377&lt;='Retirement Gap'!$B$29,ABS(AK377+AL377+AM377-$B$10)&lt;1)</f>
        <v>1</v>
      </c>
      <c r="AT377" cm="1">
        <f t="array" ref="AT377">IF(AS377=0,1E+99,_xlfn.SWITCH(LEFT($E$39,1),"1",AO377,"2",AP377*1000000000+AO377,"3",-AQ377,"4",AO377+AP377*25000+AR377*0.005-AQ377*0.0001,AO377))</f>
        <v>-981013.57673652703</v>
      </c>
    </row>
    <row r="378" spans="33:46" x14ac:dyDescent="0.55000000000000004">
      <c r="AG378">
        <f t="shared" si="42"/>
        <v>377</v>
      </c>
      <c r="AH378">
        <f t="shared" si="43"/>
        <v>0.5</v>
      </c>
      <c r="AI378">
        <f t="shared" si="44"/>
        <v>0.7</v>
      </c>
      <c r="AJ378">
        <f t="shared" si="45"/>
        <v>0.8</v>
      </c>
      <c r="AK378">
        <f t="shared" si="46"/>
        <v>19521.721633416484</v>
      </c>
      <c r="AL378">
        <f t="shared" si="47"/>
        <v>30372</v>
      </c>
      <c r="AM378">
        <f>MIN(MAX(0,$B$10-AL378)*AI378,'Retirement Gap'!$B$29)</f>
        <v>10850.278366583516</v>
      </c>
      <c r="AN378">
        <f>IF($E$40="B - Withdrawals + Roth conversions",AJ378*MAX(0,MIN($B$47-AL378,MIN($B$59,IRMAA!$C$16)-(AL378+$B$8*0.85+AK378*$B$46))),0)</f>
        <v>0</v>
      </c>
      <c r="AO378" cm="1">
        <f t="array" ref="AO378">_xlfn.LET(_xlpm.N,$B$49,_xlpm.R,$B$48,_xlpm.Start,$B$47,_xlpm.PlanWD,AL378,_xlpm.PlanRoth,AM378,_xlpm.PlanConv,AN378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26643.760000000002</v>
      </c>
      <c r="AP378" cm="1">
        <f t="array" ref="AP378">_xlfn.LET(_xlpm.N,$B$49,_xlpm.R,$B$48,_xlpm.Start,$B$47,_xlpm.PlanWD,AL378,_xlpm.PlanRoth,AM378,_xlpm.PlanConv,AN378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378" cm="1">
        <f t="array" ref="AQ378">_xlfn.LET(_xlpm.N,$B$49,_xlpm.R,$B$48,_xlpm.Start,$B$47,_xlpm.PlanWD,AL378,_xlpm.PlanRoth,AM378,_xlpm.PlanConv,AN378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981013.57673652703</v>
      </c>
      <c r="AR378" cm="1">
        <f t="array" ref="AR378">_xlfn.LET(_xlpm.N,$B$49,_xlpm.R,$B$48,_xlpm.Start,$B$47,_xlpm.PlanWD,AL378,_xlpm.PlanRoth,AM378,_xlpm.PlanConv,AN378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1080553.2401009782</v>
      </c>
      <c r="AS378">
        <f>--AND(AK378&lt;=SUM('Retirement Gap'!$B$24:$B$25,'Retirement Gap'!$B$27),AL378+AN378&lt;=$B$47,AM378&lt;='Retirement Gap'!$B$29,ABS(AK378+AL378+AM378-$B$10)&lt;1)</f>
        <v>1</v>
      </c>
      <c r="AT378" cm="1">
        <f t="array" ref="AT378">IF(AS378=0,1E+99,_xlfn.SWITCH(LEFT($E$39,1),"1",AO378,"2",AP378*1000000000+AO378,"3",-AQ378,"4",AO378+AP378*25000+AR378*0.005-AQ378*0.0001,AO378))</f>
        <v>-981013.57673652703</v>
      </c>
    </row>
    <row r="379" spans="33:46" x14ac:dyDescent="0.55000000000000004">
      <c r="AG379">
        <f t="shared" si="42"/>
        <v>378</v>
      </c>
      <c r="AH379">
        <f t="shared" si="43"/>
        <v>0.5</v>
      </c>
      <c r="AI379">
        <f t="shared" si="44"/>
        <v>0.7</v>
      </c>
      <c r="AJ379">
        <f t="shared" si="45"/>
        <v>1</v>
      </c>
      <c r="AK379">
        <f t="shared" si="46"/>
        <v>19521.721633416484</v>
      </c>
      <c r="AL379">
        <f t="shared" si="47"/>
        <v>30372</v>
      </c>
      <c r="AM379">
        <f>MIN(MAX(0,$B$10-AL379)*AI379,'Retirement Gap'!$B$29)</f>
        <v>10850.278366583516</v>
      </c>
      <c r="AN379">
        <f>IF($E$40="B - Withdrawals + Roth conversions",AJ379*MAX(0,MIN($B$47-AL379,MIN($B$59,IRMAA!$C$16)-(AL379+$B$8*0.85+AK379*$B$46))),0)</f>
        <v>0</v>
      </c>
      <c r="AO379" cm="1">
        <f t="array" ref="AO379">_xlfn.LET(_xlpm.N,$B$49,_xlpm.R,$B$48,_xlpm.Start,$B$47,_xlpm.PlanWD,AL379,_xlpm.PlanRoth,AM379,_xlpm.PlanConv,AN379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26643.760000000002</v>
      </c>
      <c r="AP379" cm="1">
        <f t="array" ref="AP379">_xlfn.LET(_xlpm.N,$B$49,_xlpm.R,$B$48,_xlpm.Start,$B$47,_xlpm.PlanWD,AL379,_xlpm.PlanRoth,AM379,_xlpm.PlanConv,AN379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379" cm="1">
        <f t="array" ref="AQ379">_xlfn.LET(_xlpm.N,$B$49,_xlpm.R,$B$48,_xlpm.Start,$B$47,_xlpm.PlanWD,AL379,_xlpm.PlanRoth,AM379,_xlpm.PlanConv,AN379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981013.57673652703</v>
      </c>
      <c r="AR379" cm="1">
        <f t="array" ref="AR379">_xlfn.LET(_xlpm.N,$B$49,_xlpm.R,$B$48,_xlpm.Start,$B$47,_xlpm.PlanWD,AL379,_xlpm.PlanRoth,AM379,_xlpm.PlanConv,AN379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1080553.2401009782</v>
      </c>
      <c r="AS379">
        <f>--AND(AK379&lt;=SUM('Retirement Gap'!$B$24:$B$25,'Retirement Gap'!$B$27),AL379+AN379&lt;=$B$47,AM379&lt;='Retirement Gap'!$B$29,ABS(AK379+AL379+AM379-$B$10)&lt;1)</f>
        <v>1</v>
      </c>
      <c r="AT379" cm="1">
        <f t="array" ref="AT379">IF(AS379=0,1E+99,_xlfn.SWITCH(LEFT($E$39,1),"1",AO379,"2",AP379*1000000000+AO379,"3",-AQ379,"4",AO379+AP379*25000+AR379*0.005-AQ379*0.0001,AO379))</f>
        <v>-981013.57673652703</v>
      </c>
    </row>
    <row r="380" spans="33:46" x14ac:dyDescent="0.55000000000000004">
      <c r="AG380">
        <f t="shared" si="42"/>
        <v>379</v>
      </c>
      <c r="AH380">
        <f t="shared" si="43"/>
        <v>0.5</v>
      </c>
      <c r="AI380">
        <f t="shared" si="44"/>
        <v>0.8</v>
      </c>
      <c r="AJ380">
        <f t="shared" si="45"/>
        <v>0</v>
      </c>
      <c r="AK380">
        <f t="shared" si="46"/>
        <v>19521.721633416484</v>
      </c>
      <c r="AL380">
        <f t="shared" si="47"/>
        <v>30372</v>
      </c>
      <c r="AM380">
        <f>MIN(MAX(0,$B$10-AL380)*AI380,'Retirement Gap'!$B$29)</f>
        <v>10850.278366583516</v>
      </c>
      <c r="AN380">
        <f>IF($E$40="B - Withdrawals + Roth conversions",AJ380*MAX(0,MIN($B$47-AL380,MIN($B$59,IRMAA!$C$16)-(AL380+$B$8*0.85+AK380*$B$46))),0)</f>
        <v>0</v>
      </c>
      <c r="AO380" cm="1">
        <f t="array" ref="AO380">_xlfn.LET(_xlpm.N,$B$49,_xlpm.R,$B$48,_xlpm.Start,$B$47,_xlpm.PlanWD,AL380,_xlpm.PlanRoth,AM380,_xlpm.PlanConv,AN380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26643.760000000002</v>
      </c>
      <c r="AP380" cm="1">
        <f t="array" ref="AP380">_xlfn.LET(_xlpm.N,$B$49,_xlpm.R,$B$48,_xlpm.Start,$B$47,_xlpm.PlanWD,AL380,_xlpm.PlanRoth,AM380,_xlpm.PlanConv,AN380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380" cm="1">
        <f t="array" ref="AQ380">_xlfn.LET(_xlpm.N,$B$49,_xlpm.R,$B$48,_xlpm.Start,$B$47,_xlpm.PlanWD,AL380,_xlpm.PlanRoth,AM380,_xlpm.PlanConv,AN380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981013.57673652703</v>
      </c>
      <c r="AR380" cm="1">
        <f t="array" ref="AR380">_xlfn.LET(_xlpm.N,$B$49,_xlpm.R,$B$48,_xlpm.Start,$B$47,_xlpm.PlanWD,AL380,_xlpm.PlanRoth,AM380,_xlpm.PlanConv,AN380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1080553.2401009782</v>
      </c>
      <c r="AS380">
        <f>--AND(AK380&lt;=SUM('Retirement Gap'!$B$24:$B$25,'Retirement Gap'!$B$27),AL380+AN380&lt;=$B$47,AM380&lt;='Retirement Gap'!$B$29,ABS(AK380+AL380+AM380-$B$10)&lt;1)</f>
        <v>1</v>
      </c>
      <c r="AT380" cm="1">
        <f t="array" ref="AT380">IF(AS380=0,1E+99,_xlfn.SWITCH(LEFT($E$39,1),"1",AO380,"2",AP380*1000000000+AO380,"3",-AQ380,"4",AO380+AP380*25000+AR380*0.005-AQ380*0.0001,AO380))</f>
        <v>-981013.57673652703</v>
      </c>
    </row>
    <row r="381" spans="33:46" x14ac:dyDescent="0.55000000000000004">
      <c r="AG381">
        <f t="shared" si="42"/>
        <v>380</v>
      </c>
      <c r="AH381">
        <f t="shared" si="43"/>
        <v>0.5</v>
      </c>
      <c r="AI381">
        <f t="shared" si="44"/>
        <v>0.8</v>
      </c>
      <c r="AJ381">
        <f t="shared" si="45"/>
        <v>0.2</v>
      </c>
      <c r="AK381">
        <f t="shared" si="46"/>
        <v>19521.721633416484</v>
      </c>
      <c r="AL381">
        <f t="shared" si="47"/>
        <v>30372</v>
      </c>
      <c r="AM381">
        <f>MIN(MAX(0,$B$10-AL381)*AI381,'Retirement Gap'!$B$29)</f>
        <v>10850.278366583516</v>
      </c>
      <c r="AN381">
        <f>IF($E$40="B - Withdrawals + Roth conversions",AJ381*MAX(0,MIN($B$47-AL381,MIN($B$59,IRMAA!$C$16)-(AL381+$B$8*0.85+AK381*$B$46))),0)</f>
        <v>0</v>
      </c>
      <c r="AO381" cm="1">
        <f t="array" ref="AO381">_xlfn.LET(_xlpm.N,$B$49,_xlpm.R,$B$48,_xlpm.Start,$B$47,_xlpm.PlanWD,AL381,_xlpm.PlanRoth,AM381,_xlpm.PlanConv,AN381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26643.760000000002</v>
      </c>
      <c r="AP381" cm="1">
        <f t="array" ref="AP381">_xlfn.LET(_xlpm.N,$B$49,_xlpm.R,$B$48,_xlpm.Start,$B$47,_xlpm.PlanWD,AL381,_xlpm.PlanRoth,AM381,_xlpm.PlanConv,AN381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381" cm="1">
        <f t="array" ref="AQ381">_xlfn.LET(_xlpm.N,$B$49,_xlpm.R,$B$48,_xlpm.Start,$B$47,_xlpm.PlanWD,AL381,_xlpm.PlanRoth,AM381,_xlpm.PlanConv,AN381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981013.57673652703</v>
      </c>
      <c r="AR381" cm="1">
        <f t="array" ref="AR381">_xlfn.LET(_xlpm.N,$B$49,_xlpm.R,$B$48,_xlpm.Start,$B$47,_xlpm.PlanWD,AL381,_xlpm.PlanRoth,AM381,_xlpm.PlanConv,AN381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1080553.2401009782</v>
      </c>
      <c r="AS381">
        <f>--AND(AK381&lt;=SUM('Retirement Gap'!$B$24:$B$25,'Retirement Gap'!$B$27),AL381+AN381&lt;=$B$47,AM381&lt;='Retirement Gap'!$B$29,ABS(AK381+AL381+AM381-$B$10)&lt;1)</f>
        <v>1</v>
      </c>
      <c r="AT381" cm="1">
        <f t="array" ref="AT381">IF(AS381=0,1E+99,_xlfn.SWITCH(LEFT($E$39,1),"1",AO381,"2",AP381*1000000000+AO381,"3",-AQ381,"4",AO381+AP381*25000+AR381*0.005-AQ381*0.0001,AO381))</f>
        <v>-981013.57673652703</v>
      </c>
    </row>
    <row r="382" spans="33:46" x14ac:dyDescent="0.55000000000000004">
      <c r="AG382">
        <f t="shared" si="42"/>
        <v>381</v>
      </c>
      <c r="AH382">
        <f t="shared" si="43"/>
        <v>0.5</v>
      </c>
      <c r="AI382">
        <f t="shared" si="44"/>
        <v>0.8</v>
      </c>
      <c r="AJ382">
        <f t="shared" si="45"/>
        <v>0.4</v>
      </c>
      <c r="AK382">
        <f t="shared" si="46"/>
        <v>19521.721633416484</v>
      </c>
      <c r="AL382">
        <f t="shared" si="47"/>
        <v>30372</v>
      </c>
      <c r="AM382">
        <f>MIN(MAX(0,$B$10-AL382)*AI382,'Retirement Gap'!$B$29)</f>
        <v>10850.278366583516</v>
      </c>
      <c r="AN382">
        <f>IF($E$40="B - Withdrawals + Roth conversions",AJ382*MAX(0,MIN($B$47-AL382,MIN($B$59,IRMAA!$C$16)-(AL382+$B$8*0.85+AK382*$B$46))),0)</f>
        <v>0</v>
      </c>
      <c r="AO382" cm="1">
        <f t="array" ref="AO382">_xlfn.LET(_xlpm.N,$B$49,_xlpm.R,$B$48,_xlpm.Start,$B$47,_xlpm.PlanWD,AL382,_xlpm.PlanRoth,AM382,_xlpm.PlanConv,AN382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26643.760000000002</v>
      </c>
      <c r="AP382" cm="1">
        <f t="array" ref="AP382">_xlfn.LET(_xlpm.N,$B$49,_xlpm.R,$B$48,_xlpm.Start,$B$47,_xlpm.PlanWD,AL382,_xlpm.PlanRoth,AM382,_xlpm.PlanConv,AN382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382" cm="1">
        <f t="array" ref="AQ382">_xlfn.LET(_xlpm.N,$B$49,_xlpm.R,$B$48,_xlpm.Start,$B$47,_xlpm.PlanWD,AL382,_xlpm.PlanRoth,AM382,_xlpm.PlanConv,AN382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981013.57673652703</v>
      </c>
      <c r="AR382" cm="1">
        <f t="array" ref="AR382">_xlfn.LET(_xlpm.N,$B$49,_xlpm.R,$B$48,_xlpm.Start,$B$47,_xlpm.PlanWD,AL382,_xlpm.PlanRoth,AM382,_xlpm.PlanConv,AN382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1080553.2401009782</v>
      </c>
      <c r="AS382">
        <f>--AND(AK382&lt;=SUM('Retirement Gap'!$B$24:$B$25,'Retirement Gap'!$B$27),AL382+AN382&lt;=$B$47,AM382&lt;='Retirement Gap'!$B$29,ABS(AK382+AL382+AM382-$B$10)&lt;1)</f>
        <v>1</v>
      </c>
      <c r="AT382" cm="1">
        <f t="array" ref="AT382">IF(AS382=0,1E+99,_xlfn.SWITCH(LEFT($E$39,1),"1",AO382,"2",AP382*1000000000+AO382,"3",-AQ382,"4",AO382+AP382*25000+AR382*0.005-AQ382*0.0001,AO382))</f>
        <v>-981013.57673652703</v>
      </c>
    </row>
    <row r="383" spans="33:46" x14ac:dyDescent="0.55000000000000004">
      <c r="AG383">
        <f t="shared" si="42"/>
        <v>382</v>
      </c>
      <c r="AH383">
        <f t="shared" si="43"/>
        <v>0.5</v>
      </c>
      <c r="AI383">
        <f t="shared" si="44"/>
        <v>0.8</v>
      </c>
      <c r="AJ383">
        <f t="shared" si="45"/>
        <v>0.6</v>
      </c>
      <c r="AK383">
        <f t="shared" si="46"/>
        <v>19521.721633416484</v>
      </c>
      <c r="AL383">
        <f t="shared" si="47"/>
        <v>30372</v>
      </c>
      <c r="AM383">
        <f>MIN(MAX(0,$B$10-AL383)*AI383,'Retirement Gap'!$B$29)</f>
        <v>10850.278366583516</v>
      </c>
      <c r="AN383">
        <f>IF($E$40="B - Withdrawals + Roth conversions",AJ383*MAX(0,MIN($B$47-AL383,MIN($B$59,IRMAA!$C$16)-(AL383+$B$8*0.85+AK383*$B$46))),0)</f>
        <v>0</v>
      </c>
      <c r="AO383" cm="1">
        <f t="array" ref="AO383">_xlfn.LET(_xlpm.N,$B$49,_xlpm.R,$B$48,_xlpm.Start,$B$47,_xlpm.PlanWD,AL383,_xlpm.PlanRoth,AM383,_xlpm.PlanConv,AN383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26643.760000000002</v>
      </c>
      <c r="AP383" cm="1">
        <f t="array" ref="AP383">_xlfn.LET(_xlpm.N,$B$49,_xlpm.R,$B$48,_xlpm.Start,$B$47,_xlpm.PlanWD,AL383,_xlpm.PlanRoth,AM383,_xlpm.PlanConv,AN383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383" cm="1">
        <f t="array" ref="AQ383">_xlfn.LET(_xlpm.N,$B$49,_xlpm.R,$B$48,_xlpm.Start,$B$47,_xlpm.PlanWD,AL383,_xlpm.PlanRoth,AM383,_xlpm.PlanConv,AN383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981013.57673652703</v>
      </c>
      <c r="AR383" cm="1">
        <f t="array" ref="AR383">_xlfn.LET(_xlpm.N,$B$49,_xlpm.R,$B$48,_xlpm.Start,$B$47,_xlpm.PlanWD,AL383,_xlpm.PlanRoth,AM383,_xlpm.PlanConv,AN383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1080553.2401009782</v>
      </c>
      <c r="AS383">
        <f>--AND(AK383&lt;=SUM('Retirement Gap'!$B$24:$B$25,'Retirement Gap'!$B$27),AL383+AN383&lt;=$B$47,AM383&lt;='Retirement Gap'!$B$29,ABS(AK383+AL383+AM383-$B$10)&lt;1)</f>
        <v>1</v>
      </c>
      <c r="AT383" cm="1">
        <f t="array" ref="AT383">IF(AS383=0,1E+99,_xlfn.SWITCH(LEFT($E$39,1),"1",AO383,"2",AP383*1000000000+AO383,"3",-AQ383,"4",AO383+AP383*25000+AR383*0.005-AQ383*0.0001,AO383))</f>
        <v>-981013.57673652703</v>
      </c>
    </row>
    <row r="384" spans="33:46" x14ac:dyDescent="0.55000000000000004">
      <c r="AG384">
        <f t="shared" si="42"/>
        <v>383</v>
      </c>
      <c r="AH384">
        <f t="shared" si="43"/>
        <v>0.5</v>
      </c>
      <c r="AI384">
        <f t="shared" si="44"/>
        <v>0.8</v>
      </c>
      <c r="AJ384">
        <f t="shared" si="45"/>
        <v>0.8</v>
      </c>
      <c r="AK384">
        <f t="shared" si="46"/>
        <v>19521.721633416484</v>
      </c>
      <c r="AL384">
        <f t="shared" si="47"/>
        <v>30372</v>
      </c>
      <c r="AM384">
        <f>MIN(MAX(0,$B$10-AL384)*AI384,'Retirement Gap'!$B$29)</f>
        <v>10850.278366583516</v>
      </c>
      <c r="AN384">
        <f>IF($E$40="B - Withdrawals + Roth conversions",AJ384*MAX(0,MIN($B$47-AL384,MIN($B$59,IRMAA!$C$16)-(AL384+$B$8*0.85+AK384*$B$46))),0)</f>
        <v>0</v>
      </c>
      <c r="AO384" cm="1">
        <f t="array" ref="AO384">_xlfn.LET(_xlpm.N,$B$49,_xlpm.R,$B$48,_xlpm.Start,$B$47,_xlpm.PlanWD,AL384,_xlpm.PlanRoth,AM384,_xlpm.PlanConv,AN384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26643.760000000002</v>
      </c>
      <c r="AP384" cm="1">
        <f t="array" ref="AP384">_xlfn.LET(_xlpm.N,$B$49,_xlpm.R,$B$48,_xlpm.Start,$B$47,_xlpm.PlanWD,AL384,_xlpm.PlanRoth,AM384,_xlpm.PlanConv,AN384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384" cm="1">
        <f t="array" ref="AQ384">_xlfn.LET(_xlpm.N,$B$49,_xlpm.R,$B$48,_xlpm.Start,$B$47,_xlpm.PlanWD,AL384,_xlpm.PlanRoth,AM384,_xlpm.PlanConv,AN384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981013.57673652703</v>
      </c>
      <c r="AR384" cm="1">
        <f t="array" ref="AR384">_xlfn.LET(_xlpm.N,$B$49,_xlpm.R,$B$48,_xlpm.Start,$B$47,_xlpm.PlanWD,AL384,_xlpm.PlanRoth,AM384,_xlpm.PlanConv,AN384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1080553.2401009782</v>
      </c>
      <c r="AS384">
        <f>--AND(AK384&lt;=SUM('Retirement Gap'!$B$24:$B$25,'Retirement Gap'!$B$27),AL384+AN384&lt;=$B$47,AM384&lt;='Retirement Gap'!$B$29,ABS(AK384+AL384+AM384-$B$10)&lt;1)</f>
        <v>1</v>
      </c>
      <c r="AT384" cm="1">
        <f t="array" ref="AT384">IF(AS384=0,1E+99,_xlfn.SWITCH(LEFT($E$39,1),"1",AO384,"2",AP384*1000000000+AO384,"3",-AQ384,"4",AO384+AP384*25000+AR384*0.005-AQ384*0.0001,AO384))</f>
        <v>-981013.57673652703</v>
      </c>
    </row>
    <row r="385" spans="33:46" x14ac:dyDescent="0.55000000000000004">
      <c r="AG385">
        <f t="shared" si="42"/>
        <v>384</v>
      </c>
      <c r="AH385">
        <f t="shared" si="43"/>
        <v>0.5</v>
      </c>
      <c r="AI385">
        <f t="shared" si="44"/>
        <v>0.8</v>
      </c>
      <c r="AJ385">
        <f t="shared" si="45"/>
        <v>1</v>
      </c>
      <c r="AK385">
        <f t="shared" si="46"/>
        <v>19521.721633416484</v>
      </c>
      <c r="AL385">
        <f t="shared" si="47"/>
        <v>30372</v>
      </c>
      <c r="AM385">
        <f>MIN(MAX(0,$B$10-AL385)*AI385,'Retirement Gap'!$B$29)</f>
        <v>10850.278366583516</v>
      </c>
      <c r="AN385">
        <f>IF($E$40="B - Withdrawals + Roth conversions",AJ385*MAX(0,MIN($B$47-AL385,MIN($B$59,IRMAA!$C$16)-(AL385+$B$8*0.85+AK385*$B$46))),0)</f>
        <v>0</v>
      </c>
      <c r="AO385" cm="1">
        <f t="array" ref="AO385">_xlfn.LET(_xlpm.N,$B$49,_xlpm.R,$B$48,_xlpm.Start,$B$47,_xlpm.PlanWD,AL385,_xlpm.PlanRoth,AM385,_xlpm.PlanConv,AN385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26643.760000000002</v>
      </c>
      <c r="AP385" cm="1">
        <f t="array" ref="AP385">_xlfn.LET(_xlpm.N,$B$49,_xlpm.R,$B$48,_xlpm.Start,$B$47,_xlpm.PlanWD,AL385,_xlpm.PlanRoth,AM385,_xlpm.PlanConv,AN385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385" cm="1">
        <f t="array" ref="AQ385">_xlfn.LET(_xlpm.N,$B$49,_xlpm.R,$B$48,_xlpm.Start,$B$47,_xlpm.PlanWD,AL385,_xlpm.PlanRoth,AM385,_xlpm.PlanConv,AN385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981013.57673652703</v>
      </c>
      <c r="AR385" cm="1">
        <f t="array" ref="AR385">_xlfn.LET(_xlpm.N,$B$49,_xlpm.R,$B$48,_xlpm.Start,$B$47,_xlpm.PlanWD,AL385,_xlpm.PlanRoth,AM385,_xlpm.PlanConv,AN385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1080553.2401009782</v>
      </c>
      <c r="AS385">
        <f>--AND(AK385&lt;=SUM('Retirement Gap'!$B$24:$B$25,'Retirement Gap'!$B$27),AL385+AN385&lt;=$B$47,AM385&lt;='Retirement Gap'!$B$29,ABS(AK385+AL385+AM385-$B$10)&lt;1)</f>
        <v>1</v>
      </c>
      <c r="AT385" cm="1">
        <f t="array" ref="AT385">IF(AS385=0,1E+99,_xlfn.SWITCH(LEFT($E$39,1),"1",AO385,"2",AP385*1000000000+AO385,"3",-AQ385,"4",AO385+AP385*25000+AR385*0.005-AQ385*0.0001,AO385))</f>
        <v>-981013.57673652703</v>
      </c>
    </row>
    <row r="386" spans="33:46" x14ac:dyDescent="0.55000000000000004">
      <c r="AG386">
        <f t="shared" si="42"/>
        <v>385</v>
      </c>
      <c r="AH386">
        <f t="shared" si="43"/>
        <v>0.5</v>
      </c>
      <c r="AI386">
        <f t="shared" si="44"/>
        <v>0.9</v>
      </c>
      <c r="AJ386">
        <f t="shared" si="45"/>
        <v>0</v>
      </c>
      <c r="AK386">
        <f t="shared" si="46"/>
        <v>19521.721633416484</v>
      </c>
      <c r="AL386">
        <f t="shared" si="47"/>
        <v>30372</v>
      </c>
      <c r="AM386">
        <f>MIN(MAX(0,$B$10-AL386)*AI386,'Retirement Gap'!$B$29)</f>
        <v>10850.278366583516</v>
      </c>
      <c r="AN386">
        <f>IF($E$40="B - Withdrawals + Roth conversions",AJ386*MAX(0,MIN($B$47-AL386,MIN($B$59,IRMAA!$C$16)-(AL386+$B$8*0.85+AK386*$B$46))),0)</f>
        <v>0</v>
      </c>
      <c r="AO386" cm="1">
        <f t="array" ref="AO386">_xlfn.LET(_xlpm.N,$B$49,_xlpm.R,$B$48,_xlpm.Start,$B$47,_xlpm.PlanWD,AL386,_xlpm.PlanRoth,AM386,_xlpm.PlanConv,AN386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26643.760000000002</v>
      </c>
      <c r="AP386" cm="1">
        <f t="array" ref="AP386">_xlfn.LET(_xlpm.N,$B$49,_xlpm.R,$B$48,_xlpm.Start,$B$47,_xlpm.PlanWD,AL386,_xlpm.PlanRoth,AM386,_xlpm.PlanConv,AN386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386" cm="1">
        <f t="array" ref="AQ386">_xlfn.LET(_xlpm.N,$B$49,_xlpm.R,$B$48,_xlpm.Start,$B$47,_xlpm.PlanWD,AL386,_xlpm.PlanRoth,AM386,_xlpm.PlanConv,AN386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981013.57673652703</v>
      </c>
      <c r="AR386" cm="1">
        <f t="array" ref="AR386">_xlfn.LET(_xlpm.N,$B$49,_xlpm.R,$B$48,_xlpm.Start,$B$47,_xlpm.PlanWD,AL386,_xlpm.PlanRoth,AM386,_xlpm.PlanConv,AN386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1080553.2401009782</v>
      </c>
      <c r="AS386">
        <f>--AND(AK386&lt;=SUM('Retirement Gap'!$B$24:$B$25,'Retirement Gap'!$B$27),AL386+AN386&lt;=$B$47,AM386&lt;='Retirement Gap'!$B$29,ABS(AK386+AL386+AM386-$B$10)&lt;1)</f>
        <v>1</v>
      </c>
      <c r="AT386" cm="1">
        <f t="array" ref="AT386">IF(AS386=0,1E+99,_xlfn.SWITCH(LEFT($E$39,1),"1",AO386,"2",AP386*1000000000+AO386,"3",-AQ386,"4",AO386+AP386*25000+AR386*0.005-AQ386*0.0001,AO386))</f>
        <v>-981013.57673652703</v>
      </c>
    </row>
    <row r="387" spans="33:46" x14ac:dyDescent="0.55000000000000004">
      <c r="AG387">
        <f t="shared" ref="AG387:AG450" si="48">ROW()-1</f>
        <v>386</v>
      </c>
      <c r="AH387">
        <f t="shared" ref="AH387:AH450" si="49">INT((AG387-1)/66)/10</f>
        <v>0.5</v>
      </c>
      <c r="AI387">
        <f t="shared" ref="AI387:AI450" si="50">MOD(INT((AG387-1)/6),11)/10</f>
        <v>0.9</v>
      </c>
      <c r="AJ387">
        <f t="shared" ref="AJ387:AJ450" si="51">MOD(AG387-1,6)/5</f>
        <v>0.2</v>
      </c>
      <c r="AK387">
        <f t="shared" ref="AK387:AK450" si="52">MAX(0,$B$10-AL387-AM387)</f>
        <v>19521.721633416484</v>
      </c>
      <c r="AL387">
        <f t="shared" ref="AL387:AL450" si="53">MIN($B$10*AH387,$B$47)</f>
        <v>30372</v>
      </c>
      <c r="AM387">
        <f>MIN(MAX(0,$B$10-AL387)*AI387,'Retirement Gap'!$B$29)</f>
        <v>10850.278366583516</v>
      </c>
      <c r="AN387">
        <f>IF($E$40="B - Withdrawals + Roth conversions",AJ387*MAX(0,MIN($B$47-AL387,MIN($B$59,IRMAA!$C$16)-(AL387+$B$8*0.85+AK387*$B$46))),0)</f>
        <v>0</v>
      </c>
      <c r="AO387" cm="1">
        <f t="array" ref="AO387">_xlfn.LET(_xlpm.N,$B$49,_xlpm.R,$B$48,_xlpm.Start,$B$47,_xlpm.PlanWD,AL387,_xlpm.PlanRoth,AM387,_xlpm.PlanConv,AN387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26643.760000000002</v>
      </c>
      <c r="AP387" cm="1">
        <f t="array" ref="AP387">_xlfn.LET(_xlpm.N,$B$49,_xlpm.R,$B$48,_xlpm.Start,$B$47,_xlpm.PlanWD,AL387,_xlpm.PlanRoth,AM387,_xlpm.PlanConv,AN387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387" cm="1">
        <f t="array" ref="AQ387">_xlfn.LET(_xlpm.N,$B$49,_xlpm.R,$B$48,_xlpm.Start,$B$47,_xlpm.PlanWD,AL387,_xlpm.PlanRoth,AM387,_xlpm.PlanConv,AN387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981013.57673652703</v>
      </c>
      <c r="AR387" cm="1">
        <f t="array" ref="AR387">_xlfn.LET(_xlpm.N,$B$49,_xlpm.R,$B$48,_xlpm.Start,$B$47,_xlpm.PlanWD,AL387,_xlpm.PlanRoth,AM387,_xlpm.PlanConv,AN387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1080553.2401009782</v>
      </c>
      <c r="AS387">
        <f>--AND(AK387&lt;=SUM('Retirement Gap'!$B$24:$B$25,'Retirement Gap'!$B$27),AL387+AN387&lt;=$B$47,AM387&lt;='Retirement Gap'!$B$29,ABS(AK387+AL387+AM387-$B$10)&lt;1)</f>
        <v>1</v>
      </c>
      <c r="AT387" cm="1">
        <f t="array" ref="AT387">IF(AS387=0,1E+99,_xlfn.SWITCH(LEFT($E$39,1),"1",AO387,"2",AP387*1000000000+AO387,"3",-AQ387,"4",AO387+AP387*25000+AR387*0.005-AQ387*0.0001,AO387))</f>
        <v>-981013.57673652703</v>
      </c>
    </row>
    <row r="388" spans="33:46" x14ac:dyDescent="0.55000000000000004">
      <c r="AG388">
        <f t="shared" si="48"/>
        <v>387</v>
      </c>
      <c r="AH388">
        <f t="shared" si="49"/>
        <v>0.5</v>
      </c>
      <c r="AI388">
        <f t="shared" si="50"/>
        <v>0.9</v>
      </c>
      <c r="AJ388">
        <f t="shared" si="51"/>
        <v>0.4</v>
      </c>
      <c r="AK388">
        <f t="shared" si="52"/>
        <v>19521.721633416484</v>
      </c>
      <c r="AL388">
        <f t="shared" si="53"/>
        <v>30372</v>
      </c>
      <c r="AM388">
        <f>MIN(MAX(0,$B$10-AL388)*AI388,'Retirement Gap'!$B$29)</f>
        <v>10850.278366583516</v>
      </c>
      <c r="AN388">
        <f>IF($E$40="B - Withdrawals + Roth conversions",AJ388*MAX(0,MIN($B$47-AL388,MIN($B$59,IRMAA!$C$16)-(AL388+$B$8*0.85+AK388*$B$46))),0)</f>
        <v>0</v>
      </c>
      <c r="AO388" cm="1">
        <f t="array" ref="AO388">_xlfn.LET(_xlpm.N,$B$49,_xlpm.R,$B$48,_xlpm.Start,$B$47,_xlpm.PlanWD,AL388,_xlpm.PlanRoth,AM388,_xlpm.PlanConv,AN388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26643.760000000002</v>
      </c>
      <c r="AP388" cm="1">
        <f t="array" ref="AP388">_xlfn.LET(_xlpm.N,$B$49,_xlpm.R,$B$48,_xlpm.Start,$B$47,_xlpm.PlanWD,AL388,_xlpm.PlanRoth,AM388,_xlpm.PlanConv,AN388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388" cm="1">
        <f t="array" ref="AQ388">_xlfn.LET(_xlpm.N,$B$49,_xlpm.R,$B$48,_xlpm.Start,$B$47,_xlpm.PlanWD,AL388,_xlpm.PlanRoth,AM388,_xlpm.PlanConv,AN388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981013.57673652703</v>
      </c>
      <c r="AR388" cm="1">
        <f t="array" ref="AR388">_xlfn.LET(_xlpm.N,$B$49,_xlpm.R,$B$48,_xlpm.Start,$B$47,_xlpm.PlanWD,AL388,_xlpm.PlanRoth,AM388,_xlpm.PlanConv,AN388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1080553.2401009782</v>
      </c>
      <c r="AS388">
        <f>--AND(AK388&lt;=SUM('Retirement Gap'!$B$24:$B$25,'Retirement Gap'!$B$27),AL388+AN388&lt;=$B$47,AM388&lt;='Retirement Gap'!$B$29,ABS(AK388+AL388+AM388-$B$10)&lt;1)</f>
        <v>1</v>
      </c>
      <c r="AT388" cm="1">
        <f t="array" ref="AT388">IF(AS388=0,1E+99,_xlfn.SWITCH(LEFT($E$39,1),"1",AO388,"2",AP388*1000000000+AO388,"3",-AQ388,"4",AO388+AP388*25000+AR388*0.005-AQ388*0.0001,AO388))</f>
        <v>-981013.57673652703</v>
      </c>
    </row>
    <row r="389" spans="33:46" x14ac:dyDescent="0.55000000000000004">
      <c r="AG389">
        <f t="shared" si="48"/>
        <v>388</v>
      </c>
      <c r="AH389">
        <f t="shared" si="49"/>
        <v>0.5</v>
      </c>
      <c r="AI389">
        <f t="shared" si="50"/>
        <v>0.9</v>
      </c>
      <c r="AJ389">
        <f t="shared" si="51"/>
        <v>0.6</v>
      </c>
      <c r="AK389">
        <f t="shared" si="52"/>
        <v>19521.721633416484</v>
      </c>
      <c r="AL389">
        <f t="shared" si="53"/>
        <v>30372</v>
      </c>
      <c r="AM389">
        <f>MIN(MAX(0,$B$10-AL389)*AI389,'Retirement Gap'!$B$29)</f>
        <v>10850.278366583516</v>
      </c>
      <c r="AN389">
        <f>IF($E$40="B - Withdrawals + Roth conversions",AJ389*MAX(0,MIN($B$47-AL389,MIN($B$59,IRMAA!$C$16)-(AL389+$B$8*0.85+AK389*$B$46))),0)</f>
        <v>0</v>
      </c>
      <c r="AO389" cm="1">
        <f t="array" ref="AO389">_xlfn.LET(_xlpm.N,$B$49,_xlpm.R,$B$48,_xlpm.Start,$B$47,_xlpm.PlanWD,AL389,_xlpm.PlanRoth,AM389,_xlpm.PlanConv,AN389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26643.760000000002</v>
      </c>
      <c r="AP389" cm="1">
        <f t="array" ref="AP389">_xlfn.LET(_xlpm.N,$B$49,_xlpm.R,$B$48,_xlpm.Start,$B$47,_xlpm.PlanWD,AL389,_xlpm.PlanRoth,AM389,_xlpm.PlanConv,AN389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389" cm="1">
        <f t="array" ref="AQ389">_xlfn.LET(_xlpm.N,$B$49,_xlpm.R,$B$48,_xlpm.Start,$B$47,_xlpm.PlanWD,AL389,_xlpm.PlanRoth,AM389,_xlpm.PlanConv,AN389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981013.57673652703</v>
      </c>
      <c r="AR389" cm="1">
        <f t="array" ref="AR389">_xlfn.LET(_xlpm.N,$B$49,_xlpm.R,$B$48,_xlpm.Start,$B$47,_xlpm.PlanWD,AL389,_xlpm.PlanRoth,AM389,_xlpm.PlanConv,AN389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1080553.2401009782</v>
      </c>
      <c r="AS389">
        <f>--AND(AK389&lt;=SUM('Retirement Gap'!$B$24:$B$25,'Retirement Gap'!$B$27),AL389+AN389&lt;=$B$47,AM389&lt;='Retirement Gap'!$B$29,ABS(AK389+AL389+AM389-$B$10)&lt;1)</f>
        <v>1</v>
      </c>
      <c r="AT389" cm="1">
        <f t="array" ref="AT389">IF(AS389=0,1E+99,_xlfn.SWITCH(LEFT($E$39,1),"1",AO389,"2",AP389*1000000000+AO389,"3",-AQ389,"4",AO389+AP389*25000+AR389*0.005-AQ389*0.0001,AO389))</f>
        <v>-981013.57673652703</v>
      </c>
    </row>
    <row r="390" spans="33:46" x14ac:dyDescent="0.55000000000000004">
      <c r="AG390">
        <f t="shared" si="48"/>
        <v>389</v>
      </c>
      <c r="AH390">
        <f t="shared" si="49"/>
        <v>0.5</v>
      </c>
      <c r="AI390">
        <f t="shared" si="50"/>
        <v>0.9</v>
      </c>
      <c r="AJ390">
        <f t="shared" si="51"/>
        <v>0.8</v>
      </c>
      <c r="AK390">
        <f t="shared" si="52"/>
        <v>19521.721633416484</v>
      </c>
      <c r="AL390">
        <f t="shared" si="53"/>
        <v>30372</v>
      </c>
      <c r="AM390">
        <f>MIN(MAX(0,$B$10-AL390)*AI390,'Retirement Gap'!$B$29)</f>
        <v>10850.278366583516</v>
      </c>
      <c r="AN390">
        <f>IF($E$40="B - Withdrawals + Roth conversions",AJ390*MAX(0,MIN($B$47-AL390,MIN($B$59,IRMAA!$C$16)-(AL390+$B$8*0.85+AK390*$B$46))),0)</f>
        <v>0</v>
      </c>
      <c r="AO390" cm="1">
        <f t="array" ref="AO390">_xlfn.LET(_xlpm.N,$B$49,_xlpm.R,$B$48,_xlpm.Start,$B$47,_xlpm.PlanWD,AL390,_xlpm.PlanRoth,AM390,_xlpm.PlanConv,AN390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26643.760000000002</v>
      </c>
      <c r="AP390" cm="1">
        <f t="array" ref="AP390">_xlfn.LET(_xlpm.N,$B$49,_xlpm.R,$B$48,_xlpm.Start,$B$47,_xlpm.PlanWD,AL390,_xlpm.PlanRoth,AM390,_xlpm.PlanConv,AN390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390" cm="1">
        <f t="array" ref="AQ390">_xlfn.LET(_xlpm.N,$B$49,_xlpm.R,$B$48,_xlpm.Start,$B$47,_xlpm.PlanWD,AL390,_xlpm.PlanRoth,AM390,_xlpm.PlanConv,AN390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981013.57673652703</v>
      </c>
      <c r="AR390" cm="1">
        <f t="array" ref="AR390">_xlfn.LET(_xlpm.N,$B$49,_xlpm.R,$B$48,_xlpm.Start,$B$47,_xlpm.PlanWD,AL390,_xlpm.PlanRoth,AM390,_xlpm.PlanConv,AN390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1080553.2401009782</v>
      </c>
      <c r="AS390">
        <f>--AND(AK390&lt;=SUM('Retirement Gap'!$B$24:$B$25,'Retirement Gap'!$B$27),AL390+AN390&lt;=$B$47,AM390&lt;='Retirement Gap'!$B$29,ABS(AK390+AL390+AM390-$B$10)&lt;1)</f>
        <v>1</v>
      </c>
      <c r="AT390" cm="1">
        <f t="array" ref="AT390">IF(AS390=0,1E+99,_xlfn.SWITCH(LEFT($E$39,1),"1",AO390,"2",AP390*1000000000+AO390,"3",-AQ390,"4",AO390+AP390*25000+AR390*0.005-AQ390*0.0001,AO390))</f>
        <v>-981013.57673652703</v>
      </c>
    </row>
    <row r="391" spans="33:46" x14ac:dyDescent="0.55000000000000004">
      <c r="AG391">
        <f t="shared" si="48"/>
        <v>390</v>
      </c>
      <c r="AH391">
        <f t="shared" si="49"/>
        <v>0.5</v>
      </c>
      <c r="AI391">
        <f t="shared" si="50"/>
        <v>0.9</v>
      </c>
      <c r="AJ391">
        <f t="shared" si="51"/>
        <v>1</v>
      </c>
      <c r="AK391">
        <f t="shared" si="52"/>
        <v>19521.721633416484</v>
      </c>
      <c r="AL391">
        <f t="shared" si="53"/>
        <v>30372</v>
      </c>
      <c r="AM391">
        <f>MIN(MAX(0,$B$10-AL391)*AI391,'Retirement Gap'!$B$29)</f>
        <v>10850.278366583516</v>
      </c>
      <c r="AN391">
        <f>IF($E$40="B - Withdrawals + Roth conversions",AJ391*MAX(0,MIN($B$47-AL391,MIN($B$59,IRMAA!$C$16)-(AL391+$B$8*0.85+AK391*$B$46))),0)</f>
        <v>0</v>
      </c>
      <c r="AO391" cm="1">
        <f t="array" ref="AO391">_xlfn.LET(_xlpm.N,$B$49,_xlpm.R,$B$48,_xlpm.Start,$B$47,_xlpm.PlanWD,AL391,_xlpm.PlanRoth,AM391,_xlpm.PlanConv,AN391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26643.760000000002</v>
      </c>
      <c r="AP391" cm="1">
        <f t="array" ref="AP391">_xlfn.LET(_xlpm.N,$B$49,_xlpm.R,$B$48,_xlpm.Start,$B$47,_xlpm.PlanWD,AL391,_xlpm.PlanRoth,AM391,_xlpm.PlanConv,AN391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391" cm="1">
        <f t="array" ref="AQ391">_xlfn.LET(_xlpm.N,$B$49,_xlpm.R,$B$48,_xlpm.Start,$B$47,_xlpm.PlanWD,AL391,_xlpm.PlanRoth,AM391,_xlpm.PlanConv,AN391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981013.57673652703</v>
      </c>
      <c r="AR391" cm="1">
        <f t="array" ref="AR391">_xlfn.LET(_xlpm.N,$B$49,_xlpm.R,$B$48,_xlpm.Start,$B$47,_xlpm.PlanWD,AL391,_xlpm.PlanRoth,AM391,_xlpm.PlanConv,AN391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1080553.2401009782</v>
      </c>
      <c r="AS391">
        <f>--AND(AK391&lt;=SUM('Retirement Gap'!$B$24:$B$25,'Retirement Gap'!$B$27),AL391+AN391&lt;=$B$47,AM391&lt;='Retirement Gap'!$B$29,ABS(AK391+AL391+AM391-$B$10)&lt;1)</f>
        <v>1</v>
      </c>
      <c r="AT391" cm="1">
        <f t="array" ref="AT391">IF(AS391=0,1E+99,_xlfn.SWITCH(LEFT($E$39,1),"1",AO391,"2",AP391*1000000000+AO391,"3",-AQ391,"4",AO391+AP391*25000+AR391*0.005-AQ391*0.0001,AO391))</f>
        <v>-981013.57673652703</v>
      </c>
    </row>
    <row r="392" spans="33:46" x14ac:dyDescent="0.55000000000000004">
      <c r="AG392">
        <f t="shared" si="48"/>
        <v>391</v>
      </c>
      <c r="AH392">
        <f t="shared" si="49"/>
        <v>0.5</v>
      </c>
      <c r="AI392">
        <f t="shared" si="50"/>
        <v>1</v>
      </c>
      <c r="AJ392">
        <f t="shared" si="51"/>
        <v>0</v>
      </c>
      <c r="AK392">
        <f t="shared" si="52"/>
        <v>19521.721633416484</v>
      </c>
      <c r="AL392">
        <f t="shared" si="53"/>
        <v>30372</v>
      </c>
      <c r="AM392">
        <f>MIN(MAX(0,$B$10-AL392)*AI392,'Retirement Gap'!$B$29)</f>
        <v>10850.278366583516</v>
      </c>
      <c r="AN392">
        <f>IF($E$40="B - Withdrawals + Roth conversions",AJ392*MAX(0,MIN($B$47-AL392,MIN($B$59,IRMAA!$C$16)-(AL392+$B$8*0.85+AK392*$B$46))),0)</f>
        <v>0</v>
      </c>
      <c r="AO392" cm="1">
        <f t="array" ref="AO392">_xlfn.LET(_xlpm.N,$B$49,_xlpm.R,$B$48,_xlpm.Start,$B$47,_xlpm.PlanWD,AL392,_xlpm.PlanRoth,AM392,_xlpm.PlanConv,AN392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26643.760000000002</v>
      </c>
      <c r="AP392" cm="1">
        <f t="array" ref="AP392">_xlfn.LET(_xlpm.N,$B$49,_xlpm.R,$B$48,_xlpm.Start,$B$47,_xlpm.PlanWD,AL392,_xlpm.PlanRoth,AM392,_xlpm.PlanConv,AN392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392" cm="1">
        <f t="array" ref="AQ392">_xlfn.LET(_xlpm.N,$B$49,_xlpm.R,$B$48,_xlpm.Start,$B$47,_xlpm.PlanWD,AL392,_xlpm.PlanRoth,AM392,_xlpm.PlanConv,AN392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981013.57673652703</v>
      </c>
      <c r="AR392" cm="1">
        <f t="array" ref="AR392">_xlfn.LET(_xlpm.N,$B$49,_xlpm.R,$B$48,_xlpm.Start,$B$47,_xlpm.PlanWD,AL392,_xlpm.PlanRoth,AM392,_xlpm.PlanConv,AN392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1080553.2401009782</v>
      </c>
      <c r="AS392">
        <f>--AND(AK392&lt;=SUM('Retirement Gap'!$B$24:$B$25,'Retirement Gap'!$B$27),AL392+AN392&lt;=$B$47,AM392&lt;='Retirement Gap'!$B$29,ABS(AK392+AL392+AM392-$B$10)&lt;1)</f>
        <v>1</v>
      </c>
      <c r="AT392" cm="1">
        <f t="array" ref="AT392">IF(AS392=0,1E+99,_xlfn.SWITCH(LEFT($E$39,1),"1",AO392,"2",AP392*1000000000+AO392,"3",-AQ392,"4",AO392+AP392*25000+AR392*0.005-AQ392*0.0001,AO392))</f>
        <v>-981013.57673652703</v>
      </c>
    </row>
    <row r="393" spans="33:46" x14ac:dyDescent="0.55000000000000004">
      <c r="AG393">
        <f t="shared" si="48"/>
        <v>392</v>
      </c>
      <c r="AH393">
        <f t="shared" si="49"/>
        <v>0.5</v>
      </c>
      <c r="AI393">
        <f t="shared" si="50"/>
        <v>1</v>
      </c>
      <c r="AJ393">
        <f t="shared" si="51"/>
        <v>0.2</v>
      </c>
      <c r="AK393">
        <f t="shared" si="52"/>
        <v>19521.721633416484</v>
      </c>
      <c r="AL393">
        <f t="shared" si="53"/>
        <v>30372</v>
      </c>
      <c r="AM393">
        <f>MIN(MAX(0,$B$10-AL393)*AI393,'Retirement Gap'!$B$29)</f>
        <v>10850.278366583516</v>
      </c>
      <c r="AN393">
        <f>IF($E$40="B - Withdrawals + Roth conversions",AJ393*MAX(0,MIN($B$47-AL393,MIN($B$59,IRMAA!$C$16)-(AL393+$B$8*0.85+AK393*$B$46))),0)</f>
        <v>0</v>
      </c>
      <c r="AO393" cm="1">
        <f t="array" ref="AO393">_xlfn.LET(_xlpm.N,$B$49,_xlpm.R,$B$48,_xlpm.Start,$B$47,_xlpm.PlanWD,AL393,_xlpm.PlanRoth,AM393,_xlpm.PlanConv,AN393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26643.760000000002</v>
      </c>
      <c r="AP393" cm="1">
        <f t="array" ref="AP393">_xlfn.LET(_xlpm.N,$B$49,_xlpm.R,$B$48,_xlpm.Start,$B$47,_xlpm.PlanWD,AL393,_xlpm.PlanRoth,AM393,_xlpm.PlanConv,AN393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393" cm="1">
        <f t="array" ref="AQ393">_xlfn.LET(_xlpm.N,$B$49,_xlpm.R,$B$48,_xlpm.Start,$B$47,_xlpm.PlanWD,AL393,_xlpm.PlanRoth,AM393,_xlpm.PlanConv,AN393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981013.57673652703</v>
      </c>
      <c r="AR393" cm="1">
        <f t="array" ref="AR393">_xlfn.LET(_xlpm.N,$B$49,_xlpm.R,$B$48,_xlpm.Start,$B$47,_xlpm.PlanWD,AL393,_xlpm.PlanRoth,AM393,_xlpm.PlanConv,AN393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1080553.2401009782</v>
      </c>
      <c r="AS393">
        <f>--AND(AK393&lt;=SUM('Retirement Gap'!$B$24:$B$25,'Retirement Gap'!$B$27),AL393+AN393&lt;=$B$47,AM393&lt;='Retirement Gap'!$B$29,ABS(AK393+AL393+AM393-$B$10)&lt;1)</f>
        <v>1</v>
      </c>
      <c r="AT393" cm="1">
        <f t="array" ref="AT393">IF(AS393=0,1E+99,_xlfn.SWITCH(LEFT($E$39,1),"1",AO393,"2",AP393*1000000000+AO393,"3",-AQ393,"4",AO393+AP393*25000+AR393*0.005-AQ393*0.0001,AO393))</f>
        <v>-981013.57673652703</v>
      </c>
    </row>
    <row r="394" spans="33:46" x14ac:dyDescent="0.55000000000000004">
      <c r="AG394">
        <f t="shared" si="48"/>
        <v>393</v>
      </c>
      <c r="AH394">
        <f t="shared" si="49"/>
        <v>0.5</v>
      </c>
      <c r="AI394">
        <f t="shared" si="50"/>
        <v>1</v>
      </c>
      <c r="AJ394">
        <f t="shared" si="51"/>
        <v>0.4</v>
      </c>
      <c r="AK394">
        <f t="shared" si="52"/>
        <v>19521.721633416484</v>
      </c>
      <c r="AL394">
        <f t="shared" si="53"/>
        <v>30372</v>
      </c>
      <c r="AM394">
        <f>MIN(MAX(0,$B$10-AL394)*AI394,'Retirement Gap'!$B$29)</f>
        <v>10850.278366583516</v>
      </c>
      <c r="AN394">
        <f>IF($E$40="B - Withdrawals + Roth conversions",AJ394*MAX(0,MIN($B$47-AL394,MIN($B$59,IRMAA!$C$16)-(AL394+$B$8*0.85+AK394*$B$46))),0)</f>
        <v>0</v>
      </c>
      <c r="AO394" cm="1">
        <f t="array" ref="AO394">_xlfn.LET(_xlpm.N,$B$49,_xlpm.R,$B$48,_xlpm.Start,$B$47,_xlpm.PlanWD,AL394,_xlpm.PlanRoth,AM394,_xlpm.PlanConv,AN394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26643.760000000002</v>
      </c>
      <c r="AP394" cm="1">
        <f t="array" ref="AP394">_xlfn.LET(_xlpm.N,$B$49,_xlpm.R,$B$48,_xlpm.Start,$B$47,_xlpm.PlanWD,AL394,_xlpm.PlanRoth,AM394,_xlpm.PlanConv,AN394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394" cm="1">
        <f t="array" ref="AQ394">_xlfn.LET(_xlpm.N,$B$49,_xlpm.R,$B$48,_xlpm.Start,$B$47,_xlpm.PlanWD,AL394,_xlpm.PlanRoth,AM394,_xlpm.PlanConv,AN394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981013.57673652703</v>
      </c>
      <c r="AR394" cm="1">
        <f t="array" ref="AR394">_xlfn.LET(_xlpm.N,$B$49,_xlpm.R,$B$48,_xlpm.Start,$B$47,_xlpm.PlanWD,AL394,_xlpm.PlanRoth,AM394,_xlpm.PlanConv,AN394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1080553.2401009782</v>
      </c>
      <c r="AS394">
        <f>--AND(AK394&lt;=SUM('Retirement Gap'!$B$24:$B$25,'Retirement Gap'!$B$27),AL394+AN394&lt;=$B$47,AM394&lt;='Retirement Gap'!$B$29,ABS(AK394+AL394+AM394-$B$10)&lt;1)</f>
        <v>1</v>
      </c>
      <c r="AT394" cm="1">
        <f t="array" ref="AT394">IF(AS394=0,1E+99,_xlfn.SWITCH(LEFT($E$39,1),"1",AO394,"2",AP394*1000000000+AO394,"3",-AQ394,"4",AO394+AP394*25000+AR394*0.005-AQ394*0.0001,AO394))</f>
        <v>-981013.57673652703</v>
      </c>
    </row>
    <row r="395" spans="33:46" x14ac:dyDescent="0.55000000000000004">
      <c r="AG395">
        <f t="shared" si="48"/>
        <v>394</v>
      </c>
      <c r="AH395">
        <f t="shared" si="49"/>
        <v>0.5</v>
      </c>
      <c r="AI395">
        <f t="shared" si="50"/>
        <v>1</v>
      </c>
      <c r="AJ395">
        <f t="shared" si="51"/>
        <v>0.6</v>
      </c>
      <c r="AK395">
        <f t="shared" si="52"/>
        <v>19521.721633416484</v>
      </c>
      <c r="AL395">
        <f t="shared" si="53"/>
        <v>30372</v>
      </c>
      <c r="AM395">
        <f>MIN(MAX(0,$B$10-AL395)*AI395,'Retirement Gap'!$B$29)</f>
        <v>10850.278366583516</v>
      </c>
      <c r="AN395">
        <f>IF($E$40="B - Withdrawals + Roth conversions",AJ395*MAX(0,MIN($B$47-AL395,MIN($B$59,IRMAA!$C$16)-(AL395+$B$8*0.85+AK395*$B$46))),0)</f>
        <v>0</v>
      </c>
      <c r="AO395" cm="1">
        <f t="array" ref="AO395">_xlfn.LET(_xlpm.N,$B$49,_xlpm.R,$B$48,_xlpm.Start,$B$47,_xlpm.PlanWD,AL395,_xlpm.PlanRoth,AM395,_xlpm.PlanConv,AN395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26643.760000000002</v>
      </c>
      <c r="AP395" cm="1">
        <f t="array" ref="AP395">_xlfn.LET(_xlpm.N,$B$49,_xlpm.R,$B$48,_xlpm.Start,$B$47,_xlpm.PlanWD,AL395,_xlpm.PlanRoth,AM395,_xlpm.PlanConv,AN395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395" cm="1">
        <f t="array" ref="AQ395">_xlfn.LET(_xlpm.N,$B$49,_xlpm.R,$B$48,_xlpm.Start,$B$47,_xlpm.PlanWD,AL395,_xlpm.PlanRoth,AM395,_xlpm.PlanConv,AN395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981013.57673652703</v>
      </c>
      <c r="AR395" cm="1">
        <f t="array" ref="AR395">_xlfn.LET(_xlpm.N,$B$49,_xlpm.R,$B$48,_xlpm.Start,$B$47,_xlpm.PlanWD,AL395,_xlpm.PlanRoth,AM395,_xlpm.PlanConv,AN395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1080553.2401009782</v>
      </c>
      <c r="AS395">
        <f>--AND(AK395&lt;=SUM('Retirement Gap'!$B$24:$B$25,'Retirement Gap'!$B$27),AL395+AN395&lt;=$B$47,AM395&lt;='Retirement Gap'!$B$29,ABS(AK395+AL395+AM395-$B$10)&lt;1)</f>
        <v>1</v>
      </c>
      <c r="AT395" cm="1">
        <f t="array" ref="AT395">IF(AS395=0,1E+99,_xlfn.SWITCH(LEFT($E$39,1),"1",AO395,"2",AP395*1000000000+AO395,"3",-AQ395,"4",AO395+AP395*25000+AR395*0.005-AQ395*0.0001,AO395))</f>
        <v>-981013.57673652703</v>
      </c>
    </row>
    <row r="396" spans="33:46" x14ac:dyDescent="0.55000000000000004">
      <c r="AG396">
        <f t="shared" si="48"/>
        <v>395</v>
      </c>
      <c r="AH396">
        <f t="shared" si="49"/>
        <v>0.5</v>
      </c>
      <c r="AI396">
        <f t="shared" si="50"/>
        <v>1</v>
      </c>
      <c r="AJ396">
        <f t="shared" si="51"/>
        <v>0.8</v>
      </c>
      <c r="AK396">
        <f t="shared" si="52"/>
        <v>19521.721633416484</v>
      </c>
      <c r="AL396">
        <f t="shared" si="53"/>
        <v>30372</v>
      </c>
      <c r="AM396">
        <f>MIN(MAX(0,$B$10-AL396)*AI396,'Retirement Gap'!$B$29)</f>
        <v>10850.278366583516</v>
      </c>
      <c r="AN396">
        <f>IF($E$40="B - Withdrawals + Roth conversions",AJ396*MAX(0,MIN($B$47-AL396,MIN($B$59,IRMAA!$C$16)-(AL396+$B$8*0.85+AK396*$B$46))),0)</f>
        <v>0</v>
      </c>
      <c r="AO396" cm="1">
        <f t="array" ref="AO396">_xlfn.LET(_xlpm.N,$B$49,_xlpm.R,$B$48,_xlpm.Start,$B$47,_xlpm.PlanWD,AL396,_xlpm.PlanRoth,AM396,_xlpm.PlanConv,AN396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26643.760000000002</v>
      </c>
      <c r="AP396" cm="1">
        <f t="array" ref="AP396">_xlfn.LET(_xlpm.N,$B$49,_xlpm.R,$B$48,_xlpm.Start,$B$47,_xlpm.PlanWD,AL396,_xlpm.PlanRoth,AM396,_xlpm.PlanConv,AN396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396" cm="1">
        <f t="array" ref="AQ396">_xlfn.LET(_xlpm.N,$B$49,_xlpm.R,$B$48,_xlpm.Start,$B$47,_xlpm.PlanWD,AL396,_xlpm.PlanRoth,AM396,_xlpm.PlanConv,AN396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981013.57673652703</v>
      </c>
      <c r="AR396" cm="1">
        <f t="array" ref="AR396">_xlfn.LET(_xlpm.N,$B$49,_xlpm.R,$B$48,_xlpm.Start,$B$47,_xlpm.PlanWD,AL396,_xlpm.PlanRoth,AM396,_xlpm.PlanConv,AN396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1080553.2401009782</v>
      </c>
      <c r="AS396">
        <f>--AND(AK396&lt;=SUM('Retirement Gap'!$B$24:$B$25,'Retirement Gap'!$B$27),AL396+AN396&lt;=$B$47,AM396&lt;='Retirement Gap'!$B$29,ABS(AK396+AL396+AM396-$B$10)&lt;1)</f>
        <v>1</v>
      </c>
      <c r="AT396" cm="1">
        <f t="array" ref="AT396">IF(AS396=0,1E+99,_xlfn.SWITCH(LEFT($E$39,1),"1",AO396,"2",AP396*1000000000+AO396,"3",-AQ396,"4",AO396+AP396*25000+AR396*0.005-AQ396*0.0001,AO396))</f>
        <v>-981013.57673652703</v>
      </c>
    </row>
    <row r="397" spans="33:46" x14ac:dyDescent="0.55000000000000004">
      <c r="AG397">
        <f t="shared" si="48"/>
        <v>396</v>
      </c>
      <c r="AH397">
        <f t="shared" si="49"/>
        <v>0.5</v>
      </c>
      <c r="AI397">
        <f t="shared" si="50"/>
        <v>1</v>
      </c>
      <c r="AJ397">
        <f t="shared" si="51"/>
        <v>1</v>
      </c>
      <c r="AK397">
        <f t="shared" si="52"/>
        <v>19521.721633416484</v>
      </c>
      <c r="AL397">
        <f t="shared" si="53"/>
        <v>30372</v>
      </c>
      <c r="AM397">
        <f>MIN(MAX(0,$B$10-AL397)*AI397,'Retirement Gap'!$B$29)</f>
        <v>10850.278366583516</v>
      </c>
      <c r="AN397">
        <f>IF($E$40="B - Withdrawals + Roth conversions",AJ397*MAX(0,MIN($B$47-AL397,MIN($B$59,IRMAA!$C$16)-(AL397+$B$8*0.85+AK397*$B$46))),0)</f>
        <v>0</v>
      </c>
      <c r="AO397" cm="1">
        <f t="array" ref="AO397">_xlfn.LET(_xlpm.N,$B$49,_xlpm.R,$B$48,_xlpm.Start,$B$47,_xlpm.PlanWD,AL397,_xlpm.PlanRoth,AM397,_xlpm.PlanConv,AN397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26643.760000000002</v>
      </c>
      <c r="AP397" cm="1">
        <f t="array" ref="AP397">_xlfn.LET(_xlpm.N,$B$49,_xlpm.R,$B$48,_xlpm.Start,$B$47,_xlpm.PlanWD,AL397,_xlpm.PlanRoth,AM397,_xlpm.PlanConv,AN397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397" cm="1">
        <f t="array" ref="AQ397">_xlfn.LET(_xlpm.N,$B$49,_xlpm.R,$B$48,_xlpm.Start,$B$47,_xlpm.PlanWD,AL397,_xlpm.PlanRoth,AM397,_xlpm.PlanConv,AN397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981013.57673652703</v>
      </c>
      <c r="AR397" cm="1">
        <f t="array" ref="AR397">_xlfn.LET(_xlpm.N,$B$49,_xlpm.R,$B$48,_xlpm.Start,$B$47,_xlpm.PlanWD,AL397,_xlpm.PlanRoth,AM397,_xlpm.PlanConv,AN397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1080553.2401009782</v>
      </c>
      <c r="AS397">
        <f>--AND(AK397&lt;=SUM('Retirement Gap'!$B$24:$B$25,'Retirement Gap'!$B$27),AL397+AN397&lt;=$B$47,AM397&lt;='Retirement Gap'!$B$29,ABS(AK397+AL397+AM397-$B$10)&lt;1)</f>
        <v>1</v>
      </c>
      <c r="AT397" cm="1">
        <f t="array" ref="AT397">IF(AS397=0,1E+99,_xlfn.SWITCH(LEFT($E$39,1),"1",AO397,"2",AP397*1000000000+AO397,"3",-AQ397,"4",AO397+AP397*25000+AR397*0.005-AQ397*0.0001,AO397))</f>
        <v>-981013.57673652703</v>
      </c>
    </row>
    <row r="398" spans="33:46" x14ac:dyDescent="0.55000000000000004">
      <c r="AG398">
        <f t="shared" si="48"/>
        <v>397</v>
      </c>
      <c r="AH398">
        <f t="shared" si="49"/>
        <v>0.6</v>
      </c>
      <c r="AI398">
        <f t="shared" si="50"/>
        <v>0</v>
      </c>
      <c r="AJ398">
        <f t="shared" si="51"/>
        <v>0</v>
      </c>
      <c r="AK398">
        <f t="shared" si="52"/>
        <v>24297.599999999999</v>
      </c>
      <c r="AL398">
        <f t="shared" si="53"/>
        <v>36446.400000000001</v>
      </c>
      <c r="AM398">
        <f>MIN(MAX(0,$B$10-AL398)*AI398,'Retirement Gap'!$B$29)</f>
        <v>0</v>
      </c>
      <c r="AN398">
        <f>IF($E$40="B - Withdrawals + Roth conversions",AJ398*MAX(0,MIN($B$47-AL398,MIN($B$59,IRMAA!$C$16)-(AL398+$B$8*0.85+AK398*$B$46))),0)</f>
        <v>0</v>
      </c>
      <c r="AO398" cm="1">
        <f t="array" ref="AO398">_xlfn.LET(_xlpm.N,$B$49,_xlpm.R,$B$48,_xlpm.Start,$B$47,_xlpm.PlanWD,AL398,_xlpm.PlanRoth,AM398,_xlpm.PlanConv,AN398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30288.400000000001</v>
      </c>
      <c r="AP398" cm="1">
        <f t="array" ref="AP398">_xlfn.LET(_xlpm.N,$B$49,_xlpm.R,$B$48,_xlpm.Start,$B$47,_xlpm.PlanWD,AL398,_xlpm.PlanRoth,AM398,_xlpm.PlanConv,AN398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398" cm="1">
        <f t="array" ref="AQ398">_xlfn.LET(_xlpm.N,$B$49,_xlpm.R,$B$48,_xlpm.Start,$B$47,_xlpm.PlanWD,AL398,_xlpm.PlanRoth,AM398,_xlpm.PlanConv,AN398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976904.54183937958</v>
      </c>
      <c r="AR398" cm="1">
        <f t="array" ref="AR398">_xlfn.LET(_xlpm.N,$B$49,_xlpm.R,$B$48,_xlpm.Start,$B$47,_xlpm.PlanWD,AL398,_xlpm.PlanRoth,AM398,_xlpm.PlanConv,AN398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1046311.2826247542</v>
      </c>
      <c r="AS398">
        <f>--AND(AK398&lt;=SUM('Retirement Gap'!$B$24:$B$25,'Retirement Gap'!$B$27),AL398+AN398&lt;=$B$47,AM398&lt;='Retirement Gap'!$B$29,ABS(AK398+AL398+AM398-$B$10)&lt;1)</f>
        <v>1</v>
      </c>
      <c r="AT398" cm="1">
        <f t="array" ref="AT398">IF(AS398=0,1E+99,_xlfn.SWITCH(LEFT($E$39,1),"1",AO398,"2",AP398*1000000000+AO398,"3",-AQ398,"4",AO398+AP398*25000+AR398*0.005-AQ398*0.0001,AO398))</f>
        <v>-976904.54183937958</v>
      </c>
    </row>
    <row r="399" spans="33:46" x14ac:dyDescent="0.55000000000000004">
      <c r="AG399">
        <f t="shared" si="48"/>
        <v>398</v>
      </c>
      <c r="AH399">
        <f t="shared" si="49"/>
        <v>0.6</v>
      </c>
      <c r="AI399">
        <f t="shared" si="50"/>
        <v>0</v>
      </c>
      <c r="AJ399">
        <f t="shared" si="51"/>
        <v>0.2</v>
      </c>
      <c r="AK399">
        <f t="shared" si="52"/>
        <v>24297.599999999999</v>
      </c>
      <c r="AL399">
        <f t="shared" si="53"/>
        <v>36446.400000000001</v>
      </c>
      <c r="AM399">
        <f>MIN(MAX(0,$B$10-AL399)*AI399,'Retirement Gap'!$B$29)</f>
        <v>0</v>
      </c>
      <c r="AN399">
        <f>IF($E$40="B - Withdrawals + Roth conversions",AJ399*MAX(0,MIN($B$47-AL399,MIN($B$59,IRMAA!$C$16)-(AL399+$B$8*0.85+AK399*$B$46))),0)</f>
        <v>0</v>
      </c>
      <c r="AO399" cm="1">
        <f t="array" ref="AO399">_xlfn.LET(_xlpm.N,$B$49,_xlpm.R,$B$48,_xlpm.Start,$B$47,_xlpm.PlanWD,AL399,_xlpm.PlanRoth,AM399,_xlpm.PlanConv,AN399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30288.400000000001</v>
      </c>
      <c r="AP399" cm="1">
        <f t="array" ref="AP399">_xlfn.LET(_xlpm.N,$B$49,_xlpm.R,$B$48,_xlpm.Start,$B$47,_xlpm.PlanWD,AL399,_xlpm.PlanRoth,AM399,_xlpm.PlanConv,AN399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399" cm="1">
        <f t="array" ref="AQ399">_xlfn.LET(_xlpm.N,$B$49,_xlpm.R,$B$48,_xlpm.Start,$B$47,_xlpm.PlanWD,AL399,_xlpm.PlanRoth,AM399,_xlpm.PlanConv,AN399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976904.54183937958</v>
      </c>
      <c r="AR399" cm="1">
        <f t="array" ref="AR399">_xlfn.LET(_xlpm.N,$B$49,_xlpm.R,$B$48,_xlpm.Start,$B$47,_xlpm.PlanWD,AL399,_xlpm.PlanRoth,AM399,_xlpm.PlanConv,AN399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1046311.2826247542</v>
      </c>
      <c r="AS399">
        <f>--AND(AK399&lt;=SUM('Retirement Gap'!$B$24:$B$25,'Retirement Gap'!$B$27),AL399+AN399&lt;=$B$47,AM399&lt;='Retirement Gap'!$B$29,ABS(AK399+AL399+AM399-$B$10)&lt;1)</f>
        <v>1</v>
      </c>
      <c r="AT399" cm="1">
        <f t="array" ref="AT399">IF(AS399=0,1E+99,_xlfn.SWITCH(LEFT($E$39,1),"1",AO399,"2",AP399*1000000000+AO399,"3",-AQ399,"4",AO399+AP399*25000+AR399*0.005-AQ399*0.0001,AO399))</f>
        <v>-976904.54183937958</v>
      </c>
    </row>
    <row r="400" spans="33:46" x14ac:dyDescent="0.55000000000000004">
      <c r="AG400">
        <f t="shared" si="48"/>
        <v>399</v>
      </c>
      <c r="AH400">
        <f t="shared" si="49"/>
        <v>0.6</v>
      </c>
      <c r="AI400">
        <f t="shared" si="50"/>
        <v>0</v>
      </c>
      <c r="AJ400">
        <f t="shared" si="51"/>
        <v>0.4</v>
      </c>
      <c r="AK400">
        <f t="shared" si="52"/>
        <v>24297.599999999999</v>
      </c>
      <c r="AL400">
        <f t="shared" si="53"/>
        <v>36446.400000000001</v>
      </c>
      <c r="AM400">
        <f>MIN(MAX(0,$B$10-AL400)*AI400,'Retirement Gap'!$B$29)</f>
        <v>0</v>
      </c>
      <c r="AN400">
        <f>IF($E$40="B - Withdrawals + Roth conversions",AJ400*MAX(0,MIN($B$47-AL400,MIN($B$59,IRMAA!$C$16)-(AL400+$B$8*0.85+AK400*$B$46))),0)</f>
        <v>0</v>
      </c>
      <c r="AO400" cm="1">
        <f t="array" ref="AO400">_xlfn.LET(_xlpm.N,$B$49,_xlpm.R,$B$48,_xlpm.Start,$B$47,_xlpm.PlanWD,AL400,_xlpm.PlanRoth,AM400,_xlpm.PlanConv,AN400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30288.400000000001</v>
      </c>
      <c r="AP400" cm="1">
        <f t="array" ref="AP400">_xlfn.LET(_xlpm.N,$B$49,_xlpm.R,$B$48,_xlpm.Start,$B$47,_xlpm.PlanWD,AL400,_xlpm.PlanRoth,AM400,_xlpm.PlanConv,AN400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400" cm="1">
        <f t="array" ref="AQ400">_xlfn.LET(_xlpm.N,$B$49,_xlpm.R,$B$48,_xlpm.Start,$B$47,_xlpm.PlanWD,AL400,_xlpm.PlanRoth,AM400,_xlpm.PlanConv,AN400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976904.54183937958</v>
      </c>
      <c r="AR400" cm="1">
        <f t="array" ref="AR400">_xlfn.LET(_xlpm.N,$B$49,_xlpm.R,$B$48,_xlpm.Start,$B$47,_xlpm.PlanWD,AL400,_xlpm.PlanRoth,AM400,_xlpm.PlanConv,AN400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1046311.2826247542</v>
      </c>
      <c r="AS400">
        <f>--AND(AK400&lt;=SUM('Retirement Gap'!$B$24:$B$25,'Retirement Gap'!$B$27),AL400+AN400&lt;=$B$47,AM400&lt;='Retirement Gap'!$B$29,ABS(AK400+AL400+AM400-$B$10)&lt;1)</f>
        <v>1</v>
      </c>
      <c r="AT400" cm="1">
        <f t="array" ref="AT400">IF(AS400=0,1E+99,_xlfn.SWITCH(LEFT($E$39,1),"1",AO400,"2",AP400*1000000000+AO400,"3",-AQ400,"4",AO400+AP400*25000+AR400*0.005-AQ400*0.0001,AO400))</f>
        <v>-976904.54183937958</v>
      </c>
    </row>
    <row r="401" spans="33:46" x14ac:dyDescent="0.55000000000000004">
      <c r="AG401">
        <f t="shared" si="48"/>
        <v>400</v>
      </c>
      <c r="AH401">
        <f t="shared" si="49"/>
        <v>0.6</v>
      </c>
      <c r="AI401">
        <f t="shared" si="50"/>
        <v>0</v>
      </c>
      <c r="AJ401">
        <f t="shared" si="51"/>
        <v>0.6</v>
      </c>
      <c r="AK401">
        <f t="shared" si="52"/>
        <v>24297.599999999999</v>
      </c>
      <c r="AL401">
        <f t="shared" si="53"/>
        <v>36446.400000000001</v>
      </c>
      <c r="AM401">
        <f>MIN(MAX(0,$B$10-AL401)*AI401,'Retirement Gap'!$B$29)</f>
        <v>0</v>
      </c>
      <c r="AN401">
        <f>IF($E$40="B - Withdrawals + Roth conversions",AJ401*MAX(0,MIN($B$47-AL401,MIN($B$59,IRMAA!$C$16)-(AL401+$B$8*0.85+AK401*$B$46))),0)</f>
        <v>0</v>
      </c>
      <c r="AO401" cm="1">
        <f t="array" ref="AO401">_xlfn.LET(_xlpm.N,$B$49,_xlpm.R,$B$48,_xlpm.Start,$B$47,_xlpm.PlanWD,AL401,_xlpm.PlanRoth,AM401,_xlpm.PlanConv,AN401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30288.400000000001</v>
      </c>
      <c r="AP401" cm="1">
        <f t="array" ref="AP401">_xlfn.LET(_xlpm.N,$B$49,_xlpm.R,$B$48,_xlpm.Start,$B$47,_xlpm.PlanWD,AL401,_xlpm.PlanRoth,AM401,_xlpm.PlanConv,AN401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401" cm="1">
        <f t="array" ref="AQ401">_xlfn.LET(_xlpm.N,$B$49,_xlpm.R,$B$48,_xlpm.Start,$B$47,_xlpm.PlanWD,AL401,_xlpm.PlanRoth,AM401,_xlpm.PlanConv,AN401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976904.54183937958</v>
      </c>
      <c r="AR401" cm="1">
        <f t="array" ref="AR401">_xlfn.LET(_xlpm.N,$B$49,_xlpm.R,$B$48,_xlpm.Start,$B$47,_xlpm.PlanWD,AL401,_xlpm.PlanRoth,AM401,_xlpm.PlanConv,AN401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1046311.2826247542</v>
      </c>
      <c r="AS401">
        <f>--AND(AK401&lt;=SUM('Retirement Gap'!$B$24:$B$25,'Retirement Gap'!$B$27),AL401+AN401&lt;=$B$47,AM401&lt;='Retirement Gap'!$B$29,ABS(AK401+AL401+AM401-$B$10)&lt;1)</f>
        <v>1</v>
      </c>
      <c r="AT401" cm="1">
        <f t="array" ref="AT401">IF(AS401=0,1E+99,_xlfn.SWITCH(LEFT($E$39,1),"1",AO401,"2",AP401*1000000000+AO401,"3",-AQ401,"4",AO401+AP401*25000+AR401*0.005-AQ401*0.0001,AO401))</f>
        <v>-976904.54183937958</v>
      </c>
    </row>
    <row r="402" spans="33:46" x14ac:dyDescent="0.55000000000000004">
      <c r="AG402">
        <f t="shared" si="48"/>
        <v>401</v>
      </c>
      <c r="AH402">
        <f t="shared" si="49"/>
        <v>0.6</v>
      </c>
      <c r="AI402">
        <f t="shared" si="50"/>
        <v>0</v>
      </c>
      <c r="AJ402">
        <f t="shared" si="51"/>
        <v>0.8</v>
      </c>
      <c r="AK402">
        <f t="shared" si="52"/>
        <v>24297.599999999999</v>
      </c>
      <c r="AL402">
        <f t="shared" si="53"/>
        <v>36446.400000000001</v>
      </c>
      <c r="AM402">
        <f>MIN(MAX(0,$B$10-AL402)*AI402,'Retirement Gap'!$B$29)</f>
        <v>0</v>
      </c>
      <c r="AN402">
        <f>IF($E$40="B - Withdrawals + Roth conversions",AJ402*MAX(0,MIN($B$47-AL402,MIN($B$59,IRMAA!$C$16)-(AL402+$B$8*0.85+AK402*$B$46))),0)</f>
        <v>0</v>
      </c>
      <c r="AO402" cm="1">
        <f t="array" ref="AO402">_xlfn.LET(_xlpm.N,$B$49,_xlpm.R,$B$48,_xlpm.Start,$B$47,_xlpm.PlanWD,AL402,_xlpm.PlanRoth,AM402,_xlpm.PlanConv,AN402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30288.400000000001</v>
      </c>
      <c r="AP402" cm="1">
        <f t="array" ref="AP402">_xlfn.LET(_xlpm.N,$B$49,_xlpm.R,$B$48,_xlpm.Start,$B$47,_xlpm.PlanWD,AL402,_xlpm.PlanRoth,AM402,_xlpm.PlanConv,AN402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402" cm="1">
        <f t="array" ref="AQ402">_xlfn.LET(_xlpm.N,$B$49,_xlpm.R,$B$48,_xlpm.Start,$B$47,_xlpm.PlanWD,AL402,_xlpm.PlanRoth,AM402,_xlpm.PlanConv,AN402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976904.54183937958</v>
      </c>
      <c r="AR402" cm="1">
        <f t="array" ref="AR402">_xlfn.LET(_xlpm.N,$B$49,_xlpm.R,$B$48,_xlpm.Start,$B$47,_xlpm.PlanWD,AL402,_xlpm.PlanRoth,AM402,_xlpm.PlanConv,AN402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1046311.2826247542</v>
      </c>
      <c r="AS402">
        <f>--AND(AK402&lt;=SUM('Retirement Gap'!$B$24:$B$25,'Retirement Gap'!$B$27),AL402+AN402&lt;=$B$47,AM402&lt;='Retirement Gap'!$B$29,ABS(AK402+AL402+AM402-$B$10)&lt;1)</f>
        <v>1</v>
      </c>
      <c r="AT402" cm="1">
        <f t="array" ref="AT402">IF(AS402=0,1E+99,_xlfn.SWITCH(LEFT($E$39,1),"1",AO402,"2",AP402*1000000000+AO402,"3",-AQ402,"4",AO402+AP402*25000+AR402*0.005-AQ402*0.0001,AO402))</f>
        <v>-976904.54183937958</v>
      </c>
    </row>
    <row r="403" spans="33:46" x14ac:dyDescent="0.55000000000000004">
      <c r="AG403">
        <f t="shared" si="48"/>
        <v>402</v>
      </c>
      <c r="AH403">
        <f t="shared" si="49"/>
        <v>0.6</v>
      </c>
      <c r="AI403">
        <f t="shared" si="50"/>
        <v>0</v>
      </c>
      <c r="AJ403">
        <f t="shared" si="51"/>
        <v>1</v>
      </c>
      <c r="AK403">
        <f t="shared" si="52"/>
        <v>24297.599999999999</v>
      </c>
      <c r="AL403">
        <f t="shared" si="53"/>
        <v>36446.400000000001</v>
      </c>
      <c r="AM403">
        <f>MIN(MAX(0,$B$10-AL403)*AI403,'Retirement Gap'!$B$29)</f>
        <v>0</v>
      </c>
      <c r="AN403">
        <f>IF($E$40="B - Withdrawals + Roth conversions",AJ403*MAX(0,MIN($B$47-AL403,MIN($B$59,IRMAA!$C$16)-(AL403+$B$8*0.85+AK403*$B$46))),0)</f>
        <v>0</v>
      </c>
      <c r="AO403" cm="1">
        <f t="array" ref="AO403">_xlfn.LET(_xlpm.N,$B$49,_xlpm.R,$B$48,_xlpm.Start,$B$47,_xlpm.PlanWD,AL403,_xlpm.PlanRoth,AM403,_xlpm.PlanConv,AN403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30288.400000000001</v>
      </c>
      <c r="AP403" cm="1">
        <f t="array" ref="AP403">_xlfn.LET(_xlpm.N,$B$49,_xlpm.R,$B$48,_xlpm.Start,$B$47,_xlpm.PlanWD,AL403,_xlpm.PlanRoth,AM403,_xlpm.PlanConv,AN403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403" cm="1">
        <f t="array" ref="AQ403">_xlfn.LET(_xlpm.N,$B$49,_xlpm.R,$B$48,_xlpm.Start,$B$47,_xlpm.PlanWD,AL403,_xlpm.PlanRoth,AM403,_xlpm.PlanConv,AN403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976904.54183937958</v>
      </c>
      <c r="AR403" cm="1">
        <f t="array" ref="AR403">_xlfn.LET(_xlpm.N,$B$49,_xlpm.R,$B$48,_xlpm.Start,$B$47,_xlpm.PlanWD,AL403,_xlpm.PlanRoth,AM403,_xlpm.PlanConv,AN403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1046311.2826247542</v>
      </c>
      <c r="AS403">
        <f>--AND(AK403&lt;=SUM('Retirement Gap'!$B$24:$B$25,'Retirement Gap'!$B$27),AL403+AN403&lt;=$B$47,AM403&lt;='Retirement Gap'!$B$29,ABS(AK403+AL403+AM403-$B$10)&lt;1)</f>
        <v>1</v>
      </c>
      <c r="AT403" cm="1">
        <f t="array" ref="AT403">IF(AS403=0,1E+99,_xlfn.SWITCH(LEFT($E$39,1),"1",AO403,"2",AP403*1000000000+AO403,"3",-AQ403,"4",AO403+AP403*25000+AR403*0.005-AQ403*0.0001,AO403))</f>
        <v>-976904.54183937958</v>
      </c>
    </row>
    <row r="404" spans="33:46" x14ac:dyDescent="0.55000000000000004">
      <c r="AG404">
        <f t="shared" si="48"/>
        <v>403</v>
      </c>
      <c r="AH404">
        <f t="shared" si="49"/>
        <v>0.6</v>
      </c>
      <c r="AI404">
        <f t="shared" si="50"/>
        <v>0.1</v>
      </c>
      <c r="AJ404">
        <f t="shared" si="51"/>
        <v>0</v>
      </c>
      <c r="AK404">
        <f t="shared" si="52"/>
        <v>21867.84</v>
      </c>
      <c r="AL404">
        <f t="shared" si="53"/>
        <v>36446.400000000001</v>
      </c>
      <c r="AM404">
        <f>MIN(MAX(0,$B$10-AL404)*AI404,'Retirement Gap'!$B$29)</f>
        <v>2429.7599999999998</v>
      </c>
      <c r="AN404">
        <f>IF($E$40="B - Withdrawals + Roth conversions",AJ404*MAX(0,MIN($B$47-AL404,MIN($B$59,IRMAA!$C$16)-(AL404+$B$8*0.85+AK404*$B$46))),0)</f>
        <v>0</v>
      </c>
      <c r="AO404" cm="1">
        <f t="array" ref="AO404">_xlfn.LET(_xlpm.N,$B$49,_xlpm.R,$B$48,_xlpm.Start,$B$47,_xlpm.PlanWD,AL404,_xlpm.PlanRoth,AM404,_xlpm.PlanConv,AN404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30288.400000000001</v>
      </c>
      <c r="AP404" cm="1">
        <f t="array" ref="AP404">_xlfn.LET(_xlpm.N,$B$49,_xlpm.R,$B$48,_xlpm.Start,$B$47,_xlpm.PlanWD,AL404,_xlpm.PlanRoth,AM404,_xlpm.PlanConv,AN404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404" cm="1">
        <f t="array" ref="AQ404">_xlfn.LET(_xlpm.N,$B$49,_xlpm.R,$B$48,_xlpm.Start,$B$47,_xlpm.PlanWD,AL404,_xlpm.PlanRoth,AM404,_xlpm.PlanConv,AN404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976904.54183937958</v>
      </c>
      <c r="AR404" cm="1">
        <f t="array" ref="AR404">_xlfn.LET(_xlpm.N,$B$49,_xlpm.R,$B$48,_xlpm.Start,$B$47,_xlpm.PlanWD,AL404,_xlpm.PlanRoth,AM404,_xlpm.PlanConv,AN404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1046311.2826247542</v>
      </c>
      <c r="AS404">
        <f>--AND(AK404&lt;=SUM('Retirement Gap'!$B$24:$B$25,'Retirement Gap'!$B$27),AL404+AN404&lt;=$B$47,AM404&lt;='Retirement Gap'!$B$29,ABS(AK404+AL404+AM404-$B$10)&lt;1)</f>
        <v>1</v>
      </c>
      <c r="AT404" cm="1">
        <f t="array" ref="AT404">IF(AS404=0,1E+99,_xlfn.SWITCH(LEFT($E$39,1),"1",AO404,"2",AP404*1000000000+AO404,"3",-AQ404,"4",AO404+AP404*25000+AR404*0.005-AQ404*0.0001,AO404))</f>
        <v>-976904.54183937958</v>
      </c>
    </row>
    <row r="405" spans="33:46" x14ac:dyDescent="0.55000000000000004">
      <c r="AG405">
        <f t="shared" si="48"/>
        <v>404</v>
      </c>
      <c r="AH405">
        <f t="shared" si="49"/>
        <v>0.6</v>
      </c>
      <c r="AI405">
        <f t="shared" si="50"/>
        <v>0.1</v>
      </c>
      <c r="AJ405">
        <f t="shared" si="51"/>
        <v>0.2</v>
      </c>
      <c r="AK405">
        <f t="shared" si="52"/>
        <v>21867.84</v>
      </c>
      <c r="AL405">
        <f t="shared" si="53"/>
        <v>36446.400000000001</v>
      </c>
      <c r="AM405">
        <f>MIN(MAX(0,$B$10-AL405)*AI405,'Retirement Gap'!$B$29)</f>
        <v>2429.7599999999998</v>
      </c>
      <c r="AN405">
        <f>IF($E$40="B - Withdrawals + Roth conversions",AJ405*MAX(0,MIN($B$47-AL405,MIN($B$59,IRMAA!$C$16)-(AL405+$B$8*0.85+AK405*$B$46))),0)</f>
        <v>0</v>
      </c>
      <c r="AO405" cm="1">
        <f t="array" ref="AO405">_xlfn.LET(_xlpm.N,$B$49,_xlpm.R,$B$48,_xlpm.Start,$B$47,_xlpm.PlanWD,AL405,_xlpm.PlanRoth,AM405,_xlpm.PlanConv,AN405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30288.400000000001</v>
      </c>
      <c r="AP405" cm="1">
        <f t="array" ref="AP405">_xlfn.LET(_xlpm.N,$B$49,_xlpm.R,$B$48,_xlpm.Start,$B$47,_xlpm.PlanWD,AL405,_xlpm.PlanRoth,AM405,_xlpm.PlanConv,AN405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405" cm="1">
        <f t="array" ref="AQ405">_xlfn.LET(_xlpm.N,$B$49,_xlpm.R,$B$48,_xlpm.Start,$B$47,_xlpm.PlanWD,AL405,_xlpm.PlanRoth,AM405,_xlpm.PlanConv,AN405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976904.54183937958</v>
      </c>
      <c r="AR405" cm="1">
        <f t="array" ref="AR405">_xlfn.LET(_xlpm.N,$B$49,_xlpm.R,$B$48,_xlpm.Start,$B$47,_xlpm.PlanWD,AL405,_xlpm.PlanRoth,AM405,_xlpm.PlanConv,AN405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1046311.2826247542</v>
      </c>
      <c r="AS405">
        <f>--AND(AK405&lt;=SUM('Retirement Gap'!$B$24:$B$25,'Retirement Gap'!$B$27),AL405+AN405&lt;=$B$47,AM405&lt;='Retirement Gap'!$B$29,ABS(AK405+AL405+AM405-$B$10)&lt;1)</f>
        <v>1</v>
      </c>
      <c r="AT405" cm="1">
        <f t="array" ref="AT405">IF(AS405=0,1E+99,_xlfn.SWITCH(LEFT($E$39,1),"1",AO405,"2",AP405*1000000000+AO405,"3",-AQ405,"4",AO405+AP405*25000+AR405*0.005-AQ405*0.0001,AO405))</f>
        <v>-976904.54183937958</v>
      </c>
    </row>
    <row r="406" spans="33:46" x14ac:dyDescent="0.55000000000000004">
      <c r="AG406">
        <f t="shared" si="48"/>
        <v>405</v>
      </c>
      <c r="AH406">
        <f t="shared" si="49"/>
        <v>0.6</v>
      </c>
      <c r="AI406">
        <f t="shared" si="50"/>
        <v>0.1</v>
      </c>
      <c r="AJ406">
        <f t="shared" si="51"/>
        <v>0.4</v>
      </c>
      <c r="AK406">
        <f t="shared" si="52"/>
        <v>21867.84</v>
      </c>
      <c r="AL406">
        <f t="shared" si="53"/>
        <v>36446.400000000001</v>
      </c>
      <c r="AM406">
        <f>MIN(MAX(0,$B$10-AL406)*AI406,'Retirement Gap'!$B$29)</f>
        <v>2429.7599999999998</v>
      </c>
      <c r="AN406">
        <f>IF($E$40="B - Withdrawals + Roth conversions",AJ406*MAX(0,MIN($B$47-AL406,MIN($B$59,IRMAA!$C$16)-(AL406+$B$8*0.85+AK406*$B$46))),0)</f>
        <v>0</v>
      </c>
      <c r="AO406" cm="1">
        <f t="array" ref="AO406">_xlfn.LET(_xlpm.N,$B$49,_xlpm.R,$B$48,_xlpm.Start,$B$47,_xlpm.PlanWD,AL406,_xlpm.PlanRoth,AM406,_xlpm.PlanConv,AN406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30288.400000000001</v>
      </c>
      <c r="AP406" cm="1">
        <f t="array" ref="AP406">_xlfn.LET(_xlpm.N,$B$49,_xlpm.R,$B$48,_xlpm.Start,$B$47,_xlpm.PlanWD,AL406,_xlpm.PlanRoth,AM406,_xlpm.PlanConv,AN406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406" cm="1">
        <f t="array" ref="AQ406">_xlfn.LET(_xlpm.N,$B$49,_xlpm.R,$B$48,_xlpm.Start,$B$47,_xlpm.PlanWD,AL406,_xlpm.PlanRoth,AM406,_xlpm.PlanConv,AN406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976904.54183937958</v>
      </c>
      <c r="AR406" cm="1">
        <f t="array" ref="AR406">_xlfn.LET(_xlpm.N,$B$49,_xlpm.R,$B$48,_xlpm.Start,$B$47,_xlpm.PlanWD,AL406,_xlpm.PlanRoth,AM406,_xlpm.PlanConv,AN406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1046311.2826247542</v>
      </c>
      <c r="AS406">
        <f>--AND(AK406&lt;=SUM('Retirement Gap'!$B$24:$B$25,'Retirement Gap'!$B$27),AL406+AN406&lt;=$B$47,AM406&lt;='Retirement Gap'!$B$29,ABS(AK406+AL406+AM406-$B$10)&lt;1)</f>
        <v>1</v>
      </c>
      <c r="AT406" cm="1">
        <f t="array" ref="AT406">IF(AS406=0,1E+99,_xlfn.SWITCH(LEFT($E$39,1),"1",AO406,"2",AP406*1000000000+AO406,"3",-AQ406,"4",AO406+AP406*25000+AR406*0.005-AQ406*0.0001,AO406))</f>
        <v>-976904.54183937958</v>
      </c>
    </row>
    <row r="407" spans="33:46" x14ac:dyDescent="0.55000000000000004">
      <c r="AG407">
        <f t="shared" si="48"/>
        <v>406</v>
      </c>
      <c r="AH407">
        <f t="shared" si="49"/>
        <v>0.6</v>
      </c>
      <c r="AI407">
        <f t="shared" si="50"/>
        <v>0.1</v>
      </c>
      <c r="AJ407">
        <f t="shared" si="51"/>
        <v>0.6</v>
      </c>
      <c r="AK407">
        <f t="shared" si="52"/>
        <v>21867.84</v>
      </c>
      <c r="AL407">
        <f t="shared" si="53"/>
        <v>36446.400000000001</v>
      </c>
      <c r="AM407">
        <f>MIN(MAX(0,$B$10-AL407)*AI407,'Retirement Gap'!$B$29)</f>
        <v>2429.7599999999998</v>
      </c>
      <c r="AN407">
        <f>IF($E$40="B - Withdrawals + Roth conversions",AJ407*MAX(0,MIN($B$47-AL407,MIN($B$59,IRMAA!$C$16)-(AL407+$B$8*0.85+AK407*$B$46))),0)</f>
        <v>0</v>
      </c>
      <c r="AO407" cm="1">
        <f t="array" ref="AO407">_xlfn.LET(_xlpm.N,$B$49,_xlpm.R,$B$48,_xlpm.Start,$B$47,_xlpm.PlanWD,AL407,_xlpm.PlanRoth,AM407,_xlpm.PlanConv,AN407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30288.400000000001</v>
      </c>
      <c r="AP407" cm="1">
        <f t="array" ref="AP407">_xlfn.LET(_xlpm.N,$B$49,_xlpm.R,$B$48,_xlpm.Start,$B$47,_xlpm.PlanWD,AL407,_xlpm.PlanRoth,AM407,_xlpm.PlanConv,AN407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407" cm="1">
        <f t="array" ref="AQ407">_xlfn.LET(_xlpm.N,$B$49,_xlpm.R,$B$48,_xlpm.Start,$B$47,_xlpm.PlanWD,AL407,_xlpm.PlanRoth,AM407,_xlpm.PlanConv,AN407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976904.54183937958</v>
      </c>
      <c r="AR407" cm="1">
        <f t="array" ref="AR407">_xlfn.LET(_xlpm.N,$B$49,_xlpm.R,$B$48,_xlpm.Start,$B$47,_xlpm.PlanWD,AL407,_xlpm.PlanRoth,AM407,_xlpm.PlanConv,AN407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1046311.2826247542</v>
      </c>
      <c r="AS407">
        <f>--AND(AK407&lt;=SUM('Retirement Gap'!$B$24:$B$25,'Retirement Gap'!$B$27),AL407+AN407&lt;=$B$47,AM407&lt;='Retirement Gap'!$B$29,ABS(AK407+AL407+AM407-$B$10)&lt;1)</f>
        <v>1</v>
      </c>
      <c r="AT407" cm="1">
        <f t="array" ref="AT407">IF(AS407=0,1E+99,_xlfn.SWITCH(LEFT($E$39,1),"1",AO407,"2",AP407*1000000000+AO407,"3",-AQ407,"4",AO407+AP407*25000+AR407*0.005-AQ407*0.0001,AO407))</f>
        <v>-976904.54183937958</v>
      </c>
    </row>
    <row r="408" spans="33:46" x14ac:dyDescent="0.55000000000000004">
      <c r="AG408">
        <f t="shared" si="48"/>
        <v>407</v>
      </c>
      <c r="AH408">
        <f t="shared" si="49"/>
        <v>0.6</v>
      </c>
      <c r="AI408">
        <f t="shared" si="50"/>
        <v>0.1</v>
      </c>
      <c r="AJ408">
        <f t="shared" si="51"/>
        <v>0.8</v>
      </c>
      <c r="AK408">
        <f t="shared" si="52"/>
        <v>21867.84</v>
      </c>
      <c r="AL408">
        <f t="shared" si="53"/>
        <v>36446.400000000001</v>
      </c>
      <c r="AM408">
        <f>MIN(MAX(0,$B$10-AL408)*AI408,'Retirement Gap'!$B$29)</f>
        <v>2429.7599999999998</v>
      </c>
      <c r="AN408">
        <f>IF($E$40="B - Withdrawals + Roth conversions",AJ408*MAX(0,MIN($B$47-AL408,MIN($B$59,IRMAA!$C$16)-(AL408+$B$8*0.85+AK408*$B$46))),0)</f>
        <v>0</v>
      </c>
      <c r="AO408" cm="1">
        <f t="array" ref="AO408">_xlfn.LET(_xlpm.N,$B$49,_xlpm.R,$B$48,_xlpm.Start,$B$47,_xlpm.PlanWD,AL408,_xlpm.PlanRoth,AM408,_xlpm.PlanConv,AN408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30288.400000000001</v>
      </c>
      <c r="AP408" cm="1">
        <f t="array" ref="AP408">_xlfn.LET(_xlpm.N,$B$49,_xlpm.R,$B$48,_xlpm.Start,$B$47,_xlpm.PlanWD,AL408,_xlpm.PlanRoth,AM408,_xlpm.PlanConv,AN408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408" cm="1">
        <f t="array" ref="AQ408">_xlfn.LET(_xlpm.N,$B$49,_xlpm.R,$B$48,_xlpm.Start,$B$47,_xlpm.PlanWD,AL408,_xlpm.PlanRoth,AM408,_xlpm.PlanConv,AN408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976904.54183937958</v>
      </c>
      <c r="AR408" cm="1">
        <f t="array" ref="AR408">_xlfn.LET(_xlpm.N,$B$49,_xlpm.R,$B$48,_xlpm.Start,$B$47,_xlpm.PlanWD,AL408,_xlpm.PlanRoth,AM408,_xlpm.PlanConv,AN408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1046311.2826247542</v>
      </c>
      <c r="AS408">
        <f>--AND(AK408&lt;=SUM('Retirement Gap'!$B$24:$B$25,'Retirement Gap'!$B$27),AL408+AN408&lt;=$B$47,AM408&lt;='Retirement Gap'!$B$29,ABS(AK408+AL408+AM408-$B$10)&lt;1)</f>
        <v>1</v>
      </c>
      <c r="AT408" cm="1">
        <f t="array" ref="AT408">IF(AS408=0,1E+99,_xlfn.SWITCH(LEFT($E$39,1),"1",AO408,"2",AP408*1000000000+AO408,"3",-AQ408,"4",AO408+AP408*25000+AR408*0.005-AQ408*0.0001,AO408))</f>
        <v>-976904.54183937958</v>
      </c>
    </row>
    <row r="409" spans="33:46" x14ac:dyDescent="0.55000000000000004">
      <c r="AG409">
        <f t="shared" si="48"/>
        <v>408</v>
      </c>
      <c r="AH409">
        <f t="shared" si="49"/>
        <v>0.6</v>
      </c>
      <c r="AI409">
        <f t="shared" si="50"/>
        <v>0.1</v>
      </c>
      <c r="AJ409">
        <f t="shared" si="51"/>
        <v>1</v>
      </c>
      <c r="AK409">
        <f t="shared" si="52"/>
        <v>21867.84</v>
      </c>
      <c r="AL409">
        <f t="shared" si="53"/>
        <v>36446.400000000001</v>
      </c>
      <c r="AM409">
        <f>MIN(MAX(0,$B$10-AL409)*AI409,'Retirement Gap'!$B$29)</f>
        <v>2429.7599999999998</v>
      </c>
      <c r="AN409">
        <f>IF($E$40="B - Withdrawals + Roth conversions",AJ409*MAX(0,MIN($B$47-AL409,MIN($B$59,IRMAA!$C$16)-(AL409+$B$8*0.85+AK409*$B$46))),0)</f>
        <v>0</v>
      </c>
      <c r="AO409" cm="1">
        <f t="array" ref="AO409">_xlfn.LET(_xlpm.N,$B$49,_xlpm.R,$B$48,_xlpm.Start,$B$47,_xlpm.PlanWD,AL409,_xlpm.PlanRoth,AM409,_xlpm.PlanConv,AN409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30288.400000000001</v>
      </c>
      <c r="AP409" cm="1">
        <f t="array" ref="AP409">_xlfn.LET(_xlpm.N,$B$49,_xlpm.R,$B$48,_xlpm.Start,$B$47,_xlpm.PlanWD,AL409,_xlpm.PlanRoth,AM409,_xlpm.PlanConv,AN409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409" cm="1">
        <f t="array" ref="AQ409">_xlfn.LET(_xlpm.N,$B$49,_xlpm.R,$B$48,_xlpm.Start,$B$47,_xlpm.PlanWD,AL409,_xlpm.PlanRoth,AM409,_xlpm.PlanConv,AN409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976904.54183937958</v>
      </c>
      <c r="AR409" cm="1">
        <f t="array" ref="AR409">_xlfn.LET(_xlpm.N,$B$49,_xlpm.R,$B$48,_xlpm.Start,$B$47,_xlpm.PlanWD,AL409,_xlpm.PlanRoth,AM409,_xlpm.PlanConv,AN409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1046311.2826247542</v>
      </c>
      <c r="AS409">
        <f>--AND(AK409&lt;=SUM('Retirement Gap'!$B$24:$B$25,'Retirement Gap'!$B$27),AL409+AN409&lt;=$B$47,AM409&lt;='Retirement Gap'!$B$29,ABS(AK409+AL409+AM409-$B$10)&lt;1)</f>
        <v>1</v>
      </c>
      <c r="AT409" cm="1">
        <f t="array" ref="AT409">IF(AS409=0,1E+99,_xlfn.SWITCH(LEFT($E$39,1),"1",AO409,"2",AP409*1000000000+AO409,"3",-AQ409,"4",AO409+AP409*25000+AR409*0.005-AQ409*0.0001,AO409))</f>
        <v>-976904.54183937958</v>
      </c>
    </row>
    <row r="410" spans="33:46" x14ac:dyDescent="0.55000000000000004">
      <c r="AG410">
        <f t="shared" si="48"/>
        <v>409</v>
      </c>
      <c r="AH410">
        <f t="shared" si="49"/>
        <v>0.6</v>
      </c>
      <c r="AI410">
        <f t="shared" si="50"/>
        <v>0.2</v>
      </c>
      <c r="AJ410">
        <f t="shared" si="51"/>
        <v>0</v>
      </c>
      <c r="AK410">
        <f t="shared" si="52"/>
        <v>19438.079999999998</v>
      </c>
      <c r="AL410">
        <f t="shared" si="53"/>
        <v>36446.400000000001</v>
      </c>
      <c r="AM410">
        <f>MIN(MAX(0,$B$10-AL410)*AI410,'Retirement Gap'!$B$29)</f>
        <v>4859.5199999999995</v>
      </c>
      <c r="AN410">
        <f>IF($E$40="B - Withdrawals + Roth conversions",AJ410*MAX(0,MIN($B$47-AL410,MIN($B$59,IRMAA!$C$16)-(AL410+$B$8*0.85+AK410*$B$46))),0)</f>
        <v>0</v>
      </c>
      <c r="AO410" cm="1">
        <f t="array" ref="AO410">_xlfn.LET(_xlpm.N,$B$49,_xlpm.R,$B$48,_xlpm.Start,$B$47,_xlpm.PlanWD,AL410,_xlpm.PlanRoth,AM410,_xlpm.PlanConv,AN410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30288.400000000001</v>
      </c>
      <c r="AP410" cm="1">
        <f t="array" ref="AP410">_xlfn.LET(_xlpm.N,$B$49,_xlpm.R,$B$48,_xlpm.Start,$B$47,_xlpm.PlanWD,AL410,_xlpm.PlanRoth,AM410,_xlpm.PlanConv,AN410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410" cm="1">
        <f t="array" ref="AQ410">_xlfn.LET(_xlpm.N,$B$49,_xlpm.R,$B$48,_xlpm.Start,$B$47,_xlpm.PlanWD,AL410,_xlpm.PlanRoth,AM410,_xlpm.PlanConv,AN410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976904.54183937958</v>
      </c>
      <c r="AR410" cm="1">
        <f t="array" ref="AR410">_xlfn.LET(_xlpm.N,$B$49,_xlpm.R,$B$48,_xlpm.Start,$B$47,_xlpm.PlanWD,AL410,_xlpm.PlanRoth,AM410,_xlpm.PlanConv,AN410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1046311.2826247542</v>
      </c>
      <c r="AS410">
        <f>--AND(AK410&lt;=SUM('Retirement Gap'!$B$24:$B$25,'Retirement Gap'!$B$27),AL410+AN410&lt;=$B$47,AM410&lt;='Retirement Gap'!$B$29,ABS(AK410+AL410+AM410-$B$10)&lt;1)</f>
        <v>1</v>
      </c>
      <c r="AT410" cm="1">
        <f t="array" ref="AT410">IF(AS410=0,1E+99,_xlfn.SWITCH(LEFT($E$39,1),"1",AO410,"2",AP410*1000000000+AO410,"3",-AQ410,"4",AO410+AP410*25000+AR410*0.005-AQ410*0.0001,AO410))</f>
        <v>-976904.54183937958</v>
      </c>
    </row>
    <row r="411" spans="33:46" x14ac:dyDescent="0.55000000000000004">
      <c r="AG411">
        <f t="shared" si="48"/>
        <v>410</v>
      </c>
      <c r="AH411">
        <f t="shared" si="49"/>
        <v>0.6</v>
      </c>
      <c r="AI411">
        <f t="shared" si="50"/>
        <v>0.2</v>
      </c>
      <c r="AJ411">
        <f t="shared" si="51"/>
        <v>0.2</v>
      </c>
      <c r="AK411">
        <f t="shared" si="52"/>
        <v>19438.079999999998</v>
      </c>
      <c r="AL411">
        <f t="shared" si="53"/>
        <v>36446.400000000001</v>
      </c>
      <c r="AM411">
        <f>MIN(MAX(0,$B$10-AL411)*AI411,'Retirement Gap'!$B$29)</f>
        <v>4859.5199999999995</v>
      </c>
      <c r="AN411">
        <f>IF($E$40="B - Withdrawals + Roth conversions",AJ411*MAX(0,MIN($B$47-AL411,MIN($B$59,IRMAA!$C$16)-(AL411+$B$8*0.85+AK411*$B$46))),0)</f>
        <v>0</v>
      </c>
      <c r="AO411" cm="1">
        <f t="array" ref="AO411">_xlfn.LET(_xlpm.N,$B$49,_xlpm.R,$B$48,_xlpm.Start,$B$47,_xlpm.PlanWD,AL411,_xlpm.PlanRoth,AM411,_xlpm.PlanConv,AN411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30288.400000000001</v>
      </c>
      <c r="AP411" cm="1">
        <f t="array" ref="AP411">_xlfn.LET(_xlpm.N,$B$49,_xlpm.R,$B$48,_xlpm.Start,$B$47,_xlpm.PlanWD,AL411,_xlpm.PlanRoth,AM411,_xlpm.PlanConv,AN411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411" cm="1">
        <f t="array" ref="AQ411">_xlfn.LET(_xlpm.N,$B$49,_xlpm.R,$B$48,_xlpm.Start,$B$47,_xlpm.PlanWD,AL411,_xlpm.PlanRoth,AM411,_xlpm.PlanConv,AN411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976904.54183937958</v>
      </c>
      <c r="AR411" cm="1">
        <f t="array" ref="AR411">_xlfn.LET(_xlpm.N,$B$49,_xlpm.R,$B$48,_xlpm.Start,$B$47,_xlpm.PlanWD,AL411,_xlpm.PlanRoth,AM411,_xlpm.PlanConv,AN411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1046311.2826247542</v>
      </c>
      <c r="AS411">
        <f>--AND(AK411&lt;=SUM('Retirement Gap'!$B$24:$B$25,'Retirement Gap'!$B$27),AL411+AN411&lt;=$B$47,AM411&lt;='Retirement Gap'!$B$29,ABS(AK411+AL411+AM411-$B$10)&lt;1)</f>
        <v>1</v>
      </c>
      <c r="AT411" cm="1">
        <f t="array" ref="AT411">IF(AS411=0,1E+99,_xlfn.SWITCH(LEFT($E$39,1),"1",AO411,"2",AP411*1000000000+AO411,"3",-AQ411,"4",AO411+AP411*25000+AR411*0.005-AQ411*0.0001,AO411))</f>
        <v>-976904.54183937958</v>
      </c>
    </row>
    <row r="412" spans="33:46" x14ac:dyDescent="0.55000000000000004">
      <c r="AG412">
        <f t="shared" si="48"/>
        <v>411</v>
      </c>
      <c r="AH412">
        <f t="shared" si="49"/>
        <v>0.6</v>
      </c>
      <c r="AI412">
        <f t="shared" si="50"/>
        <v>0.2</v>
      </c>
      <c r="AJ412">
        <f t="shared" si="51"/>
        <v>0.4</v>
      </c>
      <c r="AK412">
        <f t="shared" si="52"/>
        <v>19438.079999999998</v>
      </c>
      <c r="AL412">
        <f t="shared" si="53"/>
        <v>36446.400000000001</v>
      </c>
      <c r="AM412">
        <f>MIN(MAX(0,$B$10-AL412)*AI412,'Retirement Gap'!$B$29)</f>
        <v>4859.5199999999995</v>
      </c>
      <c r="AN412">
        <f>IF($E$40="B - Withdrawals + Roth conversions",AJ412*MAX(0,MIN($B$47-AL412,MIN($B$59,IRMAA!$C$16)-(AL412+$B$8*0.85+AK412*$B$46))),0)</f>
        <v>0</v>
      </c>
      <c r="AO412" cm="1">
        <f t="array" ref="AO412">_xlfn.LET(_xlpm.N,$B$49,_xlpm.R,$B$48,_xlpm.Start,$B$47,_xlpm.PlanWD,AL412,_xlpm.PlanRoth,AM412,_xlpm.PlanConv,AN412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30288.400000000001</v>
      </c>
      <c r="AP412" cm="1">
        <f t="array" ref="AP412">_xlfn.LET(_xlpm.N,$B$49,_xlpm.R,$B$48,_xlpm.Start,$B$47,_xlpm.PlanWD,AL412,_xlpm.PlanRoth,AM412,_xlpm.PlanConv,AN412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412" cm="1">
        <f t="array" ref="AQ412">_xlfn.LET(_xlpm.N,$B$49,_xlpm.R,$B$48,_xlpm.Start,$B$47,_xlpm.PlanWD,AL412,_xlpm.PlanRoth,AM412,_xlpm.PlanConv,AN412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976904.54183937958</v>
      </c>
      <c r="AR412" cm="1">
        <f t="array" ref="AR412">_xlfn.LET(_xlpm.N,$B$49,_xlpm.R,$B$48,_xlpm.Start,$B$47,_xlpm.PlanWD,AL412,_xlpm.PlanRoth,AM412,_xlpm.PlanConv,AN412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1046311.2826247542</v>
      </c>
      <c r="AS412">
        <f>--AND(AK412&lt;=SUM('Retirement Gap'!$B$24:$B$25,'Retirement Gap'!$B$27),AL412+AN412&lt;=$B$47,AM412&lt;='Retirement Gap'!$B$29,ABS(AK412+AL412+AM412-$B$10)&lt;1)</f>
        <v>1</v>
      </c>
      <c r="AT412" cm="1">
        <f t="array" ref="AT412">IF(AS412=0,1E+99,_xlfn.SWITCH(LEFT($E$39,1),"1",AO412,"2",AP412*1000000000+AO412,"3",-AQ412,"4",AO412+AP412*25000+AR412*0.005-AQ412*0.0001,AO412))</f>
        <v>-976904.54183937958</v>
      </c>
    </row>
    <row r="413" spans="33:46" x14ac:dyDescent="0.55000000000000004">
      <c r="AG413">
        <f t="shared" si="48"/>
        <v>412</v>
      </c>
      <c r="AH413">
        <f t="shared" si="49"/>
        <v>0.6</v>
      </c>
      <c r="AI413">
        <f t="shared" si="50"/>
        <v>0.2</v>
      </c>
      <c r="AJ413">
        <f t="shared" si="51"/>
        <v>0.6</v>
      </c>
      <c r="AK413">
        <f t="shared" si="52"/>
        <v>19438.079999999998</v>
      </c>
      <c r="AL413">
        <f t="shared" si="53"/>
        <v>36446.400000000001</v>
      </c>
      <c r="AM413">
        <f>MIN(MAX(0,$B$10-AL413)*AI413,'Retirement Gap'!$B$29)</f>
        <v>4859.5199999999995</v>
      </c>
      <c r="AN413">
        <f>IF($E$40="B - Withdrawals + Roth conversions",AJ413*MAX(0,MIN($B$47-AL413,MIN($B$59,IRMAA!$C$16)-(AL413+$B$8*0.85+AK413*$B$46))),0)</f>
        <v>0</v>
      </c>
      <c r="AO413" cm="1">
        <f t="array" ref="AO413">_xlfn.LET(_xlpm.N,$B$49,_xlpm.R,$B$48,_xlpm.Start,$B$47,_xlpm.PlanWD,AL413,_xlpm.PlanRoth,AM413,_xlpm.PlanConv,AN413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30288.400000000001</v>
      </c>
      <c r="AP413" cm="1">
        <f t="array" ref="AP413">_xlfn.LET(_xlpm.N,$B$49,_xlpm.R,$B$48,_xlpm.Start,$B$47,_xlpm.PlanWD,AL413,_xlpm.PlanRoth,AM413,_xlpm.PlanConv,AN413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413" cm="1">
        <f t="array" ref="AQ413">_xlfn.LET(_xlpm.N,$B$49,_xlpm.R,$B$48,_xlpm.Start,$B$47,_xlpm.PlanWD,AL413,_xlpm.PlanRoth,AM413,_xlpm.PlanConv,AN413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976904.54183937958</v>
      </c>
      <c r="AR413" cm="1">
        <f t="array" ref="AR413">_xlfn.LET(_xlpm.N,$B$49,_xlpm.R,$B$48,_xlpm.Start,$B$47,_xlpm.PlanWD,AL413,_xlpm.PlanRoth,AM413,_xlpm.PlanConv,AN413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1046311.2826247542</v>
      </c>
      <c r="AS413">
        <f>--AND(AK413&lt;=SUM('Retirement Gap'!$B$24:$B$25,'Retirement Gap'!$B$27),AL413+AN413&lt;=$B$47,AM413&lt;='Retirement Gap'!$B$29,ABS(AK413+AL413+AM413-$B$10)&lt;1)</f>
        <v>1</v>
      </c>
      <c r="AT413" cm="1">
        <f t="array" ref="AT413">IF(AS413=0,1E+99,_xlfn.SWITCH(LEFT($E$39,1),"1",AO413,"2",AP413*1000000000+AO413,"3",-AQ413,"4",AO413+AP413*25000+AR413*0.005-AQ413*0.0001,AO413))</f>
        <v>-976904.54183937958</v>
      </c>
    </row>
    <row r="414" spans="33:46" x14ac:dyDescent="0.55000000000000004">
      <c r="AG414">
        <f t="shared" si="48"/>
        <v>413</v>
      </c>
      <c r="AH414">
        <f t="shared" si="49"/>
        <v>0.6</v>
      </c>
      <c r="AI414">
        <f t="shared" si="50"/>
        <v>0.2</v>
      </c>
      <c r="AJ414">
        <f t="shared" si="51"/>
        <v>0.8</v>
      </c>
      <c r="AK414">
        <f t="shared" si="52"/>
        <v>19438.079999999998</v>
      </c>
      <c r="AL414">
        <f t="shared" si="53"/>
        <v>36446.400000000001</v>
      </c>
      <c r="AM414">
        <f>MIN(MAX(0,$B$10-AL414)*AI414,'Retirement Gap'!$B$29)</f>
        <v>4859.5199999999995</v>
      </c>
      <c r="AN414">
        <f>IF($E$40="B - Withdrawals + Roth conversions",AJ414*MAX(0,MIN($B$47-AL414,MIN($B$59,IRMAA!$C$16)-(AL414+$B$8*0.85+AK414*$B$46))),0)</f>
        <v>0</v>
      </c>
      <c r="AO414" cm="1">
        <f t="array" ref="AO414">_xlfn.LET(_xlpm.N,$B$49,_xlpm.R,$B$48,_xlpm.Start,$B$47,_xlpm.PlanWD,AL414,_xlpm.PlanRoth,AM414,_xlpm.PlanConv,AN414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30288.400000000001</v>
      </c>
      <c r="AP414" cm="1">
        <f t="array" ref="AP414">_xlfn.LET(_xlpm.N,$B$49,_xlpm.R,$B$48,_xlpm.Start,$B$47,_xlpm.PlanWD,AL414,_xlpm.PlanRoth,AM414,_xlpm.PlanConv,AN414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414" cm="1">
        <f t="array" ref="AQ414">_xlfn.LET(_xlpm.N,$B$49,_xlpm.R,$B$48,_xlpm.Start,$B$47,_xlpm.PlanWD,AL414,_xlpm.PlanRoth,AM414,_xlpm.PlanConv,AN414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976904.54183937958</v>
      </c>
      <c r="AR414" cm="1">
        <f t="array" ref="AR414">_xlfn.LET(_xlpm.N,$B$49,_xlpm.R,$B$48,_xlpm.Start,$B$47,_xlpm.PlanWD,AL414,_xlpm.PlanRoth,AM414,_xlpm.PlanConv,AN414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1046311.2826247542</v>
      </c>
      <c r="AS414">
        <f>--AND(AK414&lt;=SUM('Retirement Gap'!$B$24:$B$25,'Retirement Gap'!$B$27),AL414+AN414&lt;=$B$47,AM414&lt;='Retirement Gap'!$B$29,ABS(AK414+AL414+AM414-$B$10)&lt;1)</f>
        <v>1</v>
      </c>
      <c r="AT414" cm="1">
        <f t="array" ref="AT414">IF(AS414=0,1E+99,_xlfn.SWITCH(LEFT($E$39,1),"1",AO414,"2",AP414*1000000000+AO414,"3",-AQ414,"4",AO414+AP414*25000+AR414*0.005-AQ414*0.0001,AO414))</f>
        <v>-976904.54183937958</v>
      </c>
    </row>
    <row r="415" spans="33:46" x14ac:dyDescent="0.55000000000000004">
      <c r="AG415">
        <f t="shared" si="48"/>
        <v>414</v>
      </c>
      <c r="AH415">
        <f t="shared" si="49"/>
        <v>0.6</v>
      </c>
      <c r="AI415">
        <f t="shared" si="50"/>
        <v>0.2</v>
      </c>
      <c r="AJ415">
        <f t="shared" si="51"/>
        <v>1</v>
      </c>
      <c r="AK415">
        <f t="shared" si="52"/>
        <v>19438.079999999998</v>
      </c>
      <c r="AL415">
        <f t="shared" si="53"/>
        <v>36446.400000000001</v>
      </c>
      <c r="AM415">
        <f>MIN(MAX(0,$B$10-AL415)*AI415,'Retirement Gap'!$B$29)</f>
        <v>4859.5199999999995</v>
      </c>
      <c r="AN415">
        <f>IF($E$40="B - Withdrawals + Roth conversions",AJ415*MAX(0,MIN($B$47-AL415,MIN($B$59,IRMAA!$C$16)-(AL415+$B$8*0.85+AK415*$B$46))),0)</f>
        <v>0</v>
      </c>
      <c r="AO415" cm="1">
        <f t="array" ref="AO415">_xlfn.LET(_xlpm.N,$B$49,_xlpm.R,$B$48,_xlpm.Start,$B$47,_xlpm.PlanWD,AL415,_xlpm.PlanRoth,AM415,_xlpm.PlanConv,AN415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30288.400000000001</v>
      </c>
      <c r="AP415" cm="1">
        <f t="array" ref="AP415">_xlfn.LET(_xlpm.N,$B$49,_xlpm.R,$B$48,_xlpm.Start,$B$47,_xlpm.PlanWD,AL415,_xlpm.PlanRoth,AM415,_xlpm.PlanConv,AN415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415" cm="1">
        <f t="array" ref="AQ415">_xlfn.LET(_xlpm.N,$B$49,_xlpm.R,$B$48,_xlpm.Start,$B$47,_xlpm.PlanWD,AL415,_xlpm.PlanRoth,AM415,_xlpm.PlanConv,AN415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976904.54183937958</v>
      </c>
      <c r="AR415" cm="1">
        <f t="array" ref="AR415">_xlfn.LET(_xlpm.N,$B$49,_xlpm.R,$B$48,_xlpm.Start,$B$47,_xlpm.PlanWD,AL415,_xlpm.PlanRoth,AM415,_xlpm.PlanConv,AN415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1046311.2826247542</v>
      </c>
      <c r="AS415">
        <f>--AND(AK415&lt;=SUM('Retirement Gap'!$B$24:$B$25,'Retirement Gap'!$B$27),AL415+AN415&lt;=$B$47,AM415&lt;='Retirement Gap'!$B$29,ABS(AK415+AL415+AM415-$B$10)&lt;1)</f>
        <v>1</v>
      </c>
      <c r="AT415" cm="1">
        <f t="array" ref="AT415">IF(AS415=0,1E+99,_xlfn.SWITCH(LEFT($E$39,1),"1",AO415,"2",AP415*1000000000+AO415,"3",-AQ415,"4",AO415+AP415*25000+AR415*0.005-AQ415*0.0001,AO415))</f>
        <v>-976904.54183937958</v>
      </c>
    </row>
    <row r="416" spans="33:46" x14ac:dyDescent="0.55000000000000004">
      <c r="AG416">
        <f t="shared" si="48"/>
        <v>415</v>
      </c>
      <c r="AH416">
        <f t="shared" si="49"/>
        <v>0.6</v>
      </c>
      <c r="AI416">
        <f t="shared" si="50"/>
        <v>0.3</v>
      </c>
      <c r="AJ416">
        <f t="shared" si="51"/>
        <v>0</v>
      </c>
      <c r="AK416">
        <f t="shared" si="52"/>
        <v>17008.32</v>
      </c>
      <c r="AL416">
        <f t="shared" si="53"/>
        <v>36446.400000000001</v>
      </c>
      <c r="AM416">
        <f>MIN(MAX(0,$B$10-AL416)*AI416,'Retirement Gap'!$B$29)</f>
        <v>7289.28</v>
      </c>
      <c r="AN416">
        <f>IF($E$40="B - Withdrawals + Roth conversions",AJ416*MAX(0,MIN($B$47-AL416,MIN($B$59,IRMAA!$C$16)-(AL416+$B$8*0.85+AK416*$B$46))),0)</f>
        <v>0</v>
      </c>
      <c r="AO416" cm="1">
        <f t="array" ref="AO416">_xlfn.LET(_xlpm.N,$B$49,_xlpm.R,$B$48,_xlpm.Start,$B$47,_xlpm.PlanWD,AL416,_xlpm.PlanRoth,AM416,_xlpm.PlanConv,AN416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30288.400000000001</v>
      </c>
      <c r="AP416" cm="1">
        <f t="array" ref="AP416">_xlfn.LET(_xlpm.N,$B$49,_xlpm.R,$B$48,_xlpm.Start,$B$47,_xlpm.PlanWD,AL416,_xlpm.PlanRoth,AM416,_xlpm.PlanConv,AN416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416" cm="1">
        <f t="array" ref="AQ416">_xlfn.LET(_xlpm.N,$B$49,_xlpm.R,$B$48,_xlpm.Start,$B$47,_xlpm.PlanWD,AL416,_xlpm.PlanRoth,AM416,_xlpm.PlanConv,AN416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976904.54183937958</v>
      </c>
      <c r="AR416" cm="1">
        <f t="array" ref="AR416">_xlfn.LET(_xlpm.N,$B$49,_xlpm.R,$B$48,_xlpm.Start,$B$47,_xlpm.PlanWD,AL416,_xlpm.PlanRoth,AM416,_xlpm.PlanConv,AN416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1046311.2826247542</v>
      </c>
      <c r="AS416">
        <f>--AND(AK416&lt;=SUM('Retirement Gap'!$B$24:$B$25,'Retirement Gap'!$B$27),AL416+AN416&lt;=$B$47,AM416&lt;='Retirement Gap'!$B$29,ABS(AK416+AL416+AM416-$B$10)&lt;1)</f>
        <v>1</v>
      </c>
      <c r="AT416" cm="1">
        <f t="array" ref="AT416">IF(AS416=0,1E+99,_xlfn.SWITCH(LEFT($E$39,1),"1",AO416,"2",AP416*1000000000+AO416,"3",-AQ416,"4",AO416+AP416*25000+AR416*0.005-AQ416*0.0001,AO416))</f>
        <v>-976904.54183937958</v>
      </c>
    </row>
    <row r="417" spans="33:46" x14ac:dyDescent="0.55000000000000004">
      <c r="AG417">
        <f t="shared" si="48"/>
        <v>416</v>
      </c>
      <c r="AH417">
        <f t="shared" si="49"/>
        <v>0.6</v>
      </c>
      <c r="AI417">
        <f t="shared" si="50"/>
        <v>0.3</v>
      </c>
      <c r="AJ417">
        <f t="shared" si="51"/>
        <v>0.2</v>
      </c>
      <c r="AK417">
        <f t="shared" si="52"/>
        <v>17008.32</v>
      </c>
      <c r="AL417">
        <f t="shared" si="53"/>
        <v>36446.400000000001</v>
      </c>
      <c r="AM417">
        <f>MIN(MAX(0,$B$10-AL417)*AI417,'Retirement Gap'!$B$29)</f>
        <v>7289.28</v>
      </c>
      <c r="AN417">
        <f>IF($E$40="B - Withdrawals + Roth conversions",AJ417*MAX(0,MIN($B$47-AL417,MIN($B$59,IRMAA!$C$16)-(AL417+$B$8*0.85+AK417*$B$46))),0)</f>
        <v>0</v>
      </c>
      <c r="AO417" cm="1">
        <f t="array" ref="AO417">_xlfn.LET(_xlpm.N,$B$49,_xlpm.R,$B$48,_xlpm.Start,$B$47,_xlpm.PlanWD,AL417,_xlpm.PlanRoth,AM417,_xlpm.PlanConv,AN417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30288.400000000001</v>
      </c>
      <c r="AP417" cm="1">
        <f t="array" ref="AP417">_xlfn.LET(_xlpm.N,$B$49,_xlpm.R,$B$48,_xlpm.Start,$B$47,_xlpm.PlanWD,AL417,_xlpm.PlanRoth,AM417,_xlpm.PlanConv,AN417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417" cm="1">
        <f t="array" ref="AQ417">_xlfn.LET(_xlpm.N,$B$49,_xlpm.R,$B$48,_xlpm.Start,$B$47,_xlpm.PlanWD,AL417,_xlpm.PlanRoth,AM417,_xlpm.PlanConv,AN417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976904.54183937958</v>
      </c>
      <c r="AR417" cm="1">
        <f t="array" ref="AR417">_xlfn.LET(_xlpm.N,$B$49,_xlpm.R,$B$48,_xlpm.Start,$B$47,_xlpm.PlanWD,AL417,_xlpm.PlanRoth,AM417,_xlpm.PlanConv,AN417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1046311.2826247542</v>
      </c>
      <c r="AS417">
        <f>--AND(AK417&lt;=SUM('Retirement Gap'!$B$24:$B$25,'Retirement Gap'!$B$27),AL417+AN417&lt;=$B$47,AM417&lt;='Retirement Gap'!$B$29,ABS(AK417+AL417+AM417-$B$10)&lt;1)</f>
        <v>1</v>
      </c>
      <c r="AT417" cm="1">
        <f t="array" ref="AT417">IF(AS417=0,1E+99,_xlfn.SWITCH(LEFT($E$39,1),"1",AO417,"2",AP417*1000000000+AO417,"3",-AQ417,"4",AO417+AP417*25000+AR417*0.005-AQ417*0.0001,AO417))</f>
        <v>-976904.54183937958</v>
      </c>
    </row>
    <row r="418" spans="33:46" x14ac:dyDescent="0.55000000000000004">
      <c r="AG418">
        <f t="shared" si="48"/>
        <v>417</v>
      </c>
      <c r="AH418">
        <f t="shared" si="49"/>
        <v>0.6</v>
      </c>
      <c r="AI418">
        <f t="shared" si="50"/>
        <v>0.3</v>
      </c>
      <c r="AJ418">
        <f t="shared" si="51"/>
        <v>0.4</v>
      </c>
      <c r="AK418">
        <f t="shared" si="52"/>
        <v>17008.32</v>
      </c>
      <c r="AL418">
        <f t="shared" si="53"/>
        <v>36446.400000000001</v>
      </c>
      <c r="AM418">
        <f>MIN(MAX(0,$B$10-AL418)*AI418,'Retirement Gap'!$B$29)</f>
        <v>7289.28</v>
      </c>
      <c r="AN418">
        <f>IF($E$40="B - Withdrawals + Roth conversions",AJ418*MAX(0,MIN($B$47-AL418,MIN($B$59,IRMAA!$C$16)-(AL418+$B$8*0.85+AK418*$B$46))),0)</f>
        <v>0</v>
      </c>
      <c r="AO418" cm="1">
        <f t="array" ref="AO418">_xlfn.LET(_xlpm.N,$B$49,_xlpm.R,$B$48,_xlpm.Start,$B$47,_xlpm.PlanWD,AL418,_xlpm.PlanRoth,AM418,_xlpm.PlanConv,AN418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30288.400000000001</v>
      </c>
      <c r="AP418" cm="1">
        <f t="array" ref="AP418">_xlfn.LET(_xlpm.N,$B$49,_xlpm.R,$B$48,_xlpm.Start,$B$47,_xlpm.PlanWD,AL418,_xlpm.PlanRoth,AM418,_xlpm.PlanConv,AN418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418" cm="1">
        <f t="array" ref="AQ418">_xlfn.LET(_xlpm.N,$B$49,_xlpm.R,$B$48,_xlpm.Start,$B$47,_xlpm.PlanWD,AL418,_xlpm.PlanRoth,AM418,_xlpm.PlanConv,AN418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976904.54183937958</v>
      </c>
      <c r="AR418" cm="1">
        <f t="array" ref="AR418">_xlfn.LET(_xlpm.N,$B$49,_xlpm.R,$B$48,_xlpm.Start,$B$47,_xlpm.PlanWD,AL418,_xlpm.PlanRoth,AM418,_xlpm.PlanConv,AN418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1046311.2826247542</v>
      </c>
      <c r="AS418">
        <f>--AND(AK418&lt;=SUM('Retirement Gap'!$B$24:$B$25,'Retirement Gap'!$B$27),AL418+AN418&lt;=$B$47,AM418&lt;='Retirement Gap'!$B$29,ABS(AK418+AL418+AM418-$B$10)&lt;1)</f>
        <v>1</v>
      </c>
      <c r="AT418" cm="1">
        <f t="array" ref="AT418">IF(AS418=0,1E+99,_xlfn.SWITCH(LEFT($E$39,1),"1",AO418,"2",AP418*1000000000+AO418,"3",-AQ418,"4",AO418+AP418*25000+AR418*0.005-AQ418*0.0001,AO418))</f>
        <v>-976904.54183937958</v>
      </c>
    </row>
    <row r="419" spans="33:46" x14ac:dyDescent="0.55000000000000004">
      <c r="AG419">
        <f t="shared" si="48"/>
        <v>418</v>
      </c>
      <c r="AH419">
        <f t="shared" si="49"/>
        <v>0.6</v>
      </c>
      <c r="AI419">
        <f t="shared" si="50"/>
        <v>0.3</v>
      </c>
      <c r="AJ419">
        <f t="shared" si="51"/>
        <v>0.6</v>
      </c>
      <c r="AK419">
        <f t="shared" si="52"/>
        <v>17008.32</v>
      </c>
      <c r="AL419">
        <f t="shared" si="53"/>
        <v>36446.400000000001</v>
      </c>
      <c r="AM419">
        <f>MIN(MAX(0,$B$10-AL419)*AI419,'Retirement Gap'!$B$29)</f>
        <v>7289.28</v>
      </c>
      <c r="AN419">
        <f>IF($E$40="B - Withdrawals + Roth conversions",AJ419*MAX(0,MIN($B$47-AL419,MIN($B$59,IRMAA!$C$16)-(AL419+$B$8*0.85+AK419*$B$46))),0)</f>
        <v>0</v>
      </c>
      <c r="AO419" cm="1">
        <f t="array" ref="AO419">_xlfn.LET(_xlpm.N,$B$49,_xlpm.R,$B$48,_xlpm.Start,$B$47,_xlpm.PlanWD,AL419,_xlpm.PlanRoth,AM419,_xlpm.PlanConv,AN419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30288.400000000001</v>
      </c>
      <c r="AP419" cm="1">
        <f t="array" ref="AP419">_xlfn.LET(_xlpm.N,$B$49,_xlpm.R,$B$48,_xlpm.Start,$B$47,_xlpm.PlanWD,AL419,_xlpm.PlanRoth,AM419,_xlpm.PlanConv,AN419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419" cm="1">
        <f t="array" ref="AQ419">_xlfn.LET(_xlpm.N,$B$49,_xlpm.R,$B$48,_xlpm.Start,$B$47,_xlpm.PlanWD,AL419,_xlpm.PlanRoth,AM419,_xlpm.PlanConv,AN419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976904.54183937958</v>
      </c>
      <c r="AR419" cm="1">
        <f t="array" ref="AR419">_xlfn.LET(_xlpm.N,$B$49,_xlpm.R,$B$48,_xlpm.Start,$B$47,_xlpm.PlanWD,AL419,_xlpm.PlanRoth,AM419,_xlpm.PlanConv,AN419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1046311.2826247542</v>
      </c>
      <c r="AS419">
        <f>--AND(AK419&lt;=SUM('Retirement Gap'!$B$24:$B$25,'Retirement Gap'!$B$27),AL419+AN419&lt;=$B$47,AM419&lt;='Retirement Gap'!$B$29,ABS(AK419+AL419+AM419-$B$10)&lt;1)</f>
        <v>1</v>
      </c>
      <c r="AT419" cm="1">
        <f t="array" ref="AT419">IF(AS419=0,1E+99,_xlfn.SWITCH(LEFT($E$39,1),"1",AO419,"2",AP419*1000000000+AO419,"3",-AQ419,"4",AO419+AP419*25000+AR419*0.005-AQ419*0.0001,AO419))</f>
        <v>-976904.54183937958</v>
      </c>
    </row>
    <row r="420" spans="33:46" x14ac:dyDescent="0.55000000000000004">
      <c r="AG420">
        <f t="shared" si="48"/>
        <v>419</v>
      </c>
      <c r="AH420">
        <f t="shared" si="49"/>
        <v>0.6</v>
      </c>
      <c r="AI420">
        <f t="shared" si="50"/>
        <v>0.3</v>
      </c>
      <c r="AJ420">
        <f t="shared" si="51"/>
        <v>0.8</v>
      </c>
      <c r="AK420">
        <f t="shared" si="52"/>
        <v>17008.32</v>
      </c>
      <c r="AL420">
        <f t="shared" si="53"/>
        <v>36446.400000000001</v>
      </c>
      <c r="AM420">
        <f>MIN(MAX(0,$B$10-AL420)*AI420,'Retirement Gap'!$B$29)</f>
        <v>7289.28</v>
      </c>
      <c r="AN420">
        <f>IF($E$40="B - Withdrawals + Roth conversions",AJ420*MAX(0,MIN($B$47-AL420,MIN($B$59,IRMAA!$C$16)-(AL420+$B$8*0.85+AK420*$B$46))),0)</f>
        <v>0</v>
      </c>
      <c r="AO420" cm="1">
        <f t="array" ref="AO420">_xlfn.LET(_xlpm.N,$B$49,_xlpm.R,$B$48,_xlpm.Start,$B$47,_xlpm.PlanWD,AL420,_xlpm.PlanRoth,AM420,_xlpm.PlanConv,AN420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30288.400000000001</v>
      </c>
      <c r="AP420" cm="1">
        <f t="array" ref="AP420">_xlfn.LET(_xlpm.N,$B$49,_xlpm.R,$B$48,_xlpm.Start,$B$47,_xlpm.PlanWD,AL420,_xlpm.PlanRoth,AM420,_xlpm.PlanConv,AN420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420" cm="1">
        <f t="array" ref="AQ420">_xlfn.LET(_xlpm.N,$B$49,_xlpm.R,$B$48,_xlpm.Start,$B$47,_xlpm.PlanWD,AL420,_xlpm.PlanRoth,AM420,_xlpm.PlanConv,AN420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976904.54183937958</v>
      </c>
      <c r="AR420" cm="1">
        <f t="array" ref="AR420">_xlfn.LET(_xlpm.N,$B$49,_xlpm.R,$B$48,_xlpm.Start,$B$47,_xlpm.PlanWD,AL420,_xlpm.PlanRoth,AM420,_xlpm.PlanConv,AN420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1046311.2826247542</v>
      </c>
      <c r="AS420">
        <f>--AND(AK420&lt;=SUM('Retirement Gap'!$B$24:$B$25,'Retirement Gap'!$B$27),AL420+AN420&lt;=$B$47,AM420&lt;='Retirement Gap'!$B$29,ABS(AK420+AL420+AM420-$B$10)&lt;1)</f>
        <v>1</v>
      </c>
      <c r="AT420" cm="1">
        <f t="array" ref="AT420">IF(AS420=0,1E+99,_xlfn.SWITCH(LEFT($E$39,1),"1",AO420,"2",AP420*1000000000+AO420,"3",-AQ420,"4",AO420+AP420*25000+AR420*0.005-AQ420*0.0001,AO420))</f>
        <v>-976904.54183937958</v>
      </c>
    </row>
    <row r="421" spans="33:46" x14ac:dyDescent="0.55000000000000004">
      <c r="AG421">
        <f t="shared" si="48"/>
        <v>420</v>
      </c>
      <c r="AH421">
        <f t="shared" si="49"/>
        <v>0.6</v>
      </c>
      <c r="AI421">
        <f t="shared" si="50"/>
        <v>0.3</v>
      </c>
      <c r="AJ421">
        <f t="shared" si="51"/>
        <v>1</v>
      </c>
      <c r="AK421">
        <f t="shared" si="52"/>
        <v>17008.32</v>
      </c>
      <c r="AL421">
        <f t="shared" si="53"/>
        <v>36446.400000000001</v>
      </c>
      <c r="AM421">
        <f>MIN(MAX(0,$B$10-AL421)*AI421,'Retirement Gap'!$B$29)</f>
        <v>7289.28</v>
      </c>
      <c r="AN421">
        <f>IF($E$40="B - Withdrawals + Roth conversions",AJ421*MAX(0,MIN($B$47-AL421,MIN($B$59,IRMAA!$C$16)-(AL421+$B$8*0.85+AK421*$B$46))),0)</f>
        <v>0</v>
      </c>
      <c r="AO421" cm="1">
        <f t="array" ref="AO421">_xlfn.LET(_xlpm.N,$B$49,_xlpm.R,$B$48,_xlpm.Start,$B$47,_xlpm.PlanWD,AL421,_xlpm.PlanRoth,AM421,_xlpm.PlanConv,AN421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30288.400000000001</v>
      </c>
      <c r="AP421" cm="1">
        <f t="array" ref="AP421">_xlfn.LET(_xlpm.N,$B$49,_xlpm.R,$B$48,_xlpm.Start,$B$47,_xlpm.PlanWD,AL421,_xlpm.PlanRoth,AM421,_xlpm.PlanConv,AN421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421" cm="1">
        <f t="array" ref="AQ421">_xlfn.LET(_xlpm.N,$B$49,_xlpm.R,$B$48,_xlpm.Start,$B$47,_xlpm.PlanWD,AL421,_xlpm.PlanRoth,AM421,_xlpm.PlanConv,AN421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976904.54183937958</v>
      </c>
      <c r="AR421" cm="1">
        <f t="array" ref="AR421">_xlfn.LET(_xlpm.N,$B$49,_xlpm.R,$B$48,_xlpm.Start,$B$47,_xlpm.PlanWD,AL421,_xlpm.PlanRoth,AM421,_xlpm.PlanConv,AN421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1046311.2826247542</v>
      </c>
      <c r="AS421">
        <f>--AND(AK421&lt;=SUM('Retirement Gap'!$B$24:$B$25,'Retirement Gap'!$B$27),AL421+AN421&lt;=$B$47,AM421&lt;='Retirement Gap'!$B$29,ABS(AK421+AL421+AM421-$B$10)&lt;1)</f>
        <v>1</v>
      </c>
      <c r="AT421" cm="1">
        <f t="array" ref="AT421">IF(AS421=0,1E+99,_xlfn.SWITCH(LEFT($E$39,1),"1",AO421,"2",AP421*1000000000+AO421,"3",-AQ421,"4",AO421+AP421*25000+AR421*0.005-AQ421*0.0001,AO421))</f>
        <v>-976904.54183937958</v>
      </c>
    </row>
    <row r="422" spans="33:46" x14ac:dyDescent="0.55000000000000004">
      <c r="AG422">
        <f t="shared" si="48"/>
        <v>421</v>
      </c>
      <c r="AH422">
        <f t="shared" si="49"/>
        <v>0.6</v>
      </c>
      <c r="AI422">
        <f t="shared" si="50"/>
        <v>0.4</v>
      </c>
      <c r="AJ422">
        <f t="shared" si="51"/>
        <v>0</v>
      </c>
      <c r="AK422">
        <f t="shared" si="52"/>
        <v>14578.56</v>
      </c>
      <c r="AL422">
        <f t="shared" si="53"/>
        <v>36446.400000000001</v>
      </c>
      <c r="AM422">
        <f>MIN(MAX(0,$B$10-AL422)*AI422,'Retirement Gap'!$B$29)</f>
        <v>9719.0399999999991</v>
      </c>
      <c r="AN422">
        <f>IF($E$40="B - Withdrawals + Roth conversions",AJ422*MAX(0,MIN($B$47-AL422,MIN($B$59,IRMAA!$C$16)-(AL422+$B$8*0.85+AK422*$B$46))),0)</f>
        <v>0</v>
      </c>
      <c r="AO422" cm="1">
        <f t="array" ref="AO422">_xlfn.LET(_xlpm.N,$B$49,_xlpm.R,$B$48,_xlpm.Start,$B$47,_xlpm.PlanWD,AL422,_xlpm.PlanRoth,AM422,_xlpm.PlanConv,AN422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30288.400000000001</v>
      </c>
      <c r="AP422" cm="1">
        <f t="array" ref="AP422">_xlfn.LET(_xlpm.N,$B$49,_xlpm.R,$B$48,_xlpm.Start,$B$47,_xlpm.PlanWD,AL422,_xlpm.PlanRoth,AM422,_xlpm.PlanConv,AN422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422" cm="1">
        <f t="array" ref="AQ422">_xlfn.LET(_xlpm.N,$B$49,_xlpm.R,$B$48,_xlpm.Start,$B$47,_xlpm.PlanWD,AL422,_xlpm.PlanRoth,AM422,_xlpm.PlanConv,AN422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976904.54183937958</v>
      </c>
      <c r="AR422" cm="1">
        <f t="array" ref="AR422">_xlfn.LET(_xlpm.N,$B$49,_xlpm.R,$B$48,_xlpm.Start,$B$47,_xlpm.PlanWD,AL422,_xlpm.PlanRoth,AM422,_xlpm.PlanConv,AN422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1046311.2826247542</v>
      </c>
      <c r="AS422">
        <f>--AND(AK422&lt;=SUM('Retirement Gap'!$B$24:$B$25,'Retirement Gap'!$B$27),AL422+AN422&lt;=$B$47,AM422&lt;='Retirement Gap'!$B$29,ABS(AK422+AL422+AM422-$B$10)&lt;1)</f>
        <v>1</v>
      </c>
      <c r="AT422" cm="1">
        <f t="array" ref="AT422">IF(AS422=0,1E+99,_xlfn.SWITCH(LEFT($E$39,1),"1",AO422,"2",AP422*1000000000+AO422,"3",-AQ422,"4",AO422+AP422*25000+AR422*0.005-AQ422*0.0001,AO422))</f>
        <v>-976904.54183937958</v>
      </c>
    </row>
    <row r="423" spans="33:46" x14ac:dyDescent="0.55000000000000004">
      <c r="AG423">
        <f t="shared" si="48"/>
        <v>422</v>
      </c>
      <c r="AH423">
        <f t="shared" si="49"/>
        <v>0.6</v>
      </c>
      <c r="AI423">
        <f t="shared" si="50"/>
        <v>0.4</v>
      </c>
      <c r="AJ423">
        <f t="shared" si="51"/>
        <v>0.2</v>
      </c>
      <c r="AK423">
        <f t="shared" si="52"/>
        <v>14578.56</v>
      </c>
      <c r="AL423">
        <f t="shared" si="53"/>
        <v>36446.400000000001</v>
      </c>
      <c r="AM423">
        <f>MIN(MAX(0,$B$10-AL423)*AI423,'Retirement Gap'!$B$29)</f>
        <v>9719.0399999999991</v>
      </c>
      <c r="AN423">
        <f>IF($E$40="B - Withdrawals + Roth conversions",AJ423*MAX(0,MIN($B$47-AL423,MIN($B$59,IRMAA!$C$16)-(AL423+$B$8*0.85+AK423*$B$46))),0)</f>
        <v>0</v>
      </c>
      <c r="AO423" cm="1">
        <f t="array" ref="AO423">_xlfn.LET(_xlpm.N,$B$49,_xlpm.R,$B$48,_xlpm.Start,$B$47,_xlpm.PlanWD,AL423,_xlpm.PlanRoth,AM423,_xlpm.PlanConv,AN423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30288.400000000001</v>
      </c>
      <c r="AP423" cm="1">
        <f t="array" ref="AP423">_xlfn.LET(_xlpm.N,$B$49,_xlpm.R,$B$48,_xlpm.Start,$B$47,_xlpm.PlanWD,AL423,_xlpm.PlanRoth,AM423,_xlpm.PlanConv,AN423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423" cm="1">
        <f t="array" ref="AQ423">_xlfn.LET(_xlpm.N,$B$49,_xlpm.R,$B$48,_xlpm.Start,$B$47,_xlpm.PlanWD,AL423,_xlpm.PlanRoth,AM423,_xlpm.PlanConv,AN423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976904.54183937958</v>
      </c>
      <c r="AR423" cm="1">
        <f t="array" ref="AR423">_xlfn.LET(_xlpm.N,$B$49,_xlpm.R,$B$48,_xlpm.Start,$B$47,_xlpm.PlanWD,AL423,_xlpm.PlanRoth,AM423,_xlpm.PlanConv,AN423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1046311.2826247542</v>
      </c>
      <c r="AS423">
        <f>--AND(AK423&lt;=SUM('Retirement Gap'!$B$24:$B$25,'Retirement Gap'!$B$27),AL423+AN423&lt;=$B$47,AM423&lt;='Retirement Gap'!$B$29,ABS(AK423+AL423+AM423-$B$10)&lt;1)</f>
        <v>1</v>
      </c>
      <c r="AT423" cm="1">
        <f t="array" ref="AT423">IF(AS423=0,1E+99,_xlfn.SWITCH(LEFT($E$39,1),"1",AO423,"2",AP423*1000000000+AO423,"3",-AQ423,"4",AO423+AP423*25000+AR423*0.005-AQ423*0.0001,AO423))</f>
        <v>-976904.54183937958</v>
      </c>
    </row>
    <row r="424" spans="33:46" x14ac:dyDescent="0.55000000000000004">
      <c r="AG424">
        <f t="shared" si="48"/>
        <v>423</v>
      </c>
      <c r="AH424">
        <f t="shared" si="49"/>
        <v>0.6</v>
      </c>
      <c r="AI424">
        <f t="shared" si="50"/>
        <v>0.4</v>
      </c>
      <c r="AJ424">
        <f t="shared" si="51"/>
        <v>0.4</v>
      </c>
      <c r="AK424">
        <f t="shared" si="52"/>
        <v>14578.56</v>
      </c>
      <c r="AL424">
        <f t="shared" si="53"/>
        <v>36446.400000000001</v>
      </c>
      <c r="AM424">
        <f>MIN(MAX(0,$B$10-AL424)*AI424,'Retirement Gap'!$B$29)</f>
        <v>9719.0399999999991</v>
      </c>
      <c r="AN424">
        <f>IF($E$40="B - Withdrawals + Roth conversions",AJ424*MAX(0,MIN($B$47-AL424,MIN($B$59,IRMAA!$C$16)-(AL424+$B$8*0.85+AK424*$B$46))),0)</f>
        <v>0</v>
      </c>
      <c r="AO424" cm="1">
        <f t="array" ref="AO424">_xlfn.LET(_xlpm.N,$B$49,_xlpm.R,$B$48,_xlpm.Start,$B$47,_xlpm.PlanWD,AL424,_xlpm.PlanRoth,AM424,_xlpm.PlanConv,AN424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30288.400000000001</v>
      </c>
      <c r="AP424" cm="1">
        <f t="array" ref="AP424">_xlfn.LET(_xlpm.N,$B$49,_xlpm.R,$B$48,_xlpm.Start,$B$47,_xlpm.PlanWD,AL424,_xlpm.PlanRoth,AM424,_xlpm.PlanConv,AN424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424" cm="1">
        <f t="array" ref="AQ424">_xlfn.LET(_xlpm.N,$B$49,_xlpm.R,$B$48,_xlpm.Start,$B$47,_xlpm.PlanWD,AL424,_xlpm.PlanRoth,AM424,_xlpm.PlanConv,AN424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976904.54183937958</v>
      </c>
      <c r="AR424" cm="1">
        <f t="array" ref="AR424">_xlfn.LET(_xlpm.N,$B$49,_xlpm.R,$B$48,_xlpm.Start,$B$47,_xlpm.PlanWD,AL424,_xlpm.PlanRoth,AM424,_xlpm.PlanConv,AN424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1046311.2826247542</v>
      </c>
      <c r="AS424">
        <f>--AND(AK424&lt;=SUM('Retirement Gap'!$B$24:$B$25,'Retirement Gap'!$B$27),AL424+AN424&lt;=$B$47,AM424&lt;='Retirement Gap'!$B$29,ABS(AK424+AL424+AM424-$B$10)&lt;1)</f>
        <v>1</v>
      </c>
      <c r="AT424" cm="1">
        <f t="array" ref="AT424">IF(AS424=0,1E+99,_xlfn.SWITCH(LEFT($E$39,1),"1",AO424,"2",AP424*1000000000+AO424,"3",-AQ424,"4",AO424+AP424*25000+AR424*0.005-AQ424*0.0001,AO424))</f>
        <v>-976904.54183937958</v>
      </c>
    </row>
    <row r="425" spans="33:46" x14ac:dyDescent="0.55000000000000004">
      <c r="AG425">
        <f t="shared" si="48"/>
        <v>424</v>
      </c>
      <c r="AH425">
        <f t="shared" si="49"/>
        <v>0.6</v>
      </c>
      <c r="AI425">
        <f t="shared" si="50"/>
        <v>0.4</v>
      </c>
      <c r="AJ425">
        <f t="shared" si="51"/>
        <v>0.6</v>
      </c>
      <c r="AK425">
        <f t="shared" si="52"/>
        <v>14578.56</v>
      </c>
      <c r="AL425">
        <f t="shared" si="53"/>
        <v>36446.400000000001</v>
      </c>
      <c r="AM425">
        <f>MIN(MAX(0,$B$10-AL425)*AI425,'Retirement Gap'!$B$29)</f>
        <v>9719.0399999999991</v>
      </c>
      <c r="AN425">
        <f>IF($E$40="B - Withdrawals + Roth conversions",AJ425*MAX(0,MIN($B$47-AL425,MIN($B$59,IRMAA!$C$16)-(AL425+$B$8*0.85+AK425*$B$46))),0)</f>
        <v>0</v>
      </c>
      <c r="AO425" cm="1">
        <f t="array" ref="AO425">_xlfn.LET(_xlpm.N,$B$49,_xlpm.R,$B$48,_xlpm.Start,$B$47,_xlpm.PlanWD,AL425,_xlpm.PlanRoth,AM425,_xlpm.PlanConv,AN425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30288.400000000001</v>
      </c>
      <c r="AP425" cm="1">
        <f t="array" ref="AP425">_xlfn.LET(_xlpm.N,$B$49,_xlpm.R,$B$48,_xlpm.Start,$B$47,_xlpm.PlanWD,AL425,_xlpm.PlanRoth,AM425,_xlpm.PlanConv,AN425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425" cm="1">
        <f t="array" ref="AQ425">_xlfn.LET(_xlpm.N,$B$49,_xlpm.R,$B$48,_xlpm.Start,$B$47,_xlpm.PlanWD,AL425,_xlpm.PlanRoth,AM425,_xlpm.PlanConv,AN425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976904.54183937958</v>
      </c>
      <c r="AR425" cm="1">
        <f t="array" ref="AR425">_xlfn.LET(_xlpm.N,$B$49,_xlpm.R,$B$48,_xlpm.Start,$B$47,_xlpm.PlanWD,AL425,_xlpm.PlanRoth,AM425,_xlpm.PlanConv,AN425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1046311.2826247542</v>
      </c>
      <c r="AS425">
        <f>--AND(AK425&lt;=SUM('Retirement Gap'!$B$24:$B$25,'Retirement Gap'!$B$27),AL425+AN425&lt;=$B$47,AM425&lt;='Retirement Gap'!$B$29,ABS(AK425+AL425+AM425-$B$10)&lt;1)</f>
        <v>1</v>
      </c>
      <c r="AT425" cm="1">
        <f t="array" ref="AT425">IF(AS425=0,1E+99,_xlfn.SWITCH(LEFT($E$39,1),"1",AO425,"2",AP425*1000000000+AO425,"3",-AQ425,"4",AO425+AP425*25000+AR425*0.005-AQ425*0.0001,AO425))</f>
        <v>-976904.54183937958</v>
      </c>
    </row>
    <row r="426" spans="33:46" x14ac:dyDescent="0.55000000000000004">
      <c r="AG426">
        <f t="shared" si="48"/>
        <v>425</v>
      </c>
      <c r="AH426">
        <f t="shared" si="49"/>
        <v>0.6</v>
      </c>
      <c r="AI426">
        <f t="shared" si="50"/>
        <v>0.4</v>
      </c>
      <c r="AJ426">
        <f t="shared" si="51"/>
        <v>0.8</v>
      </c>
      <c r="AK426">
        <f t="shared" si="52"/>
        <v>14578.56</v>
      </c>
      <c r="AL426">
        <f t="shared" si="53"/>
        <v>36446.400000000001</v>
      </c>
      <c r="AM426">
        <f>MIN(MAX(0,$B$10-AL426)*AI426,'Retirement Gap'!$B$29)</f>
        <v>9719.0399999999991</v>
      </c>
      <c r="AN426">
        <f>IF($E$40="B - Withdrawals + Roth conversions",AJ426*MAX(0,MIN($B$47-AL426,MIN($B$59,IRMAA!$C$16)-(AL426+$B$8*0.85+AK426*$B$46))),0)</f>
        <v>0</v>
      </c>
      <c r="AO426" cm="1">
        <f t="array" ref="AO426">_xlfn.LET(_xlpm.N,$B$49,_xlpm.R,$B$48,_xlpm.Start,$B$47,_xlpm.PlanWD,AL426,_xlpm.PlanRoth,AM426,_xlpm.PlanConv,AN426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30288.400000000001</v>
      </c>
      <c r="AP426" cm="1">
        <f t="array" ref="AP426">_xlfn.LET(_xlpm.N,$B$49,_xlpm.R,$B$48,_xlpm.Start,$B$47,_xlpm.PlanWD,AL426,_xlpm.PlanRoth,AM426,_xlpm.PlanConv,AN426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426" cm="1">
        <f t="array" ref="AQ426">_xlfn.LET(_xlpm.N,$B$49,_xlpm.R,$B$48,_xlpm.Start,$B$47,_xlpm.PlanWD,AL426,_xlpm.PlanRoth,AM426,_xlpm.PlanConv,AN426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976904.54183937958</v>
      </c>
      <c r="AR426" cm="1">
        <f t="array" ref="AR426">_xlfn.LET(_xlpm.N,$B$49,_xlpm.R,$B$48,_xlpm.Start,$B$47,_xlpm.PlanWD,AL426,_xlpm.PlanRoth,AM426,_xlpm.PlanConv,AN426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1046311.2826247542</v>
      </c>
      <c r="AS426">
        <f>--AND(AK426&lt;=SUM('Retirement Gap'!$B$24:$B$25,'Retirement Gap'!$B$27),AL426+AN426&lt;=$B$47,AM426&lt;='Retirement Gap'!$B$29,ABS(AK426+AL426+AM426-$B$10)&lt;1)</f>
        <v>1</v>
      </c>
      <c r="AT426" cm="1">
        <f t="array" ref="AT426">IF(AS426=0,1E+99,_xlfn.SWITCH(LEFT($E$39,1),"1",AO426,"2",AP426*1000000000+AO426,"3",-AQ426,"4",AO426+AP426*25000+AR426*0.005-AQ426*0.0001,AO426))</f>
        <v>-976904.54183937958</v>
      </c>
    </row>
    <row r="427" spans="33:46" x14ac:dyDescent="0.55000000000000004">
      <c r="AG427">
        <f t="shared" si="48"/>
        <v>426</v>
      </c>
      <c r="AH427">
        <f t="shared" si="49"/>
        <v>0.6</v>
      </c>
      <c r="AI427">
        <f t="shared" si="50"/>
        <v>0.4</v>
      </c>
      <c r="AJ427">
        <f t="shared" si="51"/>
        <v>1</v>
      </c>
      <c r="AK427">
        <f t="shared" si="52"/>
        <v>14578.56</v>
      </c>
      <c r="AL427">
        <f t="shared" si="53"/>
        <v>36446.400000000001</v>
      </c>
      <c r="AM427">
        <f>MIN(MAX(0,$B$10-AL427)*AI427,'Retirement Gap'!$B$29)</f>
        <v>9719.0399999999991</v>
      </c>
      <c r="AN427">
        <f>IF($E$40="B - Withdrawals + Roth conversions",AJ427*MAX(0,MIN($B$47-AL427,MIN($B$59,IRMAA!$C$16)-(AL427+$B$8*0.85+AK427*$B$46))),0)</f>
        <v>0</v>
      </c>
      <c r="AO427" cm="1">
        <f t="array" ref="AO427">_xlfn.LET(_xlpm.N,$B$49,_xlpm.R,$B$48,_xlpm.Start,$B$47,_xlpm.PlanWD,AL427,_xlpm.PlanRoth,AM427,_xlpm.PlanConv,AN427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30288.400000000001</v>
      </c>
      <c r="AP427" cm="1">
        <f t="array" ref="AP427">_xlfn.LET(_xlpm.N,$B$49,_xlpm.R,$B$48,_xlpm.Start,$B$47,_xlpm.PlanWD,AL427,_xlpm.PlanRoth,AM427,_xlpm.PlanConv,AN427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427" cm="1">
        <f t="array" ref="AQ427">_xlfn.LET(_xlpm.N,$B$49,_xlpm.R,$B$48,_xlpm.Start,$B$47,_xlpm.PlanWD,AL427,_xlpm.PlanRoth,AM427,_xlpm.PlanConv,AN427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976904.54183937958</v>
      </c>
      <c r="AR427" cm="1">
        <f t="array" ref="AR427">_xlfn.LET(_xlpm.N,$B$49,_xlpm.R,$B$48,_xlpm.Start,$B$47,_xlpm.PlanWD,AL427,_xlpm.PlanRoth,AM427,_xlpm.PlanConv,AN427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1046311.2826247542</v>
      </c>
      <c r="AS427">
        <f>--AND(AK427&lt;=SUM('Retirement Gap'!$B$24:$B$25,'Retirement Gap'!$B$27),AL427+AN427&lt;=$B$47,AM427&lt;='Retirement Gap'!$B$29,ABS(AK427+AL427+AM427-$B$10)&lt;1)</f>
        <v>1</v>
      </c>
      <c r="AT427" cm="1">
        <f t="array" ref="AT427">IF(AS427=0,1E+99,_xlfn.SWITCH(LEFT($E$39,1),"1",AO427,"2",AP427*1000000000+AO427,"3",-AQ427,"4",AO427+AP427*25000+AR427*0.005-AQ427*0.0001,AO427))</f>
        <v>-976904.54183937958</v>
      </c>
    </row>
    <row r="428" spans="33:46" x14ac:dyDescent="0.55000000000000004">
      <c r="AG428">
        <f t="shared" si="48"/>
        <v>427</v>
      </c>
      <c r="AH428">
        <f t="shared" si="49"/>
        <v>0.6</v>
      </c>
      <c r="AI428">
        <f t="shared" si="50"/>
        <v>0.5</v>
      </c>
      <c r="AJ428">
        <f t="shared" si="51"/>
        <v>0</v>
      </c>
      <c r="AK428">
        <f t="shared" si="52"/>
        <v>13447.321633416483</v>
      </c>
      <c r="AL428">
        <f t="shared" si="53"/>
        <v>36446.400000000001</v>
      </c>
      <c r="AM428">
        <f>MIN(MAX(0,$B$10-AL428)*AI428,'Retirement Gap'!$B$29)</f>
        <v>10850.278366583516</v>
      </c>
      <c r="AN428">
        <f>IF($E$40="B - Withdrawals + Roth conversions",AJ428*MAX(0,MIN($B$47-AL428,MIN($B$59,IRMAA!$C$16)-(AL428+$B$8*0.85+AK428*$B$46))),0)</f>
        <v>0</v>
      </c>
      <c r="AO428" cm="1">
        <f t="array" ref="AO428">_xlfn.LET(_xlpm.N,$B$49,_xlpm.R,$B$48,_xlpm.Start,$B$47,_xlpm.PlanWD,AL428,_xlpm.PlanRoth,AM428,_xlpm.PlanConv,AN428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30288.400000000001</v>
      </c>
      <c r="AP428" cm="1">
        <f t="array" ref="AP428">_xlfn.LET(_xlpm.N,$B$49,_xlpm.R,$B$48,_xlpm.Start,$B$47,_xlpm.PlanWD,AL428,_xlpm.PlanRoth,AM428,_xlpm.PlanConv,AN428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428" cm="1">
        <f t="array" ref="AQ428">_xlfn.LET(_xlpm.N,$B$49,_xlpm.R,$B$48,_xlpm.Start,$B$47,_xlpm.PlanWD,AL428,_xlpm.PlanRoth,AM428,_xlpm.PlanConv,AN428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976904.54183937958</v>
      </c>
      <c r="AR428" cm="1">
        <f t="array" ref="AR428">_xlfn.LET(_xlpm.N,$B$49,_xlpm.R,$B$48,_xlpm.Start,$B$47,_xlpm.PlanWD,AL428,_xlpm.PlanRoth,AM428,_xlpm.PlanConv,AN428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1046311.2826247542</v>
      </c>
      <c r="AS428">
        <f>--AND(AK428&lt;=SUM('Retirement Gap'!$B$24:$B$25,'Retirement Gap'!$B$27),AL428+AN428&lt;=$B$47,AM428&lt;='Retirement Gap'!$B$29,ABS(AK428+AL428+AM428-$B$10)&lt;1)</f>
        <v>1</v>
      </c>
      <c r="AT428" cm="1">
        <f t="array" ref="AT428">IF(AS428=0,1E+99,_xlfn.SWITCH(LEFT($E$39,1),"1",AO428,"2",AP428*1000000000+AO428,"3",-AQ428,"4",AO428+AP428*25000+AR428*0.005-AQ428*0.0001,AO428))</f>
        <v>-976904.54183937958</v>
      </c>
    </row>
    <row r="429" spans="33:46" x14ac:dyDescent="0.55000000000000004">
      <c r="AG429">
        <f t="shared" si="48"/>
        <v>428</v>
      </c>
      <c r="AH429">
        <f t="shared" si="49"/>
        <v>0.6</v>
      </c>
      <c r="AI429">
        <f t="shared" si="50"/>
        <v>0.5</v>
      </c>
      <c r="AJ429">
        <f t="shared" si="51"/>
        <v>0.2</v>
      </c>
      <c r="AK429">
        <f t="shared" si="52"/>
        <v>13447.321633416483</v>
      </c>
      <c r="AL429">
        <f t="shared" si="53"/>
        <v>36446.400000000001</v>
      </c>
      <c r="AM429">
        <f>MIN(MAX(0,$B$10-AL429)*AI429,'Retirement Gap'!$B$29)</f>
        <v>10850.278366583516</v>
      </c>
      <c r="AN429">
        <f>IF($E$40="B - Withdrawals + Roth conversions",AJ429*MAX(0,MIN($B$47-AL429,MIN($B$59,IRMAA!$C$16)-(AL429+$B$8*0.85+AK429*$B$46))),0)</f>
        <v>0</v>
      </c>
      <c r="AO429" cm="1">
        <f t="array" ref="AO429">_xlfn.LET(_xlpm.N,$B$49,_xlpm.R,$B$48,_xlpm.Start,$B$47,_xlpm.PlanWD,AL429,_xlpm.PlanRoth,AM429,_xlpm.PlanConv,AN429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30288.400000000001</v>
      </c>
      <c r="AP429" cm="1">
        <f t="array" ref="AP429">_xlfn.LET(_xlpm.N,$B$49,_xlpm.R,$B$48,_xlpm.Start,$B$47,_xlpm.PlanWD,AL429,_xlpm.PlanRoth,AM429,_xlpm.PlanConv,AN429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429" cm="1">
        <f t="array" ref="AQ429">_xlfn.LET(_xlpm.N,$B$49,_xlpm.R,$B$48,_xlpm.Start,$B$47,_xlpm.PlanWD,AL429,_xlpm.PlanRoth,AM429,_xlpm.PlanConv,AN429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976904.54183937958</v>
      </c>
      <c r="AR429" cm="1">
        <f t="array" ref="AR429">_xlfn.LET(_xlpm.N,$B$49,_xlpm.R,$B$48,_xlpm.Start,$B$47,_xlpm.PlanWD,AL429,_xlpm.PlanRoth,AM429,_xlpm.PlanConv,AN429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1046311.2826247542</v>
      </c>
      <c r="AS429">
        <f>--AND(AK429&lt;=SUM('Retirement Gap'!$B$24:$B$25,'Retirement Gap'!$B$27),AL429+AN429&lt;=$B$47,AM429&lt;='Retirement Gap'!$B$29,ABS(AK429+AL429+AM429-$B$10)&lt;1)</f>
        <v>1</v>
      </c>
      <c r="AT429" cm="1">
        <f t="array" ref="AT429">IF(AS429=0,1E+99,_xlfn.SWITCH(LEFT($E$39,1),"1",AO429,"2",AP429*1000000000+AO429,"3",-AQ429,"4",AO429+AP429*25000+AR429*0.005-AQ429*0.0001,AO429))</f>
        <v>-976904.54183937958</v>
      </c>
    </row>
    <row r="430" spans="33:46" x14ac:dyDescent="0.55000000000000004">
      <c r="AG430">
        <f t="shared" si="48"/>
        <v>429</v>
      </c>
      <c r="AH430">
        <f t="shared" si="49"/>
        <v>0.6</v>
      </c>
      <c r="AI430">
        <f t="shared" si="50"/>
        <v>0.5</v>
      </c>
      <c r="AJ430">
        <f t="shared" si="51"/>
        <v>0.4</v>
      </c>
      <c r="AK430">
        <f t="shared" si="52"/>
        <v>13447.321633416483</v>
      </c>
      <c r="AL430">
        <f t="shared" si="53"/>
        <v>36446.400000000001</v>
      </c>
      <c r="AM430">
        <f>MIN(MAX(0,$B$10-AL430)*AI430,'Retirement Gap'!$B$29)</f>
        <v>10850.278366583516</v>
      </c>
      <c r="AN430">
        <f>IF($E$40="B - Withdrawals + Roth conversions",AJ430*MAX(0,MIN($B$47-AL430,MIN($B$59,IRMAA!$C$16)-(AL430+$B$8*0.85+AK430*$B$46))),0)</f>
        <v>0</v>
      </c>
      <c r="AO430" cm="1">
        <f t="array" ref="AO430">_xlfn.LET(_xlpm.N,$B$49,_xlpm.R,$B$48,_xlpm.Start,$B$47,_xlpm.PlanWD,AL430,_xlpm.PlanRoth,AM430,_xlpm.PlanConv,AN430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30288.400000000001</v>
      </c>
      <c r="AP430" cm="1">
        <f t="array" ref="AP430">_xlfn.LET(_xlpm.N,$B$49,_xlpm.R,$B$48,_xlpm.Start,$B$47,_xlpm.PlanWD,AL430,_xlpm.PlanRoth,AM430,_xlpm.PlanConv,AN430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430" cm="1">
        <f t="array" ref="AQ430">_xlfn.LET(_xlpm.N,$B$49,_xlpm.R,$B$48,_xlpm.Start,$B$47,_xlpm.PlanWD,AL430,_xlpm.PlanRoth,AM430,_xlpm.PlanConv,AN430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976904.54183937958</v>
      </c>
      <c r="AR430" cm="1">
        <f t="array" ref="AR430">_xlfn.LET(_xlpm.N,$B$49,_xlpm.R,$B$48,_xlpm.Start,$B$47,_xlpm.PlanWD,AL430,_xlpm.PlanRoth,AM430,_xlpm.PlanConv,AN430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1046311.2826247542</v>
      </c>
      <c r="AS430">
        <f>--AND(AK430&lt;=SUM('Retirement Gap'!$B$24:$B$25,'Retirement Gap'!$B$27),AL430+AN430&lt;=$B$47,AM430&lt;='Retirement Gap'!$B$29,ABS(AK430+AL430+AM430-$B$10)&lt;1)</f>
        <v>1</v>
      </c>
      <c r="AT430" cm="1">
        <f t="array" ref="AT430">IF(AS430=0,1E+99,_xlfn.SWITCH(LEFT($E$39,1),"1",AO430,"2",AP430*1000000000+AO430,"3",-AQ430,"4",AO430+AP430*25000+AR430*0.005-AQ430*0.0001,AO430))</f>
        <v>-976904.54183937958</v>
      </c>
    </row>
    <row r="431" spans="33:46" x14ac:dyDescent="0.55000000000000004">
      <c r="AG431">
        <f t="shared" si="48"/>
        <v>430</v>
      </c>
      <c r="AH431">
        <f t="shared" si="49"/>
        <v>0.6</v>
      </c>
      <c r="AI431">
        <f t="shared" si="50"/>
        <v>0.5</v>
      </c>
      <c r="AJ431">
        <f t="shared" si="51"/>
        <v>0.6</v>
      </c>
      <c r="AK431">
        <f t="shared" si="52"/>
        <v>13447.321633416483</v>
      </c>
      <c r="AL431">
        <f t="shared" si="53"/>
        <v>36446.400000000001</v>
      </c>
      <c r="AM431">
        <f>MIN(MAX(0,$B$10-AL431)*AI431,'Retirement Gap'!$B$29)</f>
        <v>10850.278366583516</v>
      </c>
      <c r="AN431">
        <f>IF($E$40="B - Withdrawals + Roth conversions",AJ431*MAX(0,MIN($B$47-AL431,MIN($B$59,IRMAA!$C$16)-(AL431+$B$8*0.85+AK431*$B$46))),0)</f>
        <v>0</v>
      </c>
      <c r="AO431" cm="1">
        <f t="array" ref="AO431">_xlfn.LET(_xlpm.N,$B$49,_xlpm.R,$B$48,_xlpm.Start,$B$47,_xlpm.PlanWD,AL431,_xlpm.PlanRoth,AM431,_xlpm.PlanConv,AN431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30288.400000000001</v>
      </c>
      <c r="AP431" cm="1">
        <f t="array" ref="AP431">_xlfn.LET(_xlpm.N,$B$49,_xlpm.R,$B$48,_xlpm.Start,$B$47,_xlpm.PlanWD,AL431,_xlpm.PlanRoth,AM431,_xlpm.PlanConv,AN431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431" cm="1">
        <f t="array" ref="AQ431">_xlfn.LET(_xlpm.N,$B$49,_xlpm.R,$B$48,_xlpm.Start,$B$47,_xlpm.PlanWD,AL431,_xlpm.PlanRoth,AM431,_xlpm.PlanConv,AN431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976904.54183937958</v>
      </c>
      <c r="AR431" cm="1">
        <f t="array" ref="AR431">_xlfn.LET(_xlpm.N,$B$49,_xlpm.R,$B$48,_xlpm.Start,$B$47,_xlpm.PlanWD,AL431,_xlpm.PlanRoth,AM431,_xlpm.PlanConv,AN431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1046311.2826247542</v>
      </c>
      <c r="AS431">
        <f>--AND(AK431&lt;=SUM('Retirement Gap'!$B$24:$B$25,'Retirement Gap'!$B$27),AL431+AN431&lt;=$B$47,AM431&lt;='Retirement Gap'!$B$29,ABS(AK431+AL431+AM431-$B$10)&lt;1)</f>
        <v>1</v>
      </c>
      <c r="AT431" cm="1">
        <f t="array" ref="AT431">IF(AS431=0,1E+99,_xlfn.SWITCH(LEFT($E$39,1),"1",AO431,"2",AP431*1000000000+AO431,"3",-AQ431,"4",AO431+AP431*25000+AR431*0.005-AQ431*0.0001,AO431))</f>
        <v>-976904.54183937958</v>
      </c>
    </row>
    <row r="432" spans="33:46" x14ac:dyDescent="0.55000000000000004">
      <c r="AG432">
        <f t="shared" si="48"/>
        <v>431</v>
      </c>
      <c r="AH432">
        <f t="shared" si="49"/>
        <v>0.6</v>
      </c>
      <c r="AI432">
        <f t="shared" si="50"/>
        <v>0.5</v>
      </c>
      <c r="AJ432">
        <f t="shared" si="51"/>
        <v>0.8</v>
      </c>
      <c r="AK432">
        <f t="shared" si="52"/>
        <v>13447.321633416483</v>
      </c>
      <c r="AL432">
        <f t="shared" si="53"/>
        <v>36446.400000000001</v>
      </c>
      <c r="AM432">
        <f>MIN(MAX(0,$B$10-AL432)*AI432,'Retirement Gap'!$B$29)</f>
        <v>10850.278366583516</v>
      </c>
      <c r="AN432">
        <f>IF($E$40="B - Withdrawals + Roth conversions",AJ432*MAX(0,MIN($B$47-AL432,MIN($B$59,IRMAA!$C$16)-(AL432+$B$8*0.85+AK432*$B$46))),0)</f>
        <v>0</v>
      </c>
      <c r="AO432" cm="1">
        <f t="array" ref="AO432">_xlfn.LET(_xlpm.N,$B$49,_xlpm.R,$B$48,_xlpm.Start,$B$47,_xlpm.PlanWD,AL432,_xlpm.PlanRoth,AM432,_xlpm.PlanConv,AN432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30288.400000000001</v>
      </c>
      <c r="AP432" cm="1">
        <f t="array" ref="AP432">_xlfn.LET(_xlpm.N,$B$49,_xlpm.R,$B$48,_xlpm.Start,$B$47,_xlpm.PlanWD,AL432,_xlpm.PlanRoth,AM432,_xlpm.PlanConv,AN432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432" cm="1">
        <f t="array" ref="AQ432">_xlfn.LET(_xlpm.N,$B$49,_xlpm.R,$B$48,_xlpm.Start,$B$47,_xlpm.PlanWD,AL432,_xlpm.PlanRoth,AM432,_xlpm.PlanConv,AN432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976904.54183937958</v>
      </c>
      <c r="AR432" cm="1">
        <f t="array" ref="AR432">_xlfn.LET(_xlpm.N,$B$49,_xlpm.R,$B$48,_xlpm.Start,$B$47,_xlpm.PlanWD,AL432,_xlpm.PlanRoth,AM432,_xlpm.PlanConv,AN432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1046311.2826247542</v>
      </c>
      <c r="AS432">
        <f>--AND(AK432&lt;=SUM('Retirement Gap'!$B$24:$B$25,'Retirement Gap'!$B$27),AL432+AN432&lt;=$B$47,AM432&lt;='Retirement Gap'!$B$29,ABS(AK432+AL432+AM432-$B$10)&lt;1)</f>
        <v>1</v>
      </c>
      <c r="AT432" cm="1">
        <f t="array" ref="AT432">IF(AS432=0,1E+99,_xlfn.SWITCH(LEFT($E$39,1),"1",AO432,"2",AP432*1000000000+AO432,"3",-AQ432,"4",AO432+AP432*25000+AR432*0.005-AQ432*0.0001,AO432))</f>
        <v>-976904.54183937958</v>
      </c>
    </row>
    <row r="433" spans="33:46" x14ac:dyDescent="0.55000000000000004">
      <c r="AG433">
        <f t="shared" si="48"/>
        <v>432</v>
      </c>
      <c r="AH433">
        <f t="shared" si="49"/>
        <v>0.6</v>
      </c>
      <c r="AI433">
        <f t="shared" si="50"/>
        <v>0.5</v>
      </c>
      <c r="AJ433">
        <f t="shared" si="51"/>
        <v>1</v>
      </c>
      <c r="AK433">
        <f t="shared" si="52"/>
        <v>13447.321633416483</v>
      </c>
      <c r="AL433">
        <f t="shared" si="53"/>
        <v>36446.400000000001</v>
      </c>
      <c r="AM433">
        <f>MIN(MAX(0,$B$10-AL433)*AI433,'Retirement Gap'!$B$29)</f>
        <v>10850.278366583516</v>
      </c>
      <c r="AN433">
        <f>IF($E$40="B - Withdrawals + Roth conversions",AJ433*MAX(0,MIN($B$47-AL433,MIN($B$59,IRMAA!$C$16)-(AL433+$B$8*0.85+AK433*$B$46))),0)</f>
        <v>0</v>
      </c>
      <c r="AO433" cm="1">
        <f t="array" ref="AO433">_xlfn.LET(_xlpm.N,$B$49,_xlpm.R,$B$48,_xlpm.Start,$B$47,_xlpm.PlanWD,AL433,_xlpm.PlanRoth,AM433,_xlpm.PlanConv,AN433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30288.400000000001</v>
      </c>
      <c r="AP433" cm="1">
        <f t="array" ref="AP433">_xlfn.LET(_xlpm.N,$B$49,_xlpm.R,$B$48,_xlpm.Start,$B$47,_xlpm.PlanWD,AL433,_xlpm.PlanRoth,AM433,_xlpm.PlanConv,AN433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433" cm="1">
        <f t="array" ref="AQ433">_xlfn.LET(_xlpm.N,$B$49,_xlpm.R,$B$48,_xlpm.Start,$B$47,_xlpm.PlanWD,AL433,_xlpm.PlanRoth,AM433,_xlpm.PlanConv,AN433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976904.54183937958</v>
      </c>
      <c r="AR433" cm="1">
        <f t="array" ref="AR433">_xlfn.LET(_xlpm.N,$B$49,_xlpm.R,$B$48,_xlpm.Start,$B$47,_xlpm.PlanWD,AL433,_xlpm.PlanRoth,AM433,_xlpm.PlanConv,AN433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1046311.2826247542</v>
      </c>
      <c r="AS433">
        <f>--AND(AK433&lt;=SUM('Retirement Gap'!$B$24:$B$25,'Retirement Gap'!$B$27),AL433+AN433&lt;=$B$47,AM433&lt;='Retirement Gap'!$B$29,ABS(AK433+AL433+AM433-$B$10)&lt;1)</f>
        <v>1</v>
      </c>
      <c r="AT433" cm="1">
        <f t="array" ref="AT433">IF(AS433=0,1E+99,_xlfn.SWITCH(LEFT($E$39,1),"1",AO433,"2",AP433*1000000000+AO433,"3",-AQ433,"4",AO433+AP433*25000+AR433*0.005-AQ433*0.0001,AO433))</f>
        <v>-976904.54183937958</v>
      </c>
    </row>
    <row r="434" spans="33:46" x14ac:dyDescent="0.55000000000000004">
      <c r="AG434">
        <f t="shared" si="48"/>
        <v>433</v>
      </c>
      <c r="AH434">
        <f t="shared" si="49"/>
        <v>0.6</v>
      </c>
      <c r="AI434">
        <f t="shared" si="50"/>
        <v>0.6</v>
      </c>
      <c r="AJ434">
        <f t="shared" si="51"/>
        <v>0</v>
      </c>
      <c r="AK434">
        <f t="shared" si="52"/>
        <v>13447.321633416483</v>
      </c>
      <c r="AL434">
        <f t="shared" si="53"/>
        <v>36446.400000000001</v>
      </c>
      <c r="AM434">
        <f>MIN(MAX(0,$B$10-AL434)*AI434,'Retirement Gap'!$B$29)</f>
        <v>10850.278366583516</v>
      </c>
      <c r="AN434">
        <f>IF($E$40="B - Withdrawals + Roth conversions",AJ434*MAX(0,MIN($B$47-AL434,MIN($B$59,IRMAA!$C$16)-(AL434+$B$8*0.85+AK434*$B$46))),0)</f>
        <v>0</v>
      </c>
      <c r="AO434" cm="1">
        <f t="array" ref="AO434">_xlfn.LET(_xlpm.N,$B$49,_xlpm.R,$B$48,_xlpm.Start,$B$47,_xlpm.PlanWD,AL434,_xlpm.PlanRoth,AM434,_xlpm.PlanConv,AN434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30288.400000000001</v>
      </c>
      <c r="AP434" cm="1">
        <f t="array" ref="AP434">_xlfn.LET(_xlpm.N,$B$49,_xlpm.R,$B$48,_xlpm.Start,$B$47,_xlpm.PlanWD,AL434,_xlpm.PlanRoth,AM434,_xlpm.PlanConv,AN434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434" cm="1">
        <f t="array" ref="AQ434">_xlfn.LET(_xlpm.N,$B$49,_xlpm.R,$B$48,_xlpm.Start,$B$47,_xlpm.PlanWD,AL434,_xlpm.PlanRoth,AM434,_xlpm.PlanConv,AN434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976904.54183937958</v>
      </c>
      <c r="AR434" cm="1">
        <f t="array" ref="AR434">_xlfn.LET(_xlpm.N,$B$49,_xlpm.R,$B$48,_xlpm.Start,$B$47,_xlpm.PlanWD,AL434,_xlpm.PlanRoth,AM434,_xlpm.PlanConv,AN434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1046311.2826247542</v>
      </c>
      <c r="AS434">
        <f>--AND(AK434&lt;=SUM('Retirement Gap'!$B$24:$B$25,'Retirement Gap'!$B$27),AL434+AN434&lt;=$B$47,AM434&lt;='Retirement Gap'!$B$29,ABS(AK434+AL434+AM434-$B$10)&lt;1)</f>
        <v>1</v>
      </c>
      <c r="AT434" cm="1">
        <f t="array" ref="AT434">IF(AS434=0,1E+99,_xlfn.SWITCH(LEFT($E$39,1),"1",AO434,"2",AP434*1000000000+AO434,"3",-AQ434,"4",AO434+AP434*25000+AR434*0.005-AQ434*0.0001,AO434))</f>
        <v>-976904.54183937958</v>
      </c>
    </row>
    <row r="435" spans="33:46" x14ac:dyDescent="0.55000000000000004">
      <c r="AG435">
        <f t="shared" si="48"/>
        <v>434</v>
      </c>
      <c r="AH435">
        <f t="shared" si="49"/>
        <v>0.6</v>
      </c>
      <c r="AI435">
        <f t="shared" si="50"/>
        <v>0.6</v>
      </c>
      <c r="AJ435">
        <f t="shared" si="51"/>
        <v>0.2</v>
      </c>
      <c r="AK435">
        <f t="shared" si="52"/>
        <v>13447.321633416483</v>
      </c>
      <c r="AL435">
        <f t="shared" si="53"/>
        <v>36446.400000000001</v>
      </c>
      <c r="AM435">
        <f>MIN(MAX(0,$B$10-AL435)*AI435,'Retirement Gap'!$B$29)</f>
        <v>10850.278366583516</v>
      </c>
      <c r="AN435">
        <f>IF($E$40="B - Withdrawals + Roth conversions",AJ435*MAX(0,MIN($B$47-AL435,MIN($B$59,IRMAA!$C$16)-(AL435+$B$8*0.85+AK435*$B$46))),0)</f>
        <v>0</v>
      </c>
      <c r="AO435" cm="1">
        <f t="array" ref="AO435">_xlfn.LET(_xlpm.N,$B$49,_xlpm.R,$B$48,_xlpm.Start,$B$47,_xlpm.PlanWD,AL435,_xlpm.PlanRoth,AM435,_xlpm.PlanConv,AN435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30288.400000000001</v>
      </c>
      <c r="AP435" cm="1">
        <f t="array" ref="AP435">_xlfn.LET(_xlpm.N,$B$49,_xlpm.R,$B$48,_xlpm.Start,$B$47,_xlpm.PlanWD,AL435,_xlpm.PlanRoth,AM435,_xlpm.PlanConv,AN435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435" cm="1">
        <f t="array" ref="AQ435">_xlfn.LET(_xlpm.N,$B$49,_xlpm.R,$B$48,_xlpm.Start,$B$47,_xlpm.PlanWD,AL435,_xlpm.PlanRoth,AM435,_xlpm.PlanConv,AN435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976904.54183937958</v>
      </c>
      <c r="AR435" cm="1">
        <f t="array" ref="AR435">_xlfn.LET(_xlpm.N,$B$49,_xlpm.R,$B$48,_xlpm.Start,$B$47,_xlpm.PlanWD,AL435,_xlpm.PlanRoth,AM435,_xlpm.PlanConv,AN435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1046311.2826247542</v>
      </c>
      <c r="AS435">
        <f>--AND(AK435&lt;=SUM('Retirement Gap'!$B$24:$B$25,'Retirement Gap'!$B$27),AL435+AN435&lt;=$B$47,AM435&lt;='Retirement Gap'!$B$29,ABS(AK435+AL435+AM435-$B$10)&lt;1)</f>
        <v>1</v>
      </c>
      <c r="AT435" cm="1">
        <f t="array" ref="AT435">IF(AS435=0,1E+99,_xlfn.SWITCH(LEFT($E$39,1),"1",AO435,"2",AP435*1000000000+AO435,"3",-AQ435,"4",AO435+AP435*25000+AR435*0.005-AQ435*0.0001,AO435))</f>
        <v>-976904.54183937958</v>
      </c>
    </row>
    <row r="436" spans="33:46" x14ac:dyDescent="0.55000000000000004">
      <c r="AG436">
        <f t="shared" si="48"/>
        <v>435</v>
      </c>
      <c r="AH436">
        <f t="shared" si="49"/>
        <v>0.6</v>
      </c>
      <c r="AI436">
        <f t="shared" si="50"/>
        <v>0.6</v>
      </c>
      <c r="AJ436">
        <f t="shared" si="51"/>
        <v>0.4</v>
      </c>
      <c r="AK436">
        <f t="shared" si="52"/>
        <v>13447.321633416483</v>
      </c>
      <c r="AL436">
        <f t="shared" si="53"/>
        <v>36446.400000000001</v>
      </c>
      <c r="AM436">
        <f>MIN(MAX(0,$B$10-AL436)*AI436,'Retirement Gap'!$B$29)</f>
        <v>10850.278366583516</v>
      </c>
      <c r="AN436">
        <f>IF($E$40="B - Withdrawals + Roth conversions",AJ436*MAX(0,MIN($B$47-AL436,MIN($B$59,IRMAA!$C$16)-(AL436+$B$8*0.85+AK436*$B$46))),0)</f>
        <v>0</v>
      </c>
      <c r="AO436" cm="1">
        <f t="array" ref="AO436">_xlfn.LET(_xlpm.N,$B$49,_xlpm.R,$B$48,_xlpm.Start,$B$47,_xlpm.PlanWD,AL436,_xlpm.PlanRoth,AM436,_xlpm.PlanConv,AN436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30288.400000000001</v>
      </c>
      <c r="AP436" cm="1">
        <f t="array" ref="AP436">_xlfn.LET(_xlpm.N,$B$49,_xlpm.R,$B$48,_xlpm.Start,$B$47,_xlpm.PlanWD,AL436,_xlpm.PlanRoth,AM436,_xlpm.PlanConv,AN436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436" cm="1">
        <f t="array" ref="AQ436">_xlfn.LET(_xlpm.N,$B$49,_xlpm.R,$B$48,_xlpm.Start,$B$47,_xlpm.PlanWD,AL436,_xlpm.PlanRoth,AM436,_xlpm.PlanConv,AN436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976904.54183937958</v>
      </c>
      <c r="AR436" cm="1">
        <f t="array" ref="AR436">_xlfn.LET(_xlpm.N,$B$49,_xlpm.R,$B$48,_xlpm.Start,$B$47,_xlpm.PlanWD,AL436,_xlpm.PlanRoth,AM436,_xlpm.PlanConv,AN436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1046311.2826247542</v>
      </c>
      <c r="AS436">
        <f>--AND(AK436&lt;=SUM('Retirement Gap'!$B$24:$B$25,'Retirement Gap'!$B$27),AL436+AN436&lt;=$B$47,AM436&lt;='Retirement Gap'!$B$29,ABS(AK436+AL436+AM436-$B$10)&lt;1)</f>
        <v>1</v>
      </c>
      <c r="AT436" cm="1">
        <f t="array" ref="AT436">IF(AS436=0,1E+99,_xlfn.SWITCH(LEFT($E$39,1),"1",AO436,"2",AP436*1000000000+AO436,"3",-AQ436,"4",AO436+AP436*25000+AR436*0.005-AQ436*0.0001,AO436))</f>
        <v>-976904.54183937958</v>
      </c>
    </row>
    <row r="437" spans="33:46" x14ac:dyDescent="0.55000000000000004">
      <c r="AG437">
        <f t="shared" si="48"/>
        <v>436</v>
      </c>
      <c r="AH437">
        <f t="shared" si="49"/>
        <v>0.6</v>
      </c>
      <c r="AI437">
        <f t="shared" si="50"/>
        <v>0.6</v>
      </c>
      <c r="AJ437">
        <f t="shared" si="51"/>
        <v>0.6</v>
      </c>
      <c r="AK437">
        <f t="shared" si="52"/>
        <v>13447.321633416483</v>
      </c>
      <c r="AL437">
        <f t="shared" si="53"/>
        <v>36446.400000000001</v>
      </c>
      <c r="AM437">
        <f>MIN(MAX(0,$B$10-AL437)*AI437,'Retirement Gap'!$B$29)</f>
        <v>10850.278366583516</v>
      </c>
      <c r="AN437">
        <f>IF($E$40="B - Withdrawals + Roth conversions",AJ437*MAX(0,MIN($B$47-AL437,MIN($B$59,IRMAA!$C$16)-(AL437+$B$8*0.85+AK437*$B$46))),0)</f>
        <v>0</v>
      </c>
      <c r="AO437" cm="1">
        <f t="array" ref="AO437">_xlfn.LET(_xlpm.N,$B$49,_xlpm.R,$B$48,_xlpm.Start,$B$47,_xlpm.PlanWD,AL437,_xlpm.PlanRoth,AM437,_xlpm.PlanConv,AN437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30288.400000000001</v>
      </c>
      <c r="AP437" cm="1">
        <f t="array" ref="AP437">_xlfn.LET(_xlpm.N,$B$49,_xlpm.R,$B$48,_xlpm.Start,$B$47,_xlpm.PlanWD,AL437,_xlpm.PlanRoth,AM437,_xlpm.PlanConv,AN437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437" cm="1">
        <f t="array" ref="AQ437">_xlfn.LET(_xlpm.N,$B$49,_xlpm.R,$B$48,_xlpm.Start,$B$47,_xlpm.PlanWD,AL437,_xlpm.PlanRoth,AM437,_xlpm.PlanConv,AN437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976904.54183937958</v>
      </c>
      <c r="AR437" cm="1">
        <f t="array" ref="AR437">_xlfn.LET(_xlpm.N,$B$49,_xlpm.R,$B$48,_xlpm.Start,$B$47,_xlpm.PlanWD,AL437,_xlpm.PlanRoth,AM437,_xlpm.PlanConv,AN437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1046311.2826247542</v>
      </c>
      <c r="AS437">
        <f>--AND(AK437&lt;=SUM('Retirement Gap'!$B$24:$B$25,'Retirement Gap'!$B$27),AL437+AN437&lt;=$B$47,AM437&lt;='Retirement Gap'!$B$29,ABS(AK437+AL437+AM437-$B$10)&lt;1)</f>
        <v>1</v>
      </c>
      <c r="AT437" cm="1">
        <f t="array" ref="AT437">IF(AS437=0,1E+99,_xlfn.SWITCH(LEFT($E$39,1),"1",AO437,"2",AP437*1000000000+AO437,"3",-AQ437,"4",AO437+AP437*25000+AR437*0.005-AQ437*0.0001,AO437))</f>
        <v>-976904.54183937958</v>
      </c>
    </row>
    <row r="438" spans="33:46" x14ac:dyDescent="0.55000000000000004">
      <c r="AG438">
        <f t="shared" si="48"/>
        <v>437</v>
      </c>
      <c r="AH438">
        <f t="shared" si="49"/>
        <v>0.6</v>
      </c>
      <c r="AI438">
        <f t="shared" si="50"/>
        <v>0.6</v>
      </c>
      <c r="AJ438">
        <f t="shared" si="51"/>
        <v>0.8</v>
      </c>
      <c r="AK438">
        <f t="shared" si="52"/>
        <v>13447.321633416483</v>
      </c>
      <c r="AL438">
        <f t="shared" si="53"/>
        <v>36446.400000000001</v>
      </c>
      <c r="AM438">
        <f>MIN(MAX(0,$B$10-AL438)*AI438,'Retirement Gap'!$B$29)</f>
        <v>10850.278366583516</v>
      </c>
      <c r="AN438">
        <f>IF($E$40="B - Withdrawals + Roth conversions",AJ438*MAX(0,MIN($B$47-AL438,MIN($B$59,IRMAA!$C$16)-(AL438+$B$8*0.85+AK438*$B$46))),0)</f>
        <v>0</v>
      </c>
      <c r="AO438" cm="1">
        <f t="array" ref="AO438">_xlfn.LET(_xlpm.N,$B$49,_xlpm.R,$B$48,_xlpm.Start,$B$47,_xlpm.PlanWD,AL438,_xlpm.PlanRoth,AM438,_xlpm.PlanConv,AN438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30288.400000000001</v>
      </c>
      <c r="AP438" cm="1">
        <f t="array" ref="AP438">_xlfn.LET(_xlpm.N,$B$49,_xlpm.R,$B$48,_xlpm.Start,$B$47,_xlpm.PlanWD,AL438,_xlpm.PlanRoth,AM438,_xlpm.PlanConv,AN438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438" cm="1">
        <f t="array" ref="AQ438">_xlfn.LET(_xlpm.N,$B$49,_xlpm.R,$B$48,_xlpm.Start,$B$47,_xlpm.PlanWD,AL438,_xlpm.PlanRoth,AM438,_xlpm.PlanConv,AN438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976904.54183937958</v>
      </c>
      <c r="AR438" cm="1">
        <f t="array" ref="AR438">_xlfn.LET(_xlpm.N,$B$49,_xlpm.R,$B$48,_xlpm.Start,$B$47,_xlpm.PlanWD,AL438,_xlpm.PlanRoth,AM438,_xlpm.PlanConv,AN438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1046311.2826247542</v>
      </c>
      <c r="AS438">
        <f>--AND(AK438&lt;=SUM('Retirement Gap'!$B$24:$B$25,'Retirement Gap'!$B$27),AL438+AN438&lt;=$B$47,AM438&lt;='Retirement Gap'!$B$29,ABS(AK438+AL438+AM438-$B$10)&lt;1)</f>
        <v>1</v>
      </c>
      <c r="AT438" cm="1">
        <f t="array" ref="AT438">IF(AS438=0,1E+99,_xlfn.SWITCH(LEFT($E$39,1),"1",AO438,"2",AP438*1000000000+AO438,"3",-AQ438,"4",AO438+AP438*25000+AR438*0.005-AQ438*0.0001,AO438))</f>
        <v>-976904.54183937958</v>
      </c>
    </row>
    <row r="439" spans="33:46" x14ac:dyDescent="0.55000000000000004">
      <c r="AG439">
        <f t="shared" si="48"/>
        <v>438</v>
      </c>
      <c r="AH439">
        <f t="shared" si="49"/>
        <v>0.6</v>
      </c>
      <c r="AI439">
        <f t="shared" si="50"/>
        <v>0.6</v>
      </c>
      <c r="AJ439">
        <f t="shared" si="51"/>
        <v>1</v>
      </c>
      <c r="AK439">
        <f t="shared" si="52"/>
        <v>13447.321633416483</v>
      </c>
      <c r="AL439">
        <f t="shared" si="53"/>
        <v>36446.400000000001</v>
      </c>
      <c r="AM439">
        <f>MIN(MAX(0,$B$10-AL439)*AI439,'Retirement Gap'!$B$29)</f>
        <v>10850.278366583516</v>
      </c>
      <c r="AN439">
        <f>IF($E$40="B - Withdrawals + Roth conversions",AJ439*MAX(0,MIN($B$47-AL439,MIN($B$59,IRMAA!$C$16)-(AL439+$B$8*0.85+AK439*$B$46))),0)</f>
        <v>0</v>
      </c>
      <c r="AO439" cm="1">
        <f t="array" ref="AO439">_xlfn.LET(_xlpm.N,$B$49,_xlpm.R,$B$48,_xlpm.Start,$B$47,_xlpm.PlanWD,AL439,_xlpm.PlanRoth,AM439,_xlpm.PlanConv,AN439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30288.400000000001</v>
      </c>
      <c r="AP439" cm="1">
        <f t="array" ref="AP439">_xlfn.LET(_xlpm.N,$B$49,_xlpm.R,$B$48,_xlpm.Start,$B$47,_xlpm.PlanWD,AL439,_xlpm.PlanRoth,AM439,_xlpm.PlanConv,AN439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439" cm="1">
        <f t="array" ref="AQ439">_xlfn.LET(_xlpm.N,$B$49,_xlpm.R,$B$48,_xlpm.Start,$B$47,_xlpm.PlanWD,AL439,_xlpm.PlanRoth,AM439,_xlpm.PlanConv,AN439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976904.54183937958</v>
      </c>
      <c r="AR439" cm="1">
        <f t="array" ref="AR439">_xlfn.LET(_xlpm.N,$B$49,_xlpm.R,$B$48,_xlpm.Start,$B$47,_xlpm.PlanWD,AL439,_xlpm.PlanRoth,AM439,_xlpm.PlanConv,AN439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1046311.2826247542</v>
      </c>
      <c r="AS439">
        <f>--AND(AK439&lt;=SUM('Retirement Gap'!$B$24:$B$25,'Retirement Gap'!$B$27),AL439+AN439&lt;=$B$47,AM439&lt;='Retirement Gap'!$B$29,ABS(AK439+AL439+AM439-$B$10)&lt;1)</f>
        <v>1</v>
      </c>
      <c r="AT439" cm="1">
        <f t="array" ref="AT439">IF(AS439=0,1E+99,_xlfn.SWITCH(LEFT($E$39,1),"1",AO439,"2",AP439*1000000000+AO439,"3",-AQ439,"4",AO439+AP439*25000+AR439*0.005-AQ439*0.0001,AO439))</f>
        <v>-976904.54183937958</v>
      </c>
    </row>
    <row r="440" spans="33:46" x14ac:dyDescent="0.55000000000000004">
      <c r="AG440">
        <f t="shared" si="48"/>
        <v>439</v>
      </c>
      <c r="AH440">
        <f t="shared" si="49"/>
        <v>0.6</v>
      </c>
      <c r="AI440">
        <f t="shared" si="50"/>
        <v>0.7</v>
      </c>
      <c r="AJ440">
        <f t="shared" si="51"/>
        <v>0</v>
      </c>
      <c r="AK440">
        <f t="shared" si="52"/>
        <v>13447.321633416483</v>
      </c>
      <c r="AL440">
        <f t="shared" si="53"/>
        <v>36446.400000000001</v>
      </c>
      <c r="AM440">
        <f>MIN(MAX(0,$B$10-AL440)*AI440,'Retirement Gap'!$B$29)</f>
        <v>10850.278366583516</v>
      </c>
      <c r="AN440">
        <f>IF($E$40="B - Withdrawals + Roth conversions",AJ440*MAX(0,MIN($B$47-AL440,MIN($B$59,IRMAA!$C$16)-(AL440+$B$8*0.85+AK440*$B$46))),0)</f>
        <v>0</v>
      </c>
      <c r="AO440" cm="1">
        <f t="array" ref="AO440">_xlfn.LET(_xlpm.N,$B$49,_xlpm.R,$B$48,_xlpm.Start,$B$47,_xlpm.PlanWD,AL440,_xlpm.PlanRoth,AM440,_xlpm.PlanConv,AN440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30288.400000000001</v>
      </c>
      <c r="AP440" cm="1">
        <f t="array" ref="AP440">_xlfn.LET(_xlpm.N,$B$49,_xlpm.R,$B$48,_xlpm.Start,$B$47,_xlpm.PlanWD,AL440,_xlpm.PlanRoth,AM440,_xlpm.PlanConv,AN440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440" cm="1">
        <f t="array" ref="AQ440">_xlfn.LET(_xlpm.N,$B$49,_xlpm.R,$B$48,_xlpm.Start,$B$47,_xlpm.PlanWD,AL440,_xlpm.PlanRoth,AM440,_xlpm.PlanConv,AN440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976904.54183937958</v>
      </c>
      <c r="AR440" cm="1">
        <f t="array" ref="AR440">_xlfn.LET(_xlpm.N,$B$49,_xlpm.R,$B$48,_xlpm.Start,$B$47,_xlpm.PlanWD,AL440,_xlpm.PlanRoth,AM440,_xlpm.PlanConv,AN440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1046311.2826247542</v>
      </c>
      <c r="AS440">
        <f>--AND(AK440&lt;=SUM('Retirement Gap'!$B$24:$B$25,'Retirement Gap'!$B$27),AL440+AN440&lt;=$B$47,AM440&lt;='Retirement Gap'!$B$29,ABS(AK440+AL440+AM440-$B$10)&lt;1)</f>
        <v>1</v>
      </c>
      <c r="AT440" cm="1">
        <f t="array" ref="AT440">IF(AS440=0,1E+99,_xlfn.SWITCH(LEFT($E$39,1),"1",AO440,"2",AP440*1000000000+AO440,"3",-AQ440,"4",AO440+AP440*25000+AR440*0.005-AQ440*0.0001,AO440))</f>
        <v>-976904.54183937958</v>
      </c>
    </row>
    <row r="441" spans="33:46" x14ac:dyDescent="0.55000000000000004">
      <c r="AG441">
        <f t="shared" si="48"/>
        <v>440</v>
      </c>
      <c r="AH441">
        <f t="shared" si="49"/>
        <v>0.6</v>
      </c>
      <c r="AI441">
        <f t="shared" si="50"/>
        <v>0.7</v>
      </c>
      <c r="AJ441">
        <f t="shared" si="51"/>
        <v>0.2</v>
      </c>
      <c r="AK441">
        <f t="shared" si="52"/>
        <v>13447.321633416483</v>
      </c>
      <c r="AL441">
        <f t="shared" si="53"/>
        <v>36446.400000000001</v>
      </c>
      <c r="AM441">
        <f>MIN(MAX(0,$B$10-AL441)*AI441,'Retirement Gap'!$B$29)</f>
        <v>10850.278366583516</v>
      </c>
      <c r="AN441">
        <f>IF($E$40="B - Withdrawals + Roth conversions",AJ441*MAX(0,MIN($B$47-AL441,MIN($B$59,IRMAA!$C$16)-(AL441+$B$8*0.85+AK441*$B$46))),0)</f>
        <v>0</v>
      </c>
      <c r="AO441" cm="1">
        <f t="array" ref="AO441">_xlfn.LET(_xlpm.N,$B$49,_xlpm.R,$B$48,_xlpm.Start,$B$47,_xlpm.PlanWD,AL441,_xlpm.PlanRoth,AM441,_xlpm.PlanConv,AN441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30288.400000000001</v>
      </c>
      <c r="AP441" cm="1">
        <f t="array" ref="AP441">_xlfn.LET(_xlpm.N,$B$49,_xlpm.R,$B$48,_xlpm.Start,$B$47,_xlpm.PlanWD,AL441,_xlpm.PlanRoth,AM441,_xlpm.PlanConv,AN441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441" cm="1">
        <f t="array" ref="AQ441">_xlfn.LET(_xlpm.N,$B$49,_xlpm.R,$B$48,_xlpm.Start,$B$47,_xlpm.PlanWD,AL441,_xlpm.PlanRoth,AM441,_xlpm.PlanConv,AN441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976904.54183937958</v>
      </c>
      <c r="AR441" cm="1">
        <f t="array" ref="AR441">_xlfn.LET(_xlpm.N,$B$49,_xlpm.R,$B$48,_xlpm.Start,$B$47,_xlpm.PlanWD,AL441,_xlpm.PlanRoth,AM441,_xlpm.PlanConv,AN441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1046311.2826247542</v>
      </c>
      <c r="AS441">
        <f>--AND(AK441&lt;=SUM('Retirement Gap'!$B$24:$B$25,'Retirement Gap'!$B$27),AL441+AN441&lt;=$B$47,AM441&lt;='Retirement Gap'!$B$29,ABS(AK441+AL441+AM441-$B$10)&lt;1)</f>
        <v>1</v>
      </c>
      <c r="AT441" cm="1">
        <f t="array" ref="AT441">IF(AS441=0,1E+99,_xlfn.SWITCH(LEFT($E$39,1),"1",AO441,"2",AP441*1000000000+AO441,"3",-AQ441,"4",AO441+AP441*25000+AR441*0.005-AQ441*0.0001,AO441))</f>
        <v>-976904.54183937958</v>
      </c>
    </row>
    <row r="442" spans="33:46" x14ac:dyDescent="0.55000000000000004">
      <c r="AG442">
        <f t="shared" si="48"/>
        <v>441</v>
      </c>
      <c r="AH442">
        <f t="shared" si="49"/>
        <v>0.6</v>
      </c>
      <c r="AI442">
        <f t="shared" si="50"/>
        <v>0.7</v>
      </c>
      <c r="AJ442">
        <f t="shared" si="51"/>
        <v>0.4</v>
      </c>
      <c r="AK442">
        <f t="shared" si="52"/>
        <v>13447.321633416483</v>
      </c>
      <c r="AL442">
        <f t="shared" si="53"/>
        <v>36446.400000000001</v>
      </c>
      <c r="AM442">
        <f>MIN(MAX(0,$B$10-AL442)*AI442,'Retirement Gap'!$B$29)</f>
        <v>10850.278366583516</v>
      </c>
      <c r="AN442">
        <f>IF($E$40="B - Withdrawals + Roth conversions",AJ442*MAX(0,MIN($B$47-AL442,MIN($B$59,IRMAA!$C$16)-(AL442+$B$8*0.85+AK442*$B$46))),0)</f>
        <v>0</v>
      </c>
      <c r="AO442" cm="1">
        <f t="array" ref="AO442">_xlfn.LET(_xlpm.N,$B$49,_xlpm.R,$B$48,_xlpm.Start,$B$47,_xlpm.PlanWD,AL442,_xlpm.PlanRoth,AM442,_xlpm.PlanConv,AN442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30288.400000000001</v>
      </c>
      <c r="AP442" cm="1">
        <f t="array" ref="AP442">_xlfn.LET(_xlpm.N,$B$49,_xlpm.R,$B$48,_xlpm.Start,$B$47,_xlpm.PlanWD,AL442,_xlpm.PlanRoth,AM442,_xlpm.PlanConv,AN442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442" cm="1">
        <f t="array" ref="AQ442">_xlfn.LET(_xlpm.N,$B$49,_xlpm.R,$B$48,_xlpm.Start,$B$47,_xlpm.PlanWD,AL442,_xlpm.PlanRoth,AM442,_xlpm.PlanConv,AN442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976904.54183937958</v>
      </c>
      <c r="AR442" cm="1">
        <f t="array" ref="AR442">_xlfn.LET(_xlpm.N,$B$49,_xlpm.R,$B$48,_xlpm.Start,$B$47,_xlpm.PlanWD,AL442,_xlpm.PlanRoth,AM442,_xlpm.PlanConv,AN442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1046311.2826247542</v>
      </c>
      <c r="AS442">
        <f>--AND(AK442&lt;=SUM('Retirement Gap'!$B$24:$B$25,'Retirement Gap'!$B$27),AL442+AN442&lt;=$B$47,AM442&lt;='Retirement Gap'!$B$29,ABS(AK442+AL442+AM442-$B$10)&lt;1)</f>
        <v>1</v>
      </c>
      <c r="AT442" cm="1">
        <f t="array" ref="AT442">IF(AS442=0,1E+99,_xlfn.SWITCH(LEFT($E$39,1),"1",AO442,"2",AP442*1000000000+AO442,"3",-AQ442,"4",AO442+AP442*25000+AR442*0.005-AQ442*0.0001,AO442))</f>
        <v>-976904.54183937958</v>
      </c>
    </row>
    <row r="443" spans="33:46" x14ac:dyDescent="0.55000000000000004">
      <c r="AG443">
        <f t="shared" si="48"/>
        <v>442</v>
      </c>
      <c r="AH443">
        <f t="shared" si="49"/>
        <v>0.6</v>
      </c>
      <c r="AI443">
        <f t="shared" si="50"/>
        <v>0.7</v>
      </c>
      <c r="AJ443">
        <f t="shared" si="51"/>
        <v>0.6</v>
      </c>
      <c r="AK443">
        <f t="shared" si="52"/>
        <v>13447.321633416483</v>
      </c>
      <c r="AL443">
        <f t="shared" si="53"/>
        <v>36446.400000000001</v>
      </c>
      <c r="AM443">
        <f>MIN(MAX(0,$B$10-AL443)*AI443,'Retirement Gap'!$B$29)</f>
        <v>10850.278366583516</v>
      </c>
      <c r="AN443">
        <f>IF($E$40="B - Withdrawals + Roth conversions",AJ443*MAX(0,MIN($B$47-AL443,MIN($B$59,IRMAA!$C$16)-(AL443+$B$8*0.85+AK443*$B$46))),0)</f>
        <v>0</v>
      </c>
      <c r="AO443" cm="1">
        <f t="array" ref="AO443">_xlfn.LET(_xlpm.N,$B$49,_xlpm.R,$B$48,_xlpm.Start,$B$47,_xlpm.PlanWD,AL443,_xlpm.PlanRoth,AM443,_xlpm.PlanConv,AN443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30288.400000000001</v>
      </c>
      <c r="AP443" cm="1">
        <f t="array" ref="AP443">_xlfn.LET(_xlpm.N,$B$49,_xlpm.R,$B$48,_xlpm.Start,$B$47,_xlpm.PlanWD,AL443,_xlpm.PlanRoth,AM443,_xlpm.PlanConv,AN443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443" cm="1">
        <f t="array" ref="AQ443">_xlfn.LET(_xlpm.N,$B$49,_xlpm.R,$B$48,_xlpm.Start,$B$47,_xlpm.PlanWD,AL443,_xlpm.PlanRoth,AM443,_xlpm.PlanConv,AN443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976904.54183937958</v>
      </c>
      <c r="AR443" cm="1">
        <f t="array" ref="AR443">_xlfn.LET(_xlpm.N,$B$49,_xlpm.R,$B$48,_xlpm.Start,$B$47,_xlpm.PlanWD,AL443,_xlpm.PlanRoth,AM443,_xlpm.PlanConv,AN443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1046311.2826247542</v>
      </c>
      <c r="AS443">
        <f>--AND(AK443&lt;=SUM('Retirement Gap'!$B$24:$B$25,'Retirement Gap'!$B$27),AL443+AN443&lt;=$B$47,AM443&lt;='Retirement Gap'!$B$29,ABS(AK443+AL443+AM443-$B$10)&lt;1)</f>
        <v>1</v>
      </c>
      <c r="AT443" cm="1">
        <f t="array" ref="AT443">IF(AS443=0,1E+99,_xlfn.SWITCH(LEFT($E$39,1),"1",AO443,"2",AP443*1000000000+AO443,"3",-AQ443,"4",AO443+AP443*25000+AR443*0.005-AQ443*0.0001,AO443))</f>
        <v>-976904.54183937958</v>
      </c>
    </row>
    <row r="444" spans="33:46" x14ac:dyDescent="0.55000000000000004">
      <c r="AG444">
        <f t="shared" si="48"/>
        <v>443</v>
      </c>
      <c r="AH444">
        <f t="shared" si="49"/>
        <v>0.6</v>
      </c>
      <c r="AI444">
        <f t="shared" si="50"/>
        <v>0.7</v>
      </c>
      <c r="AJ444">
        <f t="shared" si="51"/>
        <v>0.8</v>
      </c>
      <c r="AK444">
        <f t="shared" si="52"/>
        <v>13447.321633416483</v>
      </c>
      <c r="AL444">
        <f t="shared" si="53"/>
        <v>36446.400000000001</v>
      </c>
      <c r="AM444">
        <f>MIN(MAX(0,$B$10-AL444)*AI444,'Retirement Gap'!$B$29)</f>
        <v>10850.278366583516</v>
      </c>
      <c r="AN444">
        <f>IF($E$40="B - Withdrawals + Roth conversions",AJ444*MAX(0,MIN($B$47-AL444,MIN($B$59,IRMAA!$C$16)-(AL444+$B$8*0.85+AK444*$B$46))),0)</f>
        <v>0</v>
      </c>
      <c r="AO444" cm="1">
        <f t="array" ref="AO444">_xlfn.LET(_xlpm.N,$B$49,_xlpm.R,$B$48,_xlpm.Start,$B$47,_xlpm.PlanWD,AL444,_xlpm.PlanRoth,AM444,_xlpm.PlanConv,AN444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30288.400000000001</v>
      </c>
      <c r="AP444" cm="1">
        <f t="array" ref="AP444">_xlfn.LET(_xlpm.N,$B$49,_xlpm.R,$B$48,_xlpm.Start,$B$47,_xlpm.PlanWD,AL444,_xlpm.PlanRoth,AM444,_xlpm.PlanConv,AN444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444" cm="1">
        <f t="array" ref="AQ444">_xlfn.LET(_xlpm.N,$B$49,_xlpm.R,$B$48,_xlpm.Start,$B$47,_xlpm.PlanWD,AL444,_xlpm.PlanRoth,AM444,_xlpm.PlanConv,AN444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976904.54183937958</v>
      </c>
      <c r="AR444" cm="1">
        <f t="array" ref="AR444">_xlfn.LET(_xlpm.N,$B$49,_xlpm.R,$B$48,_xlpm.Start,$B$47,_xlpm.PlanWD,AL444,_xlpm.PlanRoth,AM444,_xlpm.PlanConv,AN444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1046311.2826247542</v>
      </c>
      <c r="AS444">
        <f>--AND(AK444&lt;=SUM('Retirement Gap'!$B$24:$B$25,'Retirement Gap'!$B$27),AL444+AN444&lt;=$B$47,AM444&lt;='Retirement Gap'!$B$29,ABS(AK444+AL444+AM444-$B$10)&lt;1)</f>
        <v>1</v>
      </c>
      <c r="AT444" cm="1">
        <f t="array" ref="AT444">IF(AS444=0,1E+99,_xlfn.SWITCH(LEFT($E$39,1),"1",AO444,"2",AP444*1000000000+AO444,"3",-AQ444,"4",AO444+AP444*25000+AR444*0.005-AQ444*0.0001,AO444))</f>
        <v>-976904.54183937958</v>
      </c>
    </row>
    <row r="445" spans="33:46" x14ac:dyDescent="0.55000000000000004">
      <c r="AG445">
        <f t="shared" si="48"/>
        <v>444</v>
      </c>
      <c r="AH445">
        <f t="shared" si="49"/>
        <v>0.6</v>
      </c>
      <c r="AI445">
        <f t="shared" si="50"/>
        <v>0.7</v>
      </c>
      <c r="AJ445">
        <f t="shared" si="51"/>
        <v>1</v>
      </c>
      <c r="AK445">
        <f t="shared" si="52"/>
        <v>13447.321633416483</v>
      </c>
      <c r="AL445">
        <f t="shared" si="53"/>
        <v>36446.400000000001</v>
      </c>
      <c r="AM445">
        <f>MIN(MAX(0,$B$10-AL445)*AI445,'Retirement Gap'!$B$29)</f>
        <v>10850.278366583516</v>
      </c>
      <c r="AN445">
        <f>IF($E$40="B - Withdrawals + Roth conversions",AJ445*MAX(0,MIN($B$47-AL445,MIN($B$59,IRMAA!$C$16)-(AL445+$B$8*0.85+AK445*$B$46))),0)</f>
        <v>0</v>
      </c>
      <c r="AO445" cm="1">
        <f t="array" ref="AO445">_xlfn.LET(_xlpm.N,$B$49,_xlpm.R,$B$48,_xlpm.Start,$B$47,_xlpm.PlanWD,AL445,_xlpm.PlanRoth,AM445,_xlpm.PlanConv,AN445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30288.400000000001</v>
      </c>
      <c r="AP445" cm="1">
        <f t="array" ref="AP445">_xlfn.LET(_xlpm.N,$B$49,_xlpm.R,$B$48,_xlpm.Start,$B$47,_xlpm.PlanWD,AL445,_xlpm.PlanRoth,AM445,_xlpm.PlanConv,AN445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445" cm="1">
        <f t="array" ref="AQ445">_xlfn.LET(_xlpm.N,$B$49,_xlpm.R,$B$48,_xlpm.Start,$B$47,_xlpm.PlanWD,AL445,_xlpm.PlanRoth,AM445,_xlpm.PlanConv,AN445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976904.54183937958</v>
      </c>
      <c r="AR445" cm="1">
        <f t="array" ref="AR445">_xlfn.LET(_xlpm.N,$B$49,_xlpm.R,$B$48,_xlpm.Start,$B$47,_xlpm.PlanWD,AL445,_xlpm.PlanRoth,AM445,_xlpm.PlanConv,AN445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1046311.2826247542</v>
      </c>
      <c r="AS445">
        <f>--AND(AK445&lt;=SUM('Retirement Gap'!$B$24:$B$25,'Retirement Gap'!$B$27),AL445+AN445&lt;=$B$47,AM445&lt;='Retirement Gap'!$B$29,ABS(AK445+AL445+AM445-$B$10)&lt;1)</f>
        <v>1</v>
      </c>
      <c r="AT445" cm="1">
        <f t="array" ref="AT445">IF(AS445=0,1E+99,_xlfn.SWITCH(LEFT($E$39,1),"1",AO445,"2",AP445*1000000000+AO445,"3",-AQ445,"4",AO445+AP445*25000+AR445*0.005-AQ445*0.0001,AO445))</f>
        <v>-976904.54183937958</v>
      </c>
    </row>
    <row r="446" spans="33:46" x14ac:dyDescent="0.55000000000000004">
      <c r="AG446">
        <f t="shared" si="48"/>
        <v>445</v>
      </c>
      <c r="AH446">
        <f t="shared" si="49"/>
        <v>0.6</v>
      </c>
      <c r="AI446">
        <f t="shared" si="50"/>
        <v>0.8</v>
      </c>
      <c r="AJ446">
        <f t="shared" si="51"/>
        <v>0</v>
      </c>
      <c r="AK446">
        <f t="shared" si="52"/>
        <v>13447.321633416483</v>
      </c>
      <c r="AL446">
        <f t="shared" si="53"/>
        <v>36446.400000000001</v>
      </c>
      <c r="AM446">
        <f>MIN(MAX(0,$B$10-AL446)*AI446,'Retirement Gap'!$B$29)</f>
        <v>10850.278366583516</v>
      </c>
      <c r="AN446">
        <f>IF($E$40="B - Withdrawals + Roth conversions",AJ446*MAX(0,MIN($B$47-AL446,MIN($B$59,IRMAA!$C$16)-(AL446+$B$8*0.85+AK446*$B$46))),0)</f>
        <v>0</v>
      </c>
      <c r="AO446" cm="1">
        <f t="array" ref="AO446">_xlfn.LET(_xlpm.N,$B$49,_xlpm.R,$B$48,_xlpm.Start,$B$47,_xlpm.PlanWD,AL446,_xlpm.PlanRoth,AM446,_xlpm.PlanConv,AN446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30288.400000000001</v>
      </c>
      <c r="AP446" cm="1">
        <f t="array" ref="AP446">_xlfn.LET(_xlpm.N,$B$49,_xlpm.R,$B$48,_xlpm.Start,$B$47,_xlpm.PlanWD,AL446,_xlpm.PlanRoth,AM446,_xlpm.PlanConv,AN446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446" cm="1">
        <f t="array" ref="AQ446">_xlfn.LET(_xlpm.N,$B$49,_xlpm.R,$B$48,_xlpm.Start,$B$47,_xlpm.PlanWD,AL446,_xlpm.PlanRoth,AM446,_xlpm.PlanConv,AN446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976904.54183937958</v>
      </c>
      <c r="AR446" cm="1">
        <f t="array" ref="AR446">_xlfn.LET(_xlpm.N,$B$49,_xlpm.R,$B$48,_xlpm.Start,$B$47,_xlpm.PlanWD,AL446,_xlpm.PlanRoth,AM446,_xlpm.PlanConv,AN446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1046311.2826247542</v>
      </c>
      <c r="AS446">
        <f>--AND(AK446&lt;=SUM('Retirement Gap'!$B$24:$B$25,'Retirement Gap'!$B$27),AL446+AN446&lt;=$B$47,AM446&lt;='Retirement Gap'!$B$29,ABS(AK446+AL446+AM446-$B$10)&lt;1)</f>
        <v>1</v>
      </c>
      <c r="AT446" cm="1">
        <f t="array" ref="AT446">IF(AS446=0,1E+99,_xlfn.SWITCH(LEFT($E$39,1),"1",AO446,"2",AP446*1000000000+AO446,"3",-AQ446,"4",AO446+AP446*25000+AR446*0.005-AQ446*0.0001,AO446))</f>
        <v>-976904.54183937958</v>
      </c>
    </row>
    <row r="447" spans="33:46" x14ac:dyDescent="0.55000000000000004">
      <c r="AG447">
        <f t="shared" si="48"/>
        <v>446</v>
      </c>
      <c r="AH447">
        <f t="shared" si="49"/>
        <v>0.6</v>
      </c>
      <c r="AI447">
        <f t="shared" si="50"/>
        <v>0.8</v>
      </c>
      <c r="AJ447">
        <f t="shared" si="51"/>
        <v>0.2</v>
      </c>
      <c r="AK447">
        <f t="shared" si="52"/>
        <v>13447.321633416483</v>
      </c>
      <c r="AL447">
        <f t="shared" si="53"/>
        <v>36446.400000000001</v>
      </c>
      <c r="AM447">
        <f>MIN(MAX(0,$B$10-AL447)*AI447,'Retirement Gap'!$B$29)</f>
        <v>10850.278366583516</v>
      </c>
      <c r="AN447">
        <f>IF($E$40="B - Withdrawals + Roth conversions",AJ447*MAX(0,MIN($B$47-AL447,MIN($B$59,IRMAA!$C$16)-(AL447+$B$8*0.85+AK447*$B$46))),0)</f>
        <v>0</v>
      </c>
      <c r="AO447" cm="1">
        <f t="array" ref="AO447">_xlfn.LET(_xlpm.N,$B$49,_xlpm.R,$B$48,_xlpm.Start,$B$47,_xlpm.PlanWD,AL447,_xlpm.PlanRoth,AM447,_xlpm.PlanConv,AN447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30288.400000000001</v>
      </c>
      <c r="AP447" cm="1">
        <f t="array" ref="AP447">_xlfn.LET(_xlpm.N,$B$49,_xlpm.R,$B$48,_xlpm.Start,$B$47,_xlpm.PlanWD,AL447,_xlpm.PlanRoth,AM447,_xlpm.PlanConv,AN447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447" cm="1">
        <f t="array" ref="AQ447">_xlfn.LET(_xlpm.N,$B$49,_xlpm.R,$B$48,_xlpm.Start,$B$47,_xlpm.PlanWD,AL447,_xlpm.PlanRoth,AM447,_xlpm.PlanConv,AN447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976904.54183937958</v>
      </c>
      <c r="AR447" cm="1">
        <f t="array" ref="AR447">_xlfn.LET(_xlpm.N,$B$49,_xlpm.R,$B$48,_xlpm.Start,$B$47,_xlpm.PlanWD,AL447,_xlpm.PlanRoth,AM447,_xlpm.PlanConv,AN447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1046311.2826247542</v>
      </c>
      <c r="AS447">
        <f>--AND(AK447&lt;=SUM('Retirement Gap'!$B$24:$B$25,'Retirement Gap'!$B$27),AL447+AN447&lt;=$B$47,AM447&lt;='Retirement Gap'!$B$29,ABS(AK447+AL447+AM447-$B$10)&lt;1)</f>
        <v>1</v>
      </c>
      <c r="AT447" cm="1">
        <f t="array" ref="AT447">IF(AS447=0,1E+99,_xlfn.SWITCH(LEFT($E$39,1),"1",AO447,"2",AP447*1000000000+AO447,"3",-AQ447,"4",AO447+AP447*25000+AR447*0.005-AQ447*0.0001,AO447))</f>
        <v>-976904.54183937958</v>
      </c>
    </row>
    <row r="448" spans="33:46" x14ac:dyDescent="0.55000000000000004">
      <c r="AG448">
        <f t="shared" si="48"/>
        <v>447</v>
      </c>
      <c r="AH448">
        <f t="shared" si="49"/>
        <v>0.6</v>
      </c>
      <c r="AI448">
        <f t="shared" si="50"/>
        <v>0.8</v>
      </c>
      <c r="AJ448">
        <f t="shared" si="51"/>
        <v>0.4</v>
      </c>
      <c r="AK448">
        <f t="shared" si="52"/>
        <v>13447.321633416483</v>
      </c>
      <c r="AL448">
        <f t="shared" si="53"/>
        <v>36446.400000000001</v>
      </c>
      <c r="AM448">
        <f>MIN(MAX(0,$B$10-AL448)*AI448,'Retirement Gap'!$B$29)</f>
        <v>10850.278366583516</v>
      </c>
      <c r="AN448">
        <f>IF($E$40="B - Withdrawals + Roth conversions",AJ448*MAX(0,MIN($B$47-AL448,MIN($B$59,IRMAA!$C$16)-(AL448+$B$8*0.85+AK448*$B$46))),0)</f>
        <v>0</v>
      </c>
      <c r="AO448" cm="1">
        <f t="array" ref="AO448">_xlfn.LET(_xlpm.N,$B$49,_xlpm.R,$B$48,_xlpm.Start,$B$47,_xlpm.PlanWD,AL448,_xlpm.PlanRoth,AM448,_xlpm.PlanConv,AN448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30288.400000000001</v>
      </c>
      <c r="AP448" cm="1">
        <f t="array" ref="AP448">_xlfn.LET(_xlpm.N,$B$49,_xlpm.R,$B$48,_xlpm.Start,$B$47,_xlpm.PlanWD,AL448,_xlpm.PlanRoth,AM448,_xlpm.PlanConv,AN448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448" cm="1">
        <f t="array" ref="AQ448">_xlfn.LET(_xlpm.N,$B$49,_xlpm.R,$B$48,_xlpm.Start,$B$47,_xlpm.PlanWD,AL448,_xlpm.PlanRoth,AM448,_xlpm.PlanConv,AN448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976904.54183937958</v>
      </c>
      <c r="AR448" cm="1">
        <f t="array" ref="AR448">_xlfn.LET(_xlpm.N,$B$49,_xlpm.R,$B$48,_xlpm.Start,$B$47,_xlpm.PlanWD,AL448,_xlpm.PlanRoth,AM448,_xlpm.PlanConv,AN448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1046311.2826247542</v>
      </c>
      <c r="AS448">
        <f>--AND(AK448&lt;=SUM('Retirement Gap'!$B$24:$B$25,'Retirement Gap'!$B$27),AL448+AN448&lt;=$B$47,AM448&lt;='Retirement Gap'!$B$29,ABS(AK448+AL448+AM448-$B$10)&lt;1)</f>
        <v>1</v>
      </c>
      <c r="AT448" cm="1">
        <f t="array" ref="AT448">IF(AS448=0,1E+99,_xlfn.SWITCH(LEFT($E$39,1),"1",AO448,"2",AP448*1000000000+AO448,"3",-AQ448,"4",AO448+AP448*25000+AR448*0.005-AQ448*0.0001,AO448))</f>
        <v>-976904.54183937958</v>
      </c>
    </row>
    <row r="449" spans="33:46" x14ac:dyDescent="0.55000000000000004">
      <c r="AG449">
        <f t="shared" si="48"/>
        <v>448</v>
      </c>
      <c r="AH449">
        <f t="shared" si="49"/>
        <v>0.6</v>
      </c>
      <c r="AI449">
        <f t="shared" si="50"/>
        <v>0.8</v>
      </c>
      <c r="AJ449">
        <f t="shared" si="51"/>
        <v>0.6</v>
      </c>
      <c r="AK449">
        <f t="shared" si="52"/>
        <v>13447.321633416483</v>
      </c>
      <c r="AL449">
        <f t="shared" si="53"/>
        <v>36446.400000000001</v>
      </c>
      <c r="AM449">
        <f>MIN(MAX(0,$B$10-AL449)*AI449,'Retirement Gap'!$B$29)</f>
        <v>10850.278366583516</v>
      </c>
      <c r="AN449">
        <f>IF($E$40="B - Withdrawals + Roth conversions",AJ449*MAX(0,MIN($B$47-AL449,MIN($B$59,IRMAA!$C$16)-(AL449+$B$8*0.85+AK449*$B$46))),0)</f>
        <v>0</v>
      </c>
      <c r="AO449" cm="1">
        <f t="array" ref="AO449">_xlfn.LET(_xlpm.N,$B$49,_xlpm.R,$B$48,_xlpm.Start,$B$47,_xlpm.PlanWD,AL449,_xlpm.PlanRoth,AM449,_xlpm.PlanConv,AN449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30288.400000000001</v>
      </c>
      <c r="AP449" cm="1">
        <f t="array" ref="AP449">_xlfn.LET(_xlpm.N,$B$49,_xlpm.R,$B$48,_xlpm.Start,$B$47,_xlpm.PlanWD,AL449,_xlpm.PlanRoth,AM449,_xlpm.PlanConv,AN449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449" cm="1">
        <f t="array" ref="AQ449">_xlfn.LET(_xlpm.N,$B$49,_xlpm.R,$B$48,_xlpm.Start,$B$47,_xlpm.PlanWD,AL449,_xlpm.PlanRoth,AM449,_xlpm.PlanConv,AN449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976904.54183937958</v>
      </c>
      <c r="AR449" cm="1">
        <f t="array" ref="AR449">_xlfn.LET(_xlpm.N,$B$49,_xlpm.R,$B$48,_xlpm.Start,$B$47,_xlpm.PlanWD,AL449,_xlpm.PlanRoth,AM449,_xlpm.PlanConv,AN449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1046311.2826247542</v>
      </c>
      <c r="AS449">
        <f>--AND(AK449&lt;=SUM('Retirement Gap'!$B$24:$B$25,'Retirement Gap'!$B$27),AL449+AN449&lt;=$B$47,AM449&lt;='Retirement Gap'!$B$29,ABS(AK449+AL449+AM449-$B$10)&lt;1)</f>
        <v>1</v>
      </c>
      <c r="AT449" cm="1">
        <f t="array" ref="AT449">IF(AS449=0,1E+99,_xlfn.SWITCH(LEFT($E$39,1),"1",AO449,"2",AP449*1000000000+AO449,"3",-AQ449,"4",AO449+AP449*25000+AR449*0.005-AQ449*0.0001,AO449))</f>
        <v>-976904.54183937958</v>
      </c>
    </row>
    <row r="450" spans="33:46" x14ac:dyDescent="0.55000000000000004">
      <c r="AG450">
        <f t="shared" si="48"/>
        <v>449</v>
      </c>
      <c r="AH450">
        <f t="shared" si="49"/>
        <v>0.6</v>
      </c>
      <c r="AI450">
        <f t="shared" si="50"/>
        <v>0.8</v>
      </c>
      <c r="AJ450">
        <f t="shared" si="51"/>
        <v>0.8</v>
      </c>
      <c r="AK450">
        <f t="shared" si="52"/>
        <v>13447.321633416483</v>
      </c>
      <c r="AL450">
        <f t="shared" si="53"/>
        <v>36446.400000000001</v>
      </c>
      <c r="AM450">
        <f>MIN(MAX(0,$B$10-AL450)*AI450,'Retirement Gap'!$B$29)</f>
        <v>10850.278366583516</v>
      </c>
      <c r="AN450">
        <f>IF($E$40="B - Withdrawals + Roth conversions",AJ450*MAX(0,MIN($B$47-AL450,MIN($B$59,IRMAA!$C$16)-(AL450+$B$8*0.85+AK450*$B$46))),0)</f>
        <v>0</v>
      </c>
      <c r="AO450" cm="1">
        <f t="array" ref="AO450">_xlfn.LET(_xlpm.N,$B$49,_xlpm.R,$B$48,_xlpm.Start,$B$47,_xlpm.PlanWD,AL450,_xlpm.PlanRoth,AM450,_xlpm.PlanConv,AN450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30288.400000000001</v>
      </c>
      <c r="AP450" cm="1">
        <f t="array" ref="AP450">_xlfn.LET(_xlpm.N,$B$49,_xlpm.R,$B$48,_xlpm.Start,$B$47,_xlpm.PlanWD,AL450,_xlpm.PlanRoth,AM450,_xlpm.PlanConv,AN450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450" cm="1">
        <f t="array" ref="AQ450">_xlfn.LET(_xlpm.N,$B$49,_xlpm.R,$B$48,_xlpm.Start,$B$47,_xlpm.PlanWD,AL450,_xlpm.PlanRoth,AM450,_xlpm.PlanConv,AN450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976904.54183937958</v>
      </c>
      <c r="AR450" cm="1">
        <f t="array" ref="AR450">_xlfn.LET(_xlpm.N,$B$49,_xlpm.R,$B$48,_xlpm.Start,$B$47,_xlpm.PlanWD,AL450,_xlpm.PlanRoth,AM450,_xlpm.PlanConv,AN450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1046311.2826247542</v>
      </c>
      <c r="AS450">
        <f>--AND(AK450&lt;=SUM('Retirement Gap'!$B$24:$B$25,'Retirement Gap'!$B$27),AL450+AN450&lt;=$B$47,AM450&lt;='Retirement Gap'!$B$29,ABS(AK450+AL450+AM450-$B$10)&lt;1)</f>
        <v>1</v>
      </c>
      <c r="AT450" cm="1">
        <f t="array" ref="AT450">IF(AS450=0,1E+99,_xlfn.SWITCH(LEFT($E$39,1),"1",AO450,"2",AP450*1000000000+AO450,"3",-AQ450,"4",AO450+AP450*25000+AR450*0.005-AQ450*0.0001,AO450))</f>
        <v>-976904.54183937958</v>
      </c>
    </row>
    <row r="451" spans="33:46" x14ac:dyDescent="0.55000000000000004">
      <c r="AG451">
        <f t="shared" ref="AG451:AG514" si="54">ROW()-1</f>
        <v>450</v>
      </c>
      <c r="AH451">
        <f t="shared" ref="AH451:AH514" si="55">INT((AG451-1)/66)/10</f>
        <v>0.6</v>
      </c>
      <c r="AI451">
        <f t="shared" ref="AI451:AI514" si="56">MOD(INT((AG451-1)/6),11)/10</f>
        <v>0.8</v>
      </c>
      <c r="AJ451">
        <f t="shared" ref="AJ451:AJ514" si="57">MOD(AG451-1,6)/5</f>
        <v>1</v>
      </c>
      <c r="AK451">
        <f t="shared" ref="AK451:AK514" si="58">MAX(0,$B$10-AL451-AM451)</f>
        <v>13447.321633416483</v>
      </c>
      <c r="AL451">
        <f t="shared" ref="AL451:AL514" si="59">MIN($B$10*AH451,$B$47)</f>
        <v>36446.400000000001</v>
      </c>
      <c r="AM451">
        <f>MIN(MAX(0,$B$10-AL451)*AI451,'Retirement Gap'!$B$29)</f>
        <v>10850.278366583516</v>
      </c>
      <c r="AN451">
        <f>IF($E$40="B - Withdrawals + Roth conversions",AJ451*MAX(0,MIN($B$47-AL451,MIN($B$59,IRMAA!$C$16)-(AL451+$B$8*0.85+AK451*$B$46))),0)</f>
        <v>0</v>
      </c>
      <c r="AO451" cm="1">
        <f t="array" ref="AO451">_xlfn.LET(_xlpm.N,$B$49,_xlpm.R,$B$48,_xlpm.Start,$B$47,_xlpm.PlanWD,AL451,_xlpm.PlanRoth,AM451,_xlpm.PlanConv,AN451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30288.400000000001</v>
      </c>
      <c r="AP451" cm="1">
        <f t="array" ref="AP451">_xlfn.LET(_xlpm.N,$B$49,_xlpm.R,$B$48,_xlpm.Start,$B$47,_xlpm.PlanWD,AL451,_xlpm.PlanRoth,AM451,_xlpm.PlanConv,AN451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451" cm="1">
        <f t="array" ref="AQ451">_xlfn.LET(_xlpm.N,$B$49,_xlpm.R,$B$48,_xlpm.Start,$B$47,_xlpm.PlanWD,AL451,_xlpm.PlanRoth,AM451,_xlpm.PlanConv,AN451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976904.54183937958</v>
      </c>
      <c r="AR451" cm="1">
        <f t="array" ref="AR451">_xlfn.LET(_xlpm.N,$B$49,_xlpm.R,$B$48,_xlpm.Start,$B$47,_xlpm.PlanWD,AL451,_xlpm.PlanRoth,AM451,_xlpm.PlanConv,AN451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1046311.2826247542</v>
      </c>
      <c r="AS451">
        <f>--AND(AK451&lt;=SUM('Retirement Gap'!$B$24:$B$25,'Retirement Gap'!$B$27),AL451+AN451&lt;=$B$47,AM451&lt;='Retirement Gap'!$B$29,ABS(AK451+AL451+AM451-$B$10)&lt;1)</f>
        <v>1</v>
      </c>
      <c r="AT451" cm="1">
        <f t="array" ref="AT451">IF(AS451=0,1E+99,_xlfn.SWITCH(LEFT($E$39,1),"1",AO451,"2",AP451*1000000000+AO451,"3",-AQ451,"4",AO451+AP451*25000+AR451*0.005-AQ451*0.0001,AO451))</f>
        <v>-976904.54183937958</v>
      </c>
    </row>
    <row r="452" spans="33:46" x14ac:dyDescent="0.55000000000000004">
      <c r="AG452">
        <f t="shared" si="54"/>
        <v>451</v>
      </c>
      <c r="AH452">
        <f t="shared" si="55"/>
        <v>0.6</v>
      </c>
      <c r="AI452">
        <f t="shared" si="56"/>
        <v>0.9</v>
      </c>
      <c r="AJ452">
        <f t="shared" si="57"/>
        <v>0</v>
      </c>
      <c r="AK452">
        <f t="shared" si="58"/>
        <v>13447.321633416483</v>
      </c>
      <c r="AL452">
        <f t="shared" si="59"/>
        <v>36446.400000000001</v>
      </c>
      <c r="AM452">
        <f>MIN(MAX(0,$B$10-AL452)*AI452,'Retirement Gap'!$B$29)</f>
        <v>10850.278366583516</v>
      </c>
      <c r="AN452">
        <f>IF($E$40="B - Withdrawals + Roth conversions",AJ452*MAX(0,MIN($B$47-AL452,MIN($B$59,IRMAA!$C$16)-(AL452+$B$8*0.85+AK452*$B$46))),0)</f>
        <v>0</v>
      </c>
      <c r="AO452" cm="1">
        <f t="array" ref="AO452">_xlfn.LET(_xlpm.N,$B$49,_xlpm.R,$B$48,_xlpm.Start,$B$47,_xlpm.PlanWD,AL452,_xlpm.PlanRoth,AM452,_xlpm.PlanConv,AN452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30288.400000000001</v>
      </c>
      <c r="AP452" cm="1">
        <f t="array" ref="AP452">_xlfn.LET(_xlpm.N,$B$49,_xlpm.R,$B$48,_xlpm.Start,$B$47,_xlpm.PlanWD,AL452,_xlpm.PlanRoth,AM452,_xlpm.PlanConv,AN452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452" cm="1">
        <f t="array" ref="AQ452">_xlfn.LET(_xlpm.N,$B$49,_xlpm.R,$B$48,_xlpm.Start,$B$47,_xlpm.PlanWD,AL452,_xlpm.PlanRoth,AM452,_xlpm.PlanConv,AN452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976904.54183937958</v>
      </c>
      <c r="AR452" cm="1">
        <f t="array" ref="AR452">_xlfn.LET(_xlpm.N,$B$49,_xlpm.R,$B$48,_xlpm.Start,$B$47,_xlpm.PlanWD,AL452,_xlpm.PlanRoth,AM452,_xlpm.PlanConv,AN452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1046311.2826247542</v>
      </c>
      <c r="AS452">
        <f>--AND(AK452&lt;=SUM('Retirement Gap'!$B$24:$B$25,'Retirement Gap'!$B$27),AL452+AN452&lt;=$B$47,AM452&lt;='Retirement Gap'!$B$29,ABS(AK452+AL452+AM452-$B$10)&lt;1)</f>
        <v>1</v>
      </c>
      <c r="AT452" cm="1">
        <f t="array" ref="AT452">IF(AS452=0,1E+99,_xlfn.SWITCH(LEFT($E$39,1),"1",AO452,"2",AP452*1000000000+AO452,"3",-AQ452,"4",AO452+AP452*25000+AR452*0.005-AQ452*0.0001,AO452))</f>
        <v>-976904.54183937958</v>
      </c>
    </row>
    <row r="453" spans="33:46" x14ac:dyDescent="0.55000000000000004">
      <c r="AG453">
        <f t="shared" si="54"/>
        <v>452</v>
      </c>
      <c r="AH453">
        <f t="shared" si="55"/>
        <v>0.6</v>
      </c>
      <c r="AI453">
        <f t="shared" si="56"/>
        <v>0.9</v>
      </c>
      <c r="AJ453">
        <f t="shared" si="57"/>
        <v>0.2</v>
      </c>
      <c r="AK453">
        <f t="shared" si="58"/>
        <v>13447.321633416483</v>
      </c>
      <c r="AL453">
        <f t="shared" si="59"/>
        <v>36446.400000000001</v>
      </c>
      <c r="AM453">
        <f>MIN(MAX(0,$B$10-AL453)*AI453,'Retirement Gap'!$B$29)</f>
        <v>10850.278366583516</v>
      </c>
      <c r="AN453">
        <f>IF($E$40="B - Withdrawals + Roth conversions",AJ453*MAX(0,MIN($B$47-AL453,MIN($B$59,IRMAA!$C$16)-(AL453+$B$8*0.85+AK453*$B$46))),0)</f>
        <v>0</v>
      </c>
      <c r="AO453" cm="1">
        <f t="array" ref="AO453">_xlfn.LET(_xlpm.N,$B$49,_xlpm.R,$B$48,_xlpm.Start,$B$47,_xlpm.PlanWD,AL453,_xlpm.PlanRoth,AM453,_xlpm.PlanConv,AN453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30288.400000000001</v>
      </c>
      <c r="AP453" cm="1">
        <f t="array" ref="AP453">_xlfn.LET(_xlpm.N,$B$49,_xlpm.R,$B$48,_xlpm.Start,$B$47,_xlpm.PlanWD,AL453,_xlpm.PlanRoth,AM453,_xlpm.PlanConv,AN453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453" cm="1">
        <f t="array" ref="AQ453">_xlfn.LET(_xlpm.N,$B$49,_xlpm.R,$B$48,_xlpm.Start,$B$47,_xlpm.PlanWD,AL453,_xlpm.PlanRoth,AM453,_xlpm.PlanConv,AN453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976904.54183937958</v>
      </c>
      <c r="AR453" cm="1">
        <f t="array" ref="AR453">_xlfn.LET(_xlpm.N,$B$49,_xlpm.R,$B$48,_xlpm.Start,$B$47,_xlpm.PlanWD,AL453,_xlpm.PlanRoth,AM453,_xlpm.PlanConv,AN453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1046311.2826247542</v>
      </c>
      <c r="AS453">
        <f>--AND(AK453&lt;=SUM('Retirement Gap'!$B$24:$B$25,'Retirement Gap'!$B$27),AL453+AN453&lt;=$B$47,AM453&lt;='Retirement Gap'!$B$29,ABS(AK453+AL453+AM453-$B$10)&lt;1)</f>
        <v>1</v>
      </c>
      <c r="AT453" cm="1">
        <f t="array" ref="AT453">IF(AS453=0,1E+99,_xlfn.SWITCH(LEFT($E$39,1),"1",AO453,"2",AP453*1000000000+AO453,"3",-AQ453,"4",AO453+AP453*25000+AR453*0.005-AQ453*0.0001,AO453))</f>
        <v>-976904.54183937958</v>
      </c>
    </row>
    <row r="454" spans="33:46" x14ac:dyDescent="0.55000000000000004">
      <c r="AG454">
        <f t="shared" si="54"/>
        <v>453</v>
      </c>
      <c r="AH454">
        <f t="shared" si="55"/>
        <v>0.6</v>
      </c>
      <c r="AI454">
        <f t="shared" si="56"/>
        <v>0.9</v>
      </c>
      <c r="AJ454">
        <f t="shared" si="57"/>
        <v>0.4</v>
      </c>
      <c r="AK454">
        <f t="shared" si="58"/>
        <v>13447.321633416483</v>
      </c>
      <c r="AL454">
        <f t="shared" si="59"/>
        <v>36446.400000000001</v>
      </c>
      <c r="AM454">
        <f>MIN(MAX(0,$B$10-AL454)*AI454,'Retirement Gap'!$B$29)</f>
        <v>10850.278366583516</v>
      </c>
      <c r="AN454">
        <f>IF($E$40="B - Withdrawals + Roth conversions",AJ454*MAX(0,MIN($B$47-AL454,MIN($B$59,IRMAA!$C$16)-(AL454+$B$8*0.85+AK454*$B$46))),0)</f>
        <v>0</v>
      </c>
      <c r="AO454" cm="1">
        <f t="array" ref="AO454">_xlfn.LET(_xlpm.N,$B$49,_xlpm.R,$B$48,_xlpm.Start,$B$47,_xlpm.PlanWD,AL454,_xlpm.PlanRoth,AM454,_xlpm.PlanConv,AN454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30288.400000000001</v>
      </c>
      <c r="AP454" cm="1">
        <f t="array" ref="AP454">_xlfn.LET(_xlpm.N,$B$49,_xlpm.R,$B$48,_xlpm.Start,$B$47,_xlpm.PlanWD,AL454,_xlpm.PlanRoth,AM454,_xlpm.PlanConv,AN454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454" cm="1">
        <f t="array" ref="AQ454">_xlfn.LET(_xlpm.N,$B$49,_xlpm.R,$B$48,_xlpm.Start,$B$47,_xlpm.PlanWD,AL454,_xlpm.PlanRoth,AM454,_xlpm.PlanConv,AN454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976904.54183937958</v>
      </c>
      <c r="AR454" cm="1">
        <f t="array" ref="AR454">_xlfn.LET(_xlpm.N,$B$49,_xlpm.R,$B$48,_xlpm.Start,$B$47,_xlpm.PlanWD,AL454,_xlpm.PlanRoth,AM454,_xlpm.PlanConv,AN454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1046311.2826247542</v>
      </c>
      <c r="AS454">
        <f>--AND(AK454&lt;=SUM('Retirement Gap'!$B$24:$B$25,'Retirement Gap'!$B$27),AL454+AN454&lt;=$B$47,AM454&lt;='Retirement Gap'!$B$29,ABS(AK454+AL454+AM454-$B$10)&lt;1)</f>
        <v>1</v>
      </c>
      <c r="AT454" cm="1">
        <f t="array" ref="AT454">IF(AS454=0,1E+99,_xlfn.SWITCH(LEFT($E$39,1),"1",AO454,"2",AP454*1000000000+AO454,"3",-AQ454,"4",AO454+AP454*25000+AR454*0.005-AQ454*0.0001,AO454))</f>
        <v>-976904.54183937958</v>
      </c>
    </row>
    <row r="455" spans="33:46" x14ac:dyDescent="0.55000000000000004">
      <c r="AG455">
        <f t="shared" si="54"/>
        <v>454</v>
      </c>
      <c r="AH455">
        <f t="shared" si="55"/>
        <v>0.6</v>
      </c>
      <c r="AI455">
        <f t="shared" si="56"/>
        <v>0.9</v>
      </c>
      <c r="AJ455">
        <f t="shared" si="57"/>
        <v>0.6</v>
      </c>
      <c r="AK455">
        <f t="shared" si="58"/>
        <v>13447.321633416483</v>
      </c>
      <c r="AL455">
        <f t="shared" si="59"/>
        <v>36446.400000000001</v>
      </c>
      <c r="AM455">
        <f>MIN(MAX(0,$B$10-AL455)*AI455,'Retirement Gap'!$B$29)</f>
        <v>10850.278366583516</v>
      </c>
      <c r="AN455">
        <f>IF($E$40="B - Withdrawals + Roth conversions",AJ455*MAX(0,MIN($B$47-AL455,MIN($B$59,IRMAA!$C$16)-(AL455+$B$8*0.85+AK455*$B$46))),0)</f>
        <v>0</v>
      </c>
      <c r="AO455" cm="1">
        <f t="array" ref="AO455">_xlfn.LET(_xlpm.N,$B$49,_xlpm.R,$B$48,_xlpm.Start,$B$47,_xlpm.PlanWD,AL455,_xlpm.PlanRoth,AM455,_xlpm.PlanConv,AN455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30288.400000000001</v>
      </c>
      <c r="AP455" cm="1">
        <f t="array" ref="AP455">_xlfn.LET(_xlpm.N,$B$49,_xlpm.R,$B$48,_xlpm.Start,$B$47,_xlpm.PlanWD,AL455,_xlpm.PlanRoth,AM455,_xlpm.PlanConv,AN455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455" cm="1">
        <f t="array" ref="AQ455">_xlfn.LET(_xlpm.N,$B$49,_xlpm.R,$B$48,_xlpm.Start,$B$47,_xlpm.PlanWD,AL455,_xlpm.PlanRoth,AM455,_xlpm.PlanConv,AN455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976904.54183937958</v>
      </c>
      <c r="AR455" cm="1">
        <f t="array" ref="AR455">_xlfn.LET(_xlpm.N,$B$49,_xlpm.R,$B$48,_xlpm.Start,$B$47,_xlpm.PlanWD,AL455,_xlpm.PlanRoth,AM455,_xlpm.PlanConv,AN455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1046311.2826247542</v>
      </c>
      <c r="AS455">
        <f>--AND(AK455&lt;=SUM('Retirement Gap'!$B$24:$B$25,'Retirement Gap'!$B$27),AL455+AN455&lt;=$B$47,AM455&lt;='Retirement Gap'!$B$29,ABS(AK455+AL455+AM455-$B$10)&lt;1)</f>
        <v>1</v>
      </c>
      <c r="AT455" cm="1">
        <f t="array" ref="AT455">IF(AS455=0,1E+99,_xlfn.SWITCH(LEFT($E$39,1),"1",AO455,"2",AP455*1000000000+AO455,"3",-AQ455,"4",AO455+AP455*25000+AR455*0.005-AQ455*0.0001,AO455))</f>
        <v>-976904.54183937958</v>
      </c>
    </row>
    <row r="456" spans="33:46" x14ac:dyDescent="0.55000000000000004">
      <c r="AG456">
        <f t="shared" si="54"/>
        <v>455</v>
      </c>
      <c r="AH456">
        <f t="shared" si="55"/>
        <v>0.6</v>
      </c>
      <c r="AI456">
        <f t="shared" si="56"/>
        <v>0.9</v>
      </c>
      <c r="AJ456">
        <f t="shared" si="57"/>
        <v>0.8</v>
      </c>
      <c r="AK456">
        <f t="shared" si="58"/>
        <v>13447.321633416483</v>
      </c>
      <c r="AL456">
        <f t="shared" si="59"/>
        <v>36446.400000000001</v>
      </c>
      <c r="AM456">
        <f>MIN(MAX(0,$B$10-AL456)*AI456,'Retirement Gap'!$B$29)</f>
        <v>10850.278366583516</v>
      </c>
      <c r="AN456">
        <f>IF($E$40="B - Withdrawals + Roth conversions",AJ456*MAX(0,MIN($B$47-AL456,MIN($B$59,IRMAA!$C$16)-(AL456+$B$8*0.85+AK456*$B$46))),0)</f>
        <v>0</v>
      </c>
      <c r="AO456" cm="1">
        <f t="array" ref="AO456">_xlfn.LET(_xlpm.N,$B$49,_xlpm.R,$B$48,_xlpm.Start,$B$47,_xlpm.PlanWD,AL456,_xlpm.PlanRoth,AM456,_xlpm.PlanConv,AN456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30288.400000000001</v>
      </c>
      <c r="AP456" cm="1">
        <f t="array" ref="AP456">_xlfn.LET(_xlpm.N,$B$49,_xlpm.R,$B$48,_xlpm.Start,$B$47,_xlpm.PlanWD,AL456,_xlpm.PlanRoth,AM456,_xlpm.PlanConv,AN456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456" cm="1">
        <f t="array" ref="AQ456">_xlfn.LET(_xlpm.N,$B$49,_xlpm.R,$B$48,_xlpm.Start,$B$47,_xlpm.PlanWD,AL456,_xlpm.PlanRoth,AM456,_xlpm.PlanConv,AN456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976904.54183937958</v>
      </c>
      <c r="AR456" cm="1">
        <f t="array" ref="AR456">_xlfn.LET(_xlpm.N,$B$49,_xlpm.R,$B$48,_xlpm.Start,$B$47,_xlpm.PlanWD,AL456,_xlpm.PlanRoth,AM456,_xlpm.PlanConv,AN456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1046311.2826247542</v>
      </c>
      <c r="AS456">
        <f>--AND(AK456&lt;=SUM('Retirement Gap'!$B$24:$B$25,'Retirement Gap'!$B$27),AL456+AN456&lt;=$B$47,AM456&lt;='Retirement Gap'!$B$29,ABS(AK456+AL456+AM456-$B$10)&lt;1)</f>
        <v>1</v>
      </c>
      <c r="AT456" cm="1">
        <f t="array" ref="AT456">IF(AS456=0,1E+99,_xlfn.SWITCH(LEFT($E$39,1),"1",AO456,"2",AP456*1000000000+AO456,"3",-AQ456,"4",AO456+AP456*25000+AR456*0.005-AQ456*0.0001,AO456))</f>
        <v>-976904.54183937958</v>
      </c>
    </row>
    <row r="457" spans="33:46" x14ac:dyDescent="0.55000000000000004">
      <c r="AG457">
        <f t="shared" si="54"/>
        <v>456</v>
      </c>
      <c r="AH457">
        <f t="shared" si="55"/>
        <v>0.6</v>
      </c>
      <c r="AI457">
        <f t="shared" si="56"/>
        <v>0.9</v>
      </c>
      <c r="AJ457">
        <f t="shared" si="57"/>
        <v>1</v>
      </c>
      <c r="AK457">
        <f t="shared" si="58"/>
        <v>13447.321633416483</v>
      </c>
      <c r="AL457">
        <f t="shared" si="59"/>
        <v>36446.400000000001</v>
      </c>
      <c r="AM457">
        <f>MIN(MAX(0,$B$10-AL457)*AI457,'Retirement Gap'!$B$29)</f>
        <v>10850.278366583516</v>
      </c>
      <c r="AN457">
        <f>IF($E$40="B - Withdrawals + Roth conversions",AJ457*MAX(0,MIN($B$47-AL457,MIN($B$59,IRMAA!$C$16)-(AL457+$B$8*0.85+AK457*$B$46))),0)</f>
        <v>0</v>
      </c>
      <c r="AO457" cm="1">
        <f t="array" ref="AO457">_xlfn.LET(_xlpm.N,$B$49,_xlpm.R,$B$48,_xlpm.Start,$B$47,_xlpm.PlanWD,AL457,_xlpm.PlanRoth,AM457,_xlpm.PlanConv,AN457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30288.400000000001</v>
      </c>
      <c r="AP457" cm="1">
        <f t="array" ref="AP457">_xlfn.LET(_xlpm.N,$B$49,_xlpm.R,$B$48,_xlpm.Start,$B$47,_xlpm.PlanWD,AL457,_xlpm.PlanRoth,AM457,_xlpm.PlanConv,AN457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457" cm="1">
        <f t="array" ref="AQ457">_xlfn.LET(_xlpm.N,$B$49,_xlpm.R,$B$48,_xlpm.Start,$B$47,_xlpm.PlanWD,AL457,_xlpm.PlanRoth,AM457,_xlpm.PlanConv,AN457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976904.54183937958</v>
      </c>
      <c r="AR457" cm="1">
        <f t="array" ref="AR457">_xlfn.LET(_xlpm.N,$B$49,_xlpm.R,$B$48,_xlpm.Start,$B$47,_xlpm.PlanWD,AL457,_xlpm.PlanRoth,AM457,_xlpm.PlanConv,AN457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1046311.2826247542</v>
      </c>
      <c r="AS457">
        <f>--AND(AK457&lt;=SUM('Retirement Gap'!$B$24:$B$25,'Retirement Gap'!$B$27),AL457+AN457&lt;=$B$47,AM457&lt;='Retirement Gap'!$B$29,ABS(AK457+AL457+AM457-$B$10)&lt;1)</f>
        <v>1</v>
      </c>
      <c r="AT457" cm="1">
        <f t="array" ref="AT457">IF(AS457=0,1E+99,_xlfn.SWITCH(LEFT($E$39,1),"1",AO457,"2",AP457*1000000000+AO457,"3",-AQ457,"4",AO457+AP457*25000+AR457*0.005-AQ457*0.0001,AO457))</f>
        <v>-976904.54183937958</v>
      </c>
    </row>
    <row r="458" spans="33:46" x14ac:dyDescent="0.55000000000000004">
      <c r="AG458">
        <f t="shared" si="54"/>
        <v>457</v>
      </c>
      <c r="AH458">
        <f t="shared" si="55"/>
        <v>0.6</v>
      </c>
      <c r="AI458">
        <f t="shared" si="56"/>
        <v>1</v>
      </c>
      <c r="AJ458">
        <f t="shared" si="57"/>
        <v>0</v>
      </c>
      <c r="AK458">
        <f t="shared" si="58"/>
        <v>13447.321633416483</v>
      </c>
      <c r="AL458">
        <f t="shared" si="59"/>
        <v>36446.400000000001</v>
      </c>
      <c r="AM458">
        <f>MIN(MAX(0,$B$10-AL458)*AI458,'Retirement Gap'!$B$29)</f>
        <v>10850.278366583516</v>
      </c>
      <c r="AN458">
        <f>IF($E$40="B - Withdrawals + Roth conversions",AJ458*MAX(0,MIN($B$47-AL458,MIN($B$59,IRMAA!$C$16)-(AL458+$B$8*0.85+AK458*$B$46))),0)</f>
        <v>0</v>
      </c>
      <c r="AO458" cm="1">
        <f t="array" ref="AO458">_xlfn.LET(_xlpm.N,$B$49,_xlpm.R,$B$48,_xlpm.Start,$B$47,_xlpm.PlanWD,AL458,_xlpm.PlanRoth,AM458,_xlpm.PlanConv,AN458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30288.400000000001</v>
      </c>
      <c r="AP458" cm="1">
        <f t="array" ref="AP458">_xlfn.LET(_xlpm.N,$B$49,_xlpm.R,$B$48,_xlpm.Start,$B$47,_xlpm.PlanWD,AL458,_xlpm.PlanRoth,AM458,_xlpm.PlanConv,AN458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458" cm="1">
        <f t="array" ref="AQ458">_xlfn.LET(_xlpm.N,$B$49,_xlpm.R,$B$48,_xlpm.Start,$B$47,_xlpm.PlanWD,AL458,_xlpm.PlanRoth,AM458,_xlpm.PlanConv,AN458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976904.54183937958</v>
      </c>
      <c r="AR458" cm="1">
        <f t="array" ref="AR458">_xlfn.LET(_xlpm.N,$B$49,_xlpm.R,$B$48,_xlpm.Start,$B$47,_xlpm.PlanWD,AL458,_xlpm.PlanRoth,AM458,_xlpm.PlanConv,AN458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1046311.2826247542</v>
      </c>
      <c r="AS458">
        <f>--AND(AK458&lt;=SUM('Retirement Gap'!$B$24:$B$25,'Retirement Gap'!$B$27),AL458+AN458&lt;=$B$47,AM458&lt;='Retirement Gap'!$B$29,ABS(AK458+AL458+AM458-$B$10)&lt;1)</f>
        <v>1</v>
      </c>
      <c r="AT458" cm="1">
        <f t="array" ref="AT458">IF(AS458=0,1E+99,_xlfn.SWITCH(LEFT($E$39,1),"1",AO458,"2",AP458*1000000000+AO458,"3",-AQ458,"4",AO458+AP458*25000+AR458*0.005-AQ458*0.0001,AO458))</f>
        <v>-976904.54183937958</v>
      </c>
    </row>
    <row r="459" spans="33:46" x14ac:dyDescent="0.55000000000000004">
      <c r="AG459">
        <f t="shared" si="54"/>
        <v>458</v>
      </c>
      <c r="AH459">
        <f t="shared" si="55"/>
        <v>0.6</v>
      </c>
      <c r="AI459">
        <f t="shared" si="56"/>
        <v>1</v>
      </c>
      <c r="AJ459">
        <f t="shared" si="57"/>
        <v>0.2</v>
      </c>
      <c r="AK459">
        <f t="shared" si="58"/>
        <v>13447.321633416483</v>
      </c>
      <c r="AL459">
        <f t="shared" si="59"/>
        <v>36446.400000000001</v>
      </c>
      <c r="AM459">
        <f>MIN(MAX(0,$B$10-AL459)*AI459,'Retirement Gap'!$B$29)</f>
        <v>10850.278366583516</v>
      </c>
      <c r="AN459">
        <f>IF($E$40="B - Withdrawals + Roth conversions",AJ459*MAX(0,MIN($B$47-AL459,MIN($B$59,IRMAA!$C$16)-(AL459+$B$8*0.85+AK459*$B$46))),0)</f>
        <v>0</v>
      </c>
      <c r="AO459" cm="1">
        <f t="array" ref="AO459">_xlfn.LET(_xlpm.N,$B$49,_xlpm.R,$B$48,_xlpm.Start,$B$47,_xlpm.PlanWD,AL459,_xlpm.PlanRoth,AM459,_xlpm.PlanConv,AN459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30288.400000000001</v>
      </c>
      <c r="AP459" cm="1">
        <f t="array" ref="AP459">_xlfn.LET(_xlpm.N,$B$49,_xlpm.R,$B$48,_xlpm.Start,$B$47,_xlpm.PlanWD,AL459,_xlpm.PlanRoth,AM459,_xlpm.PlanConv,AN459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459" cm="1">
        <f t="array" ref="AQ459">_xlfn.LET(_xlpm.N,$B$49,_xlpm.R,$B$48,_xlpm.Start,$B$47,_xlpm.PlanWD,AL459,_xlpm.PlanRoth,AM459,_xlpm.PlanConv,AN459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976904.54183937958</v>
      </c>
      <c r="AR459" cm="1">
        <f t="array" ref="AR459">_xlfn.LET(_xlpm.N,$B$49,_xlpm.R,$B$48,_xlpm.Start,$B$47,_xlpm.PlanWD,AL459,_xlpm.PlanRoth,AM459,_xlpm.PlanConv,AN459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1046311.2826247542</v>
      </c>
      <c r="AS459">
        <f>--AND(AK459&lt;=SUM('Retirement Gap'!$B$24:$B$25,'Retirement Gap'!$B$27),AL459+AN459&lt;=$B$47,AM459&lt;='Retirement Gap'!$B$29,ABS(AK459+AL459+AM459-$B$10)&lt;1)</f>
        <v>1</v>
      </c>
      <c r="AT459" cm="1">
        <f t="array" ref="AT459">IF(AS459=0,1E+99,_xlfn.SWITCH(LEFT($E$39,1),"1",AO459,"2",AP459*1000000000+AO459,"3",-AQ459,"4",AO459+AP459*25000+AR459*0.005-AQ459*0.0001,AO459))</f>
        <v>-976904.54183937958</v>
      </c>
    </row>
    <row r="460" spans="33:46" x14ac:dyDescent="0.55000000000000004">
      <c r="AG460">
        <f t="shared" si="54"/>
        <v>459</v>
      </c>
      <c r="AH460">
        <f t="shared" si="55"/>
        <v>0.6</v>
      </c>
      <c r="AI460">
        <f t="shared" si="56"/>
        <v>1</v>
      </c>
      <c r="AJ460">
        <f t="shared" si="57"/>
        <v>0.4</v>
      </c>
      <c r="AK460">
        <f t="shared" si="58"/>
        <v>13447.321633416483</v>
      </c>
      <c r="AL460">
        <f t="shared" si="59"/>
        <v>36446.400000000001</v>
      </c>
      <c r="AM460">
        <f>MIN(MAX(0,$B$10-AL460)*AI460,'Retirement Gap'!$B$29)</f>
        <v>10850.278366583516</v>
      </c>
      <c r="AN460">
        <f>IF($E$40="B - Withdrawals + Roth conversions",AJ460*MAX(0,MIN($B$47-AL460,MIN($B$59,IRMAA!$C$16)-(AL460+$B$8*0.85+AK460*$B$46))),0)</f>
        <v>0</v>
      </c>
      <c r="AO460" cm="1">
        <f t="array" ref="AO460">_xlfn.LET(_xlpm.N,$B$49,_xlpm.R,$B$48,_xlpm.Start,$B$47,_xlpm.PlanWD,AL460,_xlpm.PlanRoth,AM460,_xlpm.PlanConv,AN460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30288.400000000001</v>
      </c>
      <c r="AP460" cm="1">
        <f t="array" ref="AP460">_xlfn.LET(_xlpm.N,$B$49,_xlpm.R,$B$48,_xlpm.Start,$B$47,_xlpm.PlanWD,AL460,_xlpm.PlanRoth,AM460,_xlpm.PlanConv,AN460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460" cm="1">
        <f t="array" ref="AQ460">_xlfn.LET(_xlpm.N,$B$49,_xlpm.R,$B$48,_xlpm.Start,$B$47,_xlpm.PlanWD,AL460,_xlpm.PlanRoth,AM460,_xlpm.PlanConv,AN460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976904.54183937958</v>
      </c>
      <c r="AR460" cm="1">
        <f t="array" ref="AR460">_xlfn.LET(_xlpm.N,$B$49,_xlpm.R,$B$48,_xlpm.Start,$B$47,_xlpm.PlanWD,AL460,_xlpm.PlanRoth,AM460,_xlpm.PlanConv,AN460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1046311.2826247542</v>
      </c>
      <c r="AS460">
        <f>--AND(AK460&lt;=SUM('Retirement Gap'!$B$24:$B$25,'Retirement Gap'!$B$27),AL460+AN460&lt;=$B$47,AM460&lt;='Retirement Gap'!$B$29,ABS(AK460+AL460+AM460-$B$10)&lt;1)</f>
        <v>1</v>
      </c>
      <c r="AT460" cm="1">
        <f t="array" ref="AT460">IF(AS460=0,1E+99,_xlfn.SWITCH(LEFT($E$39,1),"1",AO460,"2",AP460*1000000000+AO460,"3",-AQ460,"4",AO460+AP460*25000+AR460*0.005-AQ460*0.0001,AO460))</f>
        <v>-976904.54183937958</v>
      </c>
    </row>
    <row r="461" spans="33:46" x14ac:dyDescent="0.55000000000000004">
      <c r="AG461">
        <f t="shared" si="54"/>
        <v>460</v>
      </c>
      <c r="AH461">
        <f t="shared" si="55"/>
        <v>0.6</v>
      </c>
      <c r="AI461">
        <f t="shared" si="56"/>
        <v>1</v>
      </c>
      <c r="AJ461">
        <f t="shared" si="57"/>
        <v>0.6</v>
      </c>
      <c r="AK461">
        <f t="shared" si="58"/>
        <v>13447.321633416483</v>
      </c>
      <c r="AL461">
        <f t="shared" si="59"/>
        <v>36446.400000000001</v>
      </c>
      <c r="AM461">
        <f>MIN(MAX(0,$B$10-AL461)*AI461,'Retirement Gap'!$B$29)</f>
        <v>10850.278366583516</v>
      </c>
      <c r="AN461">
        <f>IF($E$40="B - Withdrawals + Roth conversions",AJ461*MAX(0,MIN($B$47-AL461,MIN($B$59,IRMAA!$C$16)-(AL461+$B$8*0.85+AK461*$B$46))),0)</f>
        <v>0</v>
      </c>
      <c r="AO461" cm="1">
        <f t="array" ref="AO461">_xlfn.LET(_xlpm.N,$B$49,_xlpm.R,$B$48,_xlpm.Start,$B$47,_xlpm.PlanWD,AL461,_xlpm.PlanRoth,AM461,_xlpm.PlanConv,AN461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30288.400000000001</v>
      </c>
      <c r="AP461" cm="1">
        <f t="array" ref="AP461">_xlfn.LET(_xlpm.N,$B$49,_xlpm.R,$B$48,_xlpm.Start,$B$47,_xlpm.PlanWD,AL461,_xlpm.PlanRoth,AM461,_xlpm.PlanConv,AN461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461" cm="1">
        <f t="array" ref="AQ461">_xlfn.LET(_xlpm.N,$B$49,_xlpm.R,$B$48,_xlpm.Start,$B$47,_xlpm.PlanWD,AL461,_xlpm.PlanRoth,AM461,_xlpm.PlanConv,AN461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976904.54183937958</v>
      </c>
      <c r="AR461" cm="1">
        <f t="array" ref="AR461">_xlfn.LET(_xlpm.N,$B$49,_xlpm.R,$B$48,_xlpm.Start,$B$47,_xlpm.PlanWD,AL461,_xlpm.PlanRoth,AM461,_xlpm.PlanConv,AN461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1046311.2826247542</v>
      </c>
      <c r="AS461">
        <f>--AND(AK461&lt;=SUM('Retirement Gap'!$B$24:$B$25,'Retirement Gap'!$B$27),AL461+AN461&lt;=$B$47,AM461&lt;='Retirement Gap'!$B$29,ABS(AK461+AL461+AM461-$B$10)&lt;1)</f>
        <v>1</v>
      </c>
      <c r="AT461" cm="1">
        <f t="array" ref="AT461">IF(AS461=0,1E+99,_xlfn.SWITCH(LEFT($E$39,1),"1",AO461,"2",AP461*1000000000+AO461,"3",-AQ461,"4",AO461+AP461*25000+AR461*0.005-AQ461*0.0001,AO461))</f>
        <v>-976904.54183937958</v>
      </c>
    </row>
    <row r="462" spans="33:46" x14ac:dyDescent="0.55000000000000004">
      <c r="AG462">
        <f t="shared" si="54"/>
        <v>461</v>
      </c>
      <c r="AH462">
        <f t="shared" si="55"/>
        <v>0.6</v>
      </c>
      <c r="AI462">
        <f t="shared" si="56"/>
        <v>1</v>
      </c>
      <c r="AJ462">
        <f t="shared" si="57"/>
        <v>0.8</v>
      </c>
      <c r="AK462">
        <f t="shared" si="58"/>
        <v>13447.321633416483</v>
      </c>
      <c r="AL462">
        <f t="shared" si="59"/>
        <v>36446.400000000001</v>
      </c>
      <c r="AM462">
        <f>MIN(MAX(0,$B$10-AL462)*AI462,'Retirement Gap'!$B$29)</f>
        <v>10850.278366583516</v>
      </c>
      <c r="AN462">
        <f>IF($E$40="B - Withdrawals + Roth conversions",AJ462*MAX(0,MIN($B$47-AL462,MIN($B$59,IRMAA!$C$16)-(AL462+$B$8*0.85+AK462*$B$46))),0)</f>
        <v>0</v>
      </c>
      <c r="AO462" cm="1">
        <f t="array" ref="AO462">_xlfn.LET(_xlpm.N,$B$49,_xlpm.R,$B$48,_xlpm.Start,$B$47,_xlpm.PlanWD,AL462,_xlpm.PlanRoth,AM462,_xlpm.PlanConv,AN462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30288.400000000001</v>
      </c>
      <c r="AP462" cm="1">
        <f t="array" ref="AP462">_xlfn.LET(_xlpm.N,$B$49,_xlpm.R,$B$48,_xlpm.Start,$B$47,_xlpm.PlanWD,AL462,_xlpm.PlanRoth,AM462,_xlpm.PlanConv,AN462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462" cm="1">
        <f t="array" ref="AQ462">_xlfn.LET(_xlpm.N,$B$49,_xlpm.R,$B$48,_xlpm.Start,$B$47,_xlpm.PlanWD,AL462,_xlpm.PlanRoth,AM462,_xlpm.PlanConv,AN462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976904.54183937958</v>
      </c>
      <c r="AR462" cm="1">
        <f t="array" ref="AR462">_xlfn.LET(_xlpm.N,$B$49,_xlpm.R,$B$48,_xlpm.Start,$B$47,_xlpm.PlanWD,AL462,_xlpm.PlanRoth,AM462,_xlpm.PlanConv,AN462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1046311.2826247542</v>
      </c>
      <c r="AS462">
        <f>--AND(AK462&lt;=SUM('Retirement Gap'!$B$24:$B$25,'Retirement Gap'!$B$27),AL462+AN462&lt;=$B$47,AM462&lt;='Retirement Gap'!$B$29,ABS(AK462+AL462+AM462-$B$10)&lt;1)</f>
        <v>1</v>
      </c>
      <c r="AT462" cm="1">
        <f t="array" ref="AT462">IF(AS462=0,1E+99,_xlfn.SWITCH(LEFT($E$39,1),"1",AO462,"2",AP462*1000000000+AO462,"3",-AQ462,"4",AO462+AP462*25000+AR462*0.005-AQ462*0.0001,AO462))</f>
        <v>-976904.54183937958</v>
      </c>
    </row>
    <row r="463" spans="33:46" x14ac:dyDescent="0.55000000000000004">
      <c r="AG463">
        <f t="shared" si="54"/>
        <v>462</v>
      </c>
      <c r="AH463">
        <f t="shared" si="55"/>
        <v>0.6</v>
      </c>
      <c r="AI463">
        <f t="shared" si="56"/>
        <v>1</v>
      </c>
      <c r="AJ463">
        <f t="shared" si="57"/>
        <v>1</v>
      </c>
      <c r="AK463">
        <f t="shared" si="58"/>
        <v>13447.321633416483</v>
      </c>
      <c r="AL463">
        <f t="shared" si="59"/>
        <v>36446.400000000001</v>
      </c>
      <c r="AM463">
        <f>MIN(MAX(0,$B$10-AL463)*AI463,'Retirement Gap'!$B$29)</f>
        <v>10850.278366583516</v>
      </c>
      <c r="AN463">
        <f>IF($E$40="B - Withdrawals + Roth conversions",AJ463*MAX(0,MIN($B$47-AL463,MIN($B$59,IRMAA!$C$16)-(AL463+$B$8*0.85+AK463*$B$46))),0)</f>
        <v>0</v>
      </c>
      <c r="AO463" cm="1">
        <f t="array" ref="AO463">_xlfn.LET(_xlpm.N,$B$49,_xlpm.R,$B$48,_xlpm.Start,$B$47,_xlpm.PlanWD,AL463,_xlpm.PlanRoth,AM463,_xlpm.PlanConv,AN463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30288.400000000001</v>
      </c>
      <c r="AP463" cm="1">
        <f t="array" ref="AP463">_xlfn.LET(_xlpm.N,$B$49,_xlpm.R,$B$48,_xlpm.Start,$B$47,_xlpm.PlanWD,AL463,_xlpm.PlanRoth,AM463,_xlpm.PlanConv,AN463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463" cm="1">
        <f t="array" ref="AQ463">_xlfn.LET(_xlpm.N,$B$49,_xlpm.R,$B$48,_xlpm.Start,$B$47,_xlpm.PlanWD,AL463,_xlpm.PlanRoth,AM463,_xlpm.PlanConv,AN463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976904.54183937958</v>
      </c>
      <c r="AR463" cm="1">
        <f t="array" ref="AR463">_xlfn.LET(_xlpm.N,$B$49,_xlpm.R,$B$48,_xlpm.Start,$B$47,_xlpm.PlanWD,AL463,_xlpm.PlanRoth,AM463,_xlpm.PlanConv,AN463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1046311.2826247542</v>
      </c>
      <c r="AS463">
        <f>--AND(AK463&lt;=SUM('Retirement Gap'!$B$24:$B$25,'Retirement Gap'!$B$27),AL463+AN463&lt;=$B$47,AM463&lt;='Retirement Gap'!$B$29,ABS(AK463+AL463+AM463-$B$10)&lt;1)</f>
        <v>1</v>
      </c>
      <c r="AT463" cm="1">
        <f t="array" ref="AT463">IF(AS463=0,1E+99,_xlfn.SWITCH(LEFT($E$39,1),"1",AO463,"2",AP463*1000000000+AO463,"3",-AQ463,"4",AO463+AP463*25000+AR463*0.005-AQ463*0.0001,AO463))</f>
        <v>-976904.54183937958</v>
      </c>
    </row>
    <row r="464" spans="33:46" x14ac:dyDescent="0.55000000000000004">
      <c r="AG464">
        <f t="shared" si="54"/>
        <v>463</v>
      </c>
      <c r="AH464">
        <f t="shared" si="55"/>
        <v>0.7</v>
      </c>
      <c r="AI464">
        <f t="shared" si="56"/>
        <v>0</v>
      </c>
      <c r="AJ464">
        <f t="shared" si="57"/>
        <v>0</v>
      </c>
      <c r="AK464">
        <f t="shared" si="58"/>
        <v>18223.200000000004</v>
      </c>
      <c r="AL464">
        <f t="shared" si="59"/>
        <v>42520.799999999996</v>
      </c>
      <c r="AM464">
        <f>MIN(MAX(0,$B$10-AL464)*AI464,'Retirement Gap'!$B$29)</f>
        <v>0</v>
      </c>
      <c r="AN464">
        <f>IF($E$40="B - Withdrawals + Roth conversions",AJ464*MAX(0,MIN($B$47-AL464,MIN($B$59,IRMAA!$C$16)-(AL464+$B$8*0.85+AK464*$B$46))),0)</f>
        <v>0</v>
      </c>
      <c r="AO464" cm="1">
        <f t="array" ref="AO464">_xlfn.LET(_xlpm.N,$B$49,_xlpm.R,$B$48,_xlpm.Start,$B$47,_xlpm.PlanWD,AL464,_xlpm.PlanRoth,AM464,_xlpm.PlanConv,AN464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33933.039999999994</v>
      </c>
      <c r="AP464" cm="1">
        <f t="array" ref="AP464">_xlfn.LET(_xlpm.N,$B$49,_xlpm.R,$B$48,_xlpm.Start,$B$47,_xlpm.PlanWD,AL464,_xlpm.PlanRoth,AM464,_xlpm.PlanConv,AN464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464" cm="1">
        <f t="array" ref="AQ464">_xlfn.LET(_xlpm.N,$B$49,_xlpm.R,$B$48,_xlpm.Start,$B$47,_xlpm.PlanWD,AL464,_xlpm.PlanRoth,AM464,_xlpm.PlanConv,AN464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972795.50694223284</v>
      </c>
      <c r="AR464" cm="1">
        <f t="array" ref="AR464">_xlfn.LET(_xlpm.N,$B$49,_xlpm.R,$B$48,_xlpm.Start,$B$47,_xlpm.PlanWD,AL464,_xlpm.PlanRoth,AM464,_xlpm.PlanConv,AN464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1012069.3251485301</v>
      </c>
      <c r="AS464">
        <f>--AND(AK464&lt;=SUM('Retirement Gap'!$B$24:$B$25,'Retirement Gap'!$B$27),AL464+AN464&lt;=$B$47,AM464&lt;='Retirement Gap'!$B$29,ABS(AK464+AL464+AM464-$B$10)&lt;1)</f>
        <v>1</v>
      </c>
      <c r="AT464" cm="1">
        <f t="array" ref="AT464">IF(AS464=0,1E+99,_xlfn.SWITCH(LEFT($E$39,1),"1",AO464,"2",AP464*1000000000+AO464,"3",-AQ464,"4",AO464+AP464*25000+AR464*0.005-AQ464*0.0001,AO464))</f>
        <v>-972795.50694223284</v>
      </c>
    </row>
    <row r="465" spans="33:46" x14ac:dyDescent="0.55000000000000004">
      <c r="AG465">
        <f t="shared" si="54"/>
        <v>464</v>
      </c>
      <c r="AH465">
        <f t="shared" si="55"/>
        <v>0.7</v>
      </c>
      <c r="AI465">
        <f t="shared" si="56"/>
        <v>0</v>
      </c>
      <c r="AJ465">
        <f t="shared" si="57"/>
        <v>0.2</v>
      </c>
      <c r="AK465">
        <f t="shared" si="58"/>
        <v>18223.200000000004</v>
      </c>
      <c r="AL465">
        <f t="shared" si="59"/>
        <v>42520.799999999996</v>
      </c>
      <c r="AM465">
        <f>MIN(MAX(0,$B$10-AL465)*AI465,'Retirement Gap'!$B$29)</f>
        <v>0</v>
      </c>
      <c r="AN465">
        <f>IF($E$40="B - Withdrawals + Roth conversions",AJ465*MAX(0,MIN($B$47-AL465,MIN($B$59,IRMAA!$C$16)-(AL465+$B$8*0.85+AK465*$B$46))),0)</f>
        <v>0</v>
      </c>
      <c r="AO465" cm="1">
        <f t="array" ref="AO465">_xlfn.LET(_xlpm.N,$B$49,_xlpm.R,$B$48,_xlpm.Start,$B$47,_xlpm.PlanWD,AL465,_xlpm.PlanRoth,AM465,_xlpm.PlanConv,AN465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33933.039999999994</v>
      </c>
      <c r="AP465" cm="1">
        <f t="array" ref="AP465">_xlfn.LET(_xlpm.N,$B$49,_xlpm.R,$B$48,_xlpm.Start,$B$47,_xlpm.PlanWD,AL465,_xlpm.PlanRoth,AM465,_xlpm.PlanConv,AN465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465" cm="1">
        <f t="array" ref="AQ465">_xlfn.LET(_xlpm.N,$B$49,_xlpm.R,$B$48,_xlpm.Start,$B$47,_xlpm.PlanWD,AL465,_xlpm.PlanRoth,AM465,_xlpm.PlanConv,AN465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972795.50694223284</v>
      </c>
      <c r="AR465" cm="1">
        <f t="array" ref="AR465">_xlfn.LET(_xlpm.N,$B$49,_xlpm.R,$B$48,_xlpm.Start,$B$47,_xlpm.PlanWD,AL465,_xlpm.PlanRoth,AM465,_xlpm.PlanConv,AN465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1012069.3251485301</v>
      </c>
      <c r="AS465">
        <f>--AND(AK465&lt;=SUM('Retirement Gap'!$B$24:$B$25,'Retirement Gap'!$B$27),AL465+AN465&lt;=$B$47,AM465&lt;='Retirement Gap'!$B$29,ABS(AK465+AL465+AM465-$B$10)&lt;1)</f>
        <v>1</v>
      </c>
      <c r="AT465" cm="1">
        <f t="array" ref="AT465">IF(AS465=0,1E+99,_xlfn.SWITCH(LEFT($E$39,1),"1",AO465,"2",AP465*1000000000+AO465,"3",-AQ465,"4",AO465+AP465*25000+AR465*0.005-AQ465*0.0001,AO465))</f>
        <v>-972795.50694223284</v>
      </c>
    </row>
    <row r="466" spans="33:46" x14ac:dyDescent="0.55000000000000004">
      <c r="AG466">
        <f t="shared" si="54"/>
        <v>465</v>
      </c>
      <c r="AH466">
        <f t="shared" si="55"/>
        <v>0.7</v>
      </c>
      <c r="AI466">
        <f t="shared" si="56"/>
        <v>0</v>
      </c>
      <c r="AJ466">
        <f t="shared" si="57"/>
        <v>0.4</v>
      </c>
      <c r="AK466">
        <f t="shared" si="58"/>
        <v>18223.200000000004</v>
      </c>
      <c r="AL466">
        <f t="shared" si="59"/>
        <v>42520.799999999996</v>
      </c>
      <c r="AM466">
        <f>MIN(MAX(0,$B$10-AL466)*AI466,'Retirement Gap'!$B$29)</f>
        <v>0</v>
      </c>
      <c r="AN466">
        <f>IF($E$40="B - Withdrawals + Roth conversions",AJ466*MAX(0,MIN($B$47-AL466,MIN($B$59,IRMAA!$C$16)-(AL466+$B$8*0.85+AK466*$B$46))),0)</f>
        <v>0</v>
      </c>
      <c r="AO466" cm="1">
        <f t="array" ref="AO466">_xlfn.LET(_xlpm.N,$B$49,_xlpm.R,$B$48,_xlpm.Start,$B$47,_xlpm.PlanWD,AL466,_xlpm.PlanRoth,AM466,_xlpm.PlanConv,AN466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33933.039999999994</v>
      </c>
      <c r="AP466" cm="1">
        <f t="array" ref="AP466">_xlfn.LET(_xlpm.N,$B$49,_xlpm.R,$B$48,_xlpm.Start,$B$47,_xlpm.PlanWD,AL466,_xlpm.PlanRoth,AM466,_xlpm.PlanConv,AN466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466" cm="1">
        <f t="array" ref="AQ466">_xlfn.LET(_xlpm.N,$B$49,_xlpm.R,$B$48,_xlpm.Start,$B$47,_xlpm.PlanWD,AL466,_xlpm.PlanRoth,AM466,_xlpm.PlanConv,AN466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972795.50694223284</v>
      </c>
      <c r="AR466" cm="1">
        <f t="array" ref="AR466">_xlfn.LET(_xlpm.N,$B$49,_xlpm.R,$B$48,_xlpm.Start,$B$47,_xlpm.PlanWD,AL466,_xlpm.PlanRoth,AM466,_xlpm.PlanConv,AN466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1012069.3251485301</v>
      </c>
      <c r="AS466">
        <f>--AND(AK466&lt;=SUM('Retirement Gap'!$B$24:$B$25,'Retirement Gap'!$B$27),AL466+AN466&lt;=$B$47,AM466&lt;='Retirement Gap'!$B$29,ABS(AK466+AL466+AM466-$B$10)&lt;1)</f>
        <v>1</v>
      </c>
      <c r="AT466" cm="1">
        <f t="array" ref="AT466">IF(AS466=0,1E+99,_xlfn.SWITCH(LEFT($E$39,1),"1",AO466,"2",AP466*1000000000+AO466,"3",-AQ466,"4",AO466+AP466*25000+AR466*0.005-AQ466*0.0001,AO466))</f>
        <v>-972795.50694223284</v>
      </c>
    </row>
    <row r="467" spans="33:46" x14ac:dyDescent="0.55000000000000004">
      <c r="AG467">
        <f t="shared" si="54"/>
        <v>466</v>
      </c>
      <c r="AH467">
        <f t="shared" si="55"/>
        <v>0.7</v>
      </c>
      <c r="AI467">
        <f t="shared" si="56"/>
        <v>0</v>
      </c>
      <c r="AJ467">
        <f t="shared" si="57"/>
        <v>0.6</v>
      </c>
      <c r="AK467">
        <f t="shared" si="58"/>
        <v>18223.200000000004</v>
      </c>
      <c r="AL467">
        <f t="shared" si="59"/>
        <v>42520.799999999996</v>
      </c>
      <c r="AM467">
        <f>MIN(MAX(0,$B$10-AL467)*AI467,'Retirement Gap'!$B$29)</f>
        <v>0</v>
      </c>
      <c r="AN467">
        <f>IF($E$40="B - Withdrawals + Roth conversions",AJ467*MAX(0,MIN($B$47-AL467,MIN($B$59,IRMAA!$C$16)-(AL467+$B$8*0.85+AK467*$B$46))),0)</f>
        <v>0</v>
      </c>
      <c r="AO467" cm="1">
        <f t="array" ref="AO467">_xlfn.LET(_xlpm.N,$B$49,_xlpm.R,$B$48,_xlpm.Start,$B$47,_xlpm.PlanWD,AL467,_xlpm.PlanRoth,AM467,_xlpm.PlanConv,AN467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33933.039999999994</v>
      </c>
      <c r="AP467" cm="1">
        <f t="array" ref="AP467">_xlfn.LET(_xlpm.N,$B$49,_xlpm.R,$B$48,_xlpm.Start,$B$47,_xlpm.PlanWD,AL467,_xlpm.PlanRoth,AM467,_xlpm.PlanConv,AN467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467" cm="1">
        <f t="array" ref="AQ467">_xlfn.LET(_xlpm.N,$B$49,_xlpm.R,$B$48,_xlpm.Start,$B$47,_xlpm.PlanWD,AL467,_xlpm.PlanRoth,AM467,_xlpm.PlanConv,AN467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972795.50694223284</v>
      </c>
      <c r="AR467" cm="1">
        <f t="array" ref="AR467">_xlfn.LET(_xlpm.N,$B$49,_xlpm.R,$B$48,_xlpm.Start,$B$47,_xlpm.PlanWD,AL467,_xlpm.PlanRoth,AM467,_xlpm.PlanConv,AN467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1012069.3251485301</v>
      </c>
      <c r="AS467">
        <f>--AND(AK467&lt;=SUM('Retirement Gap'!$B$24:$B$25,'Retirement Gap'!$B$27),AL467+AN467&lt;=$B$47,AM467&lt;='Retirement Gap'!$B$29,ABS(AK467+AL467+AM467-$B$10)&lt;1)</f>
        <v>1</v>
      </c>
      <c r="AT467" cm="1">
        <f t="array" ref="AT467">IF(AS467=0,1E+99,_xlfn.SWITCH(LEFT($E$39,1),"1",AO467,"2",AP467*1000000000+AO467,"3",-AQ467,"4",AO467+AP467*25000+AR467*0.005-AQ467*0.0001,AO467))</f>
        <v>-972795.50694223284</v>
      </c>
    </row>
    <row r="468" spans="33:46" x14ac:dyDescent="0.55000000000000004">
      <c r="AG468">
        <f t="shared" si="54"/>
        <v>467</v>
      </c>
      <c r="AH468">
        <f t="shared" si="55"/>
        <v>0.7</v>
      </c>
      <c r="AI468">
        <f t="shared" si="56"/>
        <v>0</v>
      </c>
      <c r="AJ468">
        <f t="shared" si="57"/>
        <v>0.8</v>
      </c>
      <c r="AK468">
        <f t="shared" si="58"/>
        <v>18223.200000000004</v>
      </c>
      <c r="AL468">
        <f t="shared" si="59"/>
        <v>42520.799999999996</v>
      </c>
      <c r="AM468">
        <f>MIN(MAX(0,$B$10-AL468)*AI468,'Retirement Gap'!$B$29)</f>
        <v>0</v>
      </c>
      <c r="AN468">
        <f>IF($E$40="B - Withdrawals + Roth conversions",AJ468*MAX(0,MIN($B$47-AL468,MIN($B$59,IRMAA!$C$16)-(AL468+$B$8*0.85+AK468*$B$46))),0)</f>
        <v>0</v>
      </c>
      <c r="AO468" cm="1">
        <f t="array" ref="AO468">_xlfn.LET(_xlpm.N,$B$49,_xlpm.R,$B$48,_xlpm.Start,$B$47,_xlpm.PlanWD,AL468,_xlpm.PlanRoth,AM468,_xlpm.PlanConv,AN468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33933.039999999994</v>
      </c>
      <c r="AP468" cm="1">
        <f t="array" ref="AP468">_xlfn.LET(_xlpm.N,$B$49,_xlpm.R,$B$48,_xlpm.Start,$B$47,_xlpm.PlanWD,AL468,_xlpm.PlanRoth,AM468,_xlpm.PlanConv,AN468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468" cm="1">
        <f t="array" ref="AQ468">_xlfn.LET(_xlpm.N,$B$49,_xlpm.R,$B$48,_xlpm.Start,$B$47,_xlpm.PlanWD,AL468,_xlpm.PlanRoth,AM468,_xlpm.PlanConv,AN468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972795.50694223284</v>
      </c>
      <c r="AR468" cm="1">
        <f t="array" ref="AR468">_xlfn.LET(_xlpm.N,$B$49,_xlpm.R,$B$48,_xlpm.Start,$B$47,_xlpm.PlanWD,AL468,_xlpm.PlanRoth,AM468,_xlpm.PlanConv,AN468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1012069.3251485301</v>
      </c>
      <c r="AS468">
        <f>--AND(AK468&lt;=SUM('Retirement Gap'!$B$24:$B$25,'Retirement Gap'!$B$27),AL468+AN468&lt;=$B$47,AM468&lt;='Retirement Gap'!$B$29,ABS(AK468+AL468+AM468-$B$10)&lt;1)</f>
        <v>1</v>
      </c>
      <c r="AT468" cm="1">
        <f t="array" ref="AT468">IF(AS468=0,1E+99,_xlfn.SWITCH(LEFT($E$39,1),"1",AO468,"2",AP468*1000000000+AO468,"3",-AQ468,"4",AO468+AP468*25000+AR468*0.005-AQ468*0.0001,AO468))</f>
        <v>-972795.50694223284</v>
      </c>
    </row>
    <row r="469" spans="33:46" x14ac:dyDescent="0.55000000000000004">
      <c r="AG469">
        <f t="shared" si="54"/>
        <v>468</v>
      </c>
      <c r="AH469">
        <f t="shared" si="55"/>
        <v>0.7</v>
      </c>
      <c r="AI469">
        <f t="shared" si="56"/>
        <v>0</v>
      </c>
      <c r="AJ469">
        <f t="shared" si="57"/>
        <v>1</v>
      </c>
      <c r="AK469">
        <f t="shared" si="58"/>
        <v>18223.200000000004</v>
      </c>
      <c r="AL469">
        <f t="shared" si="59"/>
        <v>42520.799999999996</v>
      </c>
      <c r="AM469">
        <f>MIN(MAX(0,$B$10-AL469)*AI469,'Retirement Gap'!$B$29)</f>
        <v>0</v>
      </c>
      <c r="AN469">
        <f>IF($E$40="B - Withdrawals + Roth conversions",AJ469*MAX(0,MIN($B$47-AL469,MIN($B$59,IRMAA!$C$16)-(AL469+$B$8*0.85+AK469*$B$46))),0)</f>
        <v>0</v>
      </c>
      <c r="AO469" cm="1">
        <f t="array" ref="AO469">_xlfn.LET(_xlpm.N,$B$49,_xlpm.R,$B$48,_xlpm.Start,$B$47,_xlpm.PlanWD,AL469,_xlpm.PlanRoth,AM469,_xlpm.PlanConv,AN469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33933.039999999994</v>
      </c>
      <c r="AP469" cm="1">
        <f t="array" ref="AP469">_xlfn.LET(_xlpm.N,$B$49,_xlpm.R,$B$48,_xlpm.Start,$B$47,_xlpm.PlanWD,AL469,_xlpm.PlanRoth,AM469,_xlpm.PlanConv,AN469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469" cm="1">
        <f t="array" ref="AQ469">_xlfn.LET(_xlpm.N,$B$49,_xlpm.R,$B$48,_xlpm.Start,$B$47,_xlpm.PlanWD,AL469,_xlpm.PlanRoth,AM469,_xlpm.PlanConv,AN469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972795.50694223284</v>
      </c>
      <c r="AR469" cm="1">
        <f t="array" ref="AR469">_xlfn.LET(_xlpm.N,$B$49,_xlpm.R,$B$48,_xlpm.Start,$B$47,_xlpm.PlanWD,AL469,_xlpm.PlanRoth,AM469,_xlpm.PlanConv,AN469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1012069.3251485301</v>
      </c>
      <c r="AS469">
        <f>--AND(AK469&lt;=SUM('Retirement Gap'!$B$24:$B$25,'Retirement Gap'!$B$27),AL469+AN469&lt;=$B$47,AM469&lt;='Retirement Gap'!$B$29,ABS(AK469+AL469+AM469-$B$10)&lt;1)</f>
        <v>1</v>
      </c>
      <c r="AT469" cm="1">
        <f t="array" ref="AT469">IF(AS469=0,1E+99,_xlfn.SWITCH(LEFT($E$39,1),"1",AO469,"2",AP469*1000000000+AO469,"3",-AQ469,"4",AO469+AP469*25000+AR469*0.005-AQ469*0.0001,AO469))</f>
        <v>-972795.50694223284</v>
      </c>
    </row>
    <row r="470" spans="33:46" x14ac:dyDescent="0.55000000000000004">
      <c r="AG470">
        <f t="shared" si="54"/>
        <v>469</v>
      </c>
      <c r="AH470">
        <f t="shared" si="55"/>
        <v>0.7</v>
      </c>
      <c r="AI470">
        <f t="shared" si="56"/>
        <v>0.1</v>
      </c>
      <c r="AJ470">
        <f t="shared" si="57"/>
        <v>0</v>
      </c>
      <c r="AK470">
        <f t="shared" si="58"/>
        <v>16400.880000000005</v>
      </c>
      <c r="AL470">
        <f t="shared" si="59"/>
        <v>42520.799999999996</v>
      </c>
      <c r="AM470">
        <f>MIN(MAX(0,$B$10-AL470)*AI470,'Retirement Gap'!$B$29)</f>
        <v>1822.3200000000006</v>
      </c>
      <c r="AN470">
        <f>IF($E$40="B - Withdrawals + Roth conversions",AJ470*MAX(0,MIN($B$47-AL470,MIN($B$59,IRMAA!$C$16)-(AL470+$B$8*0.85+AK470*$B$46))),0)</f>
        <v>0</v>
      </c>
      <c r="AO470" cm="1">
        <f t="array" ref="AO470">_xlfn.LET(_xlpm.N,$B$49,_xlpm.R,$B$48,_xlpm.Start,$B$47,_xlpm.PlanWD,AL470,_xlpm.PlanRoth,AM470,_xlpm.PlanConv,AN470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33933.039999999994</v>
      </c>
      <c r="AP470" cm="1">
        <f t="array" ref="AP470">_xlfn.LET(_xlpm.N,$B$49,_xlpm.R,$B$48,_xlpm.Start,$B$47,_xlpm.PlanWD,AL470,_xlpm.PlanRoth,AM470,_xlpm.PlanConv,AN470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470" cm="1">
        <f t="array" ref="AQ470">_xlfn.LET(_xlpm.N,$B$49,_xlpm.R,$B$48,_xlpm.Start,$B$47,_xlpm.PlanWD,AL470,_xlpm.PlanRoth,AM470,_xlpm.PlanConv,AN470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972795.50694223284</v>
      </c>
      <c r="AR470" cm="1">
        <f t="array" ref="AR470">_xlfn.LET(_xlpm.N,$B$49,_xlpm.R,$B$48,_xlpm.Start,$B$47,_xlpm.PlanWD,AL470,_xlpm.PlanRoth,AM470,_xlpm.PlanConv,AN470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1012069.3251485301</v>
      </c>
      <c r="AS470">
        <f>--AND(AK470&lt;=SUM('Retirement Gap'!$B$24:$B$25,'Retirement Gap'!$B$27),AL470+AN470&lt;=$B$47,AM470&lt;='Retirement Gap'!$B$29,ABS(AK470+AL470+AM470-$B$10)&lt;1)</f>
        <v>1</v>
      </c>
      <c r="AT470" cm="1">
        <f t="array" ref="AT470">IF(AS470=0,1E+99,_xlfn.SWITCH(LEFT($E$39,1),"1",AO470,"2",AP470*1000000000+AO470,"3",-AQ470,"4",AO470+AP470*25000+AR470*0.005-AQ470*0.0001,AO470))</f>
        <v>-972795.50694223284</v>
      </c>
    </row>
    <row r="471" spans="33:46" x14ac:dyDescent="0.55000000000000004">
      <c r="AG471">
        <f t="shared" si="54"/>
        <v>470</v>
      </c>
      <c r="AH471">
        <f t="shared" si="55"/>
        <v>0.7</v>
      </c>
      <c r="AI471">
        <f t="shared" si="56"/>
        <v>0.1</v>
      </c>
      <c r="AJ471">
        <f t="shared" si="57"/>
        <v>0.2</v>
      </c>
      <c r="AK471">
        <f t="shared" si="58"/>
        <v>16400.880000000005</v>
      </c>
      <c r="AL471">
        <f t="shared" si="59"/>
        <v>42520.799999999996</v>
      </c>
      <c r="AM471">
        <f>MIN(MAX(0,$B$10-AL471)*AI471,'Retirement Gap'!$B$29)</f>
        <v>1822.3200000000006</v>
      </c>
      <c r="AN471">
        <f>IF($E$40="B - Withdrawals + Roth conversions",AJ471*MAX(0,MIN($B$47-AL471,MIN($B$59,IRMAA!$C$16)-(AL471+$B$8*0.85+AK471*$B$46))),0)</f>
        <v>0</v>
      </c>
      <c r="AO471" cm="1">
        <f t="array" ref="AO471">_xlfn.LET(_xlpm.N,$B$49,_xlpm.R,$B$48,_xlpm.Start,$B$47,_xlpm.PlanWD,AL471,_xlpm.PlanRoth,AM471,_xlpm.PlanConv,AN471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33933.039999999994</v>
      </c>
      <c r="AP471" cm="1">
        <f t="array" ref="AP471">_xlfn.LET(_xlpm.N,$B$49,_xlpm.R,$B$48,_xlpm.Start,$B$47,_xlpm.PlanWD,AL471,_xlpm.PlanRoth,AM471,_xlpm.PlanConv,AN471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471" cm="1">
        <f t="array" ref="AQ471">_xlfn.LET(_xlpm.N,$B$49,_xlpm.R,$B$48,_xlpm.Start,$B$47,_xlpm.PlanWD,AL471,_xlpm.PlanRoth,AM471,_xlpm.PlanConv,AN471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972795.50694223284</v>
      </c>
      <c r="AR471" cm="1">
        <f t="array" ref="AR471">_xlfn.LET(_xlpm.N,$B$49,_xlpm.R,$B$48,_xlpm.Start,$B$47,_xlpm.PlanWD,AL471,_xlpm.PlanRoth,AM471,_xlpm.PlanConv,AN471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1012069.3251485301</v>
      </c>
      <c r="AS471">
        <f>--AND(AK471&lt;=SUM('Retirement Gap'!$B$24:$B$25,'Retirement Gap'!$B$27),AL471+AN471&lt;=$B$47,AM471&lt;='Retirement Gap'!$B$29,ABS(AK471+AL471+AM471-$B$10)&lt;1)</f>
        <v>1</v>
      </c>
      <c r="AT471" cm="1">
        <f t="array" ref="AT471">IF(AS471=0,1E+99,_xlfn.SWITCH(LEFT($E$39,1),"1",AO471,"2",AP471*1000000000+AO471,"3",-AQ471,"4",AO471+AP471*25000+AR471*0.005-AQ471*0.0001,AO471))</f>
        <v>-972795.50694223284</v>
      </c>
    </row>
    <row r="472" spans="33:46" x14ac:dyDescent="0.55000000000000004">
      <c r="AG472">
        <f t="shared" si="54"/>
        <v>471</v>
      </c>
      <c r="AH472">
        <f t="shared" si="55"/>
        <v>0.7</v>
      </c>
      <c r="AI472">
        <f t="shared" si="56"/>
        <v>0.1</v>
      </c>
      <c r="AJ472">
        <f t="shared" si="57"/>
        <v>0.4</v>
      </c>
      <c r="AK472">
        <f t="shared" si="58"/>
        <v>16400.880000000005</v>
      </c>
      <c r="AL472">
        <f t="shared" si="59"/>
        <v>42520.799999999996</v>
      </c>
      <c r="AM472">
        <f>MIN(MAX(0,$B$10-AL472)*AI472,'Retirement Gap'!$B$29)</f>
        <v>1822.3200000000006</v>
      </c>
      <c r="AN472">
        <f>IF($E$40="B - Withdrawals + Roth conversions",AJ472*MAX(0,MIN($B$47-AL472,MIN($B$59,IRMAA!$C$16)-(AL472+$B$8*0.85+AK472*$B$46))),0)</f>
        <v>0</v>
      </c>
      <c r="AO472" cm="1">
        <f t="array" ref="AO472">_xlfn.LET(_xlpm.N,$B$49,_xlpm.R,$B$48,_xlpm.Start,$B$47,_xlpm.PlanWD,AL472,_xlpm.PlanRoth,AM472,_xlpm.PlanConv,AN472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33933.039999999994</v>
      </c>
      <c r="AP472" cm="1">
        <f t="array" ref="AP472">_xlfn.LET(_xlpm.N,$B$49,_xlpm.R,$B$48,_xlpm.Start,$B$47,_xlpm.PlanWD,AL472,_xlpm.PlanRoth,AM472,_xlpm.PlanConv,AN472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472" cm="1">
        <f t="array" ref="AQ472">_xlfn.LET(_xlpm.N,$B$49,_xlpm.R,$B$48,_xlpm.Start,$B$47,_xlpm.PlanWD,AL472,_xlpm.PlanRoth,AM472,_xlpm.PlanConv,AN472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972795.50694223284</v>
      </c>
      <c r="AR472" cm="1">
        <f t="array" ref="AR472">_xlfn.LET(_xlpm.N,$B$49,_xlpm.R,$B$48,_xlpm.Start,$B$47,_xlpm.PlanWD,AL472,_xlpm.PlanRoth,AM472,_xlpm.PlanConv,AN472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1012069.3251485301</v>
      </c>
      <c r="AS472">
        <f>--AND(AK472&lt;=SUM('Retirement Gap'!$B$24:$B$25,'Retirement Gap'!$B$27),AL472+AN472&lt;=$B$47,AM472&lt;='Retirement Gap'!$B$29,ABS(AK472+AL472+AM472-$B$10)&lt;1)</f>
        <v>1</v>
      </c>
      <c r="AT472" cm="1">
        <f t="array" ref="AT472">IF(AS472=0,1E+99,_xlfn.SWITCH(LEFT($E$39,1),"1",AO472,"2",AP472*1000000000+AO472,"3",-AQ472,"4",AO472+AP472*25000+AR472*0.005-AQ472*0.0001,AO472))</f>
        <v>-972795.50694223284</v>
      </c>
    </row>
    <row r="473" spans="33:46" x14ac:dyDescent="0.55000000000000004">
      <c r="AG473">
        <f t="shared" si="54"/>
        <v>472</v>
      </c>
      <c r="AH473">
        <f t="shared" si="55"/>
        <v>0.7</v>
      </c>
      <c r="AI473">
        <f t="shared" si="56"/>
        <v>0.1</v>
      </c>
      <c r="AJ473">
        <f t="shared" si="57"/>
        <v>0.6</v>
      </c>
      <c r="AK473">
        <f t="shared" si="58"/>
        <v>16400.880000000005</v>
      </c>
      <c r="AL473">
        <f t="shared" si="59"/>
        <v>42520.799999999996</v>
      </c>
      <c r="AM473">
        <f>MIN(MAX(0,$B$10-AL473)*AI473,'Retirement Gap'!$B$29)</f>
        <v>1822.3200000000006</v>
      </c>
      <c r="AN473">
        <f>IF($E$40="B - Withdrawals + Roth conversions",AJ473*MAX(0,MIN($B$47-AL473,MIN($B$59,IRMAA!$C$16)-(AL473+$B$8*0.85+AK473*$B$46))),0)</f>
        <v>0</v>
      </c>
      <c r="AO473" cm="1">
        <f t="array" ref="AO473">_xlfn.LET(_xlpm.N,$B$49,_xlpm.R,$B$48,_xlpm.Start,$B$47,_xlpm.PlanWD,AL473,_xlpm.PlanRoth,AM473,_xlpm.PlanConv,AN473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33933.039999999994</v>
      </c>
      <c r="AP473" cm="1">
        <f t="array" ref="AP473">_xlfn.LET(_xlpm.N,$B$49,_xlpm.R,$B$48,_xlpm.Start,$B$47,_xlpm.PlanWD,AL473,_xlpm.PlanRoth,AM473,_xlpm.PlanConv,AN473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473" cm="1">
        <f t="array" ref="AQ473">_xlfn.LET(_xlpm.N,$B$49,_xlpm.R,$B$48,_xlpm.Start,$B$47,_xlpm.PlanWD,AL473,_xlpm.PlanRoth,AM473,_xlpm.PlanConv,AN473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972795.50694223284</v>
      </c>
      <c r="AR473" cm="1">
        <f t="array" ref="AR473">_xlfn.LET(_xlpm.N,$B$49,_xlpm.R,$B$48,_xlpm.Start,$B$47,_xlpm.PlanWD,AL473,_xlpm.PlanRoth,AM473,_xlpm.PlanConv,AN473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1012069.3251485301</v>
      </c>
      <c r="AS473">
        <f>--AND(AK473&lt;=SUM('Retirement Gap'!$B$24:$B$25,'Retirement Gap'!$B$27),AL473+AN473&lt;=$B$47,AM473&lt;='Retirement Gap'!$B$29,ABS(AK473+AL473+AM473-$B$10)&lt;1)</f>
        <v>1</v>
      </c>
      <c r="AT473" cm="1">
        <f t="array" ref="AT473">IF(AS473=0,1E+99,_xlfn.SWITCH(LEFT($E$39,1),"1",AO473,"2",AP473*1000000000+AO473,"3",-AQ473,"4",AO473+AP473*25000+AR473*0.005-AQ473*0.0001,AO473))</f>
        <v>-972795.50694223284</v>
      </c>
    </row>
    <row r="474" spans="33:46" x14ac:dyDescent="0.55000000000000004">
      <c r="AG474">
        <f t="shared" si="54"/>
        <v>473</v>
      </c>
      <c r="AH474">
        <f t="shared" si="55"/>
        <v>0.7</v>
      </c>
      <c r="AI474">
        <f t="shared" si="56"/>
        <v>0.1</v>
      </c>
      <c r="AJ474">
        <f t="shared" si="57"/>
        <v>0.8</v>
      </c>
      <c r="AK474">
        <f t="shared" si="58"/>
        <v>16400.880000000005</v>
      </c>
      <c r="AL474">
        <f t="shared" si="59"/>
        <v>42520.799999999996</v>
      </c>
      <c r="AM474">
        <f>MIN(MAX(0,$B$10-AL474)*AI474,'Retirement Gap'!$B$29)</f>
        <v>1822.3200000000006</v>
      </c>
      <c r="AN474">
        <f>IF($E$40="B - Withdrawals + Roth conversions",AJ474*MAX(0,MIN($B$47-AL474,MIN($B$59,IRMAA!$C$16)-(AL474+$B$8*0.85+AK474*$B$46))),0)</f>
        <v>0</v>
      </c>
      <c r="AO474" cm="1">
        <f t="array" ref="AO474">_xlfn.LET(_xlpm.N,$B$49,_xlpm.R,$B$48,_xlpm.Start,$B$47,_xlpm.PlanWD,AL474,_xlpm.PlanRoth,AM474,_xlpm.PlanConv,AN474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33933.039999999994</v>
      </c>
      <c r="AP474" cm="1">
        <f t="array" ref="AP474">_xlfn.LET(_xlpm.N,$B$49,_xlpm.R,$B$48,_xlpm.Start,$B$47,_xlpm.PlanWD,AL474,_xlpm.PlanRoth,AM474,_xlpm.PlanConv,AN474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474" cm="1">
        <f t="array" ref="AQ474">_xlfn.LET(_xlpm.N,$B$49,_xlpm.R,$B$48,_xlpm.Start,$B$47,_xlpm.PlanWD,AL474,_xlpm.PlanRoth,AM474,_xlpm.PlanConv,AN474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972795.50694223284</v>
      </c>
      <c r="AR474" cm="1">
        <f t="array" ref="AR474">_xlfn.LET(_xlpm.N,$B$49,_xlpm.R,$B$48,_xlpm.Start,$B$47,_xlpm.PlanWD,AL474,_xlpm.PlanRoth,AM474,_xlpm.PlanConv,AN474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1012069.3251485301</v>
      </c>
      <c r="AS474">
        <f>--AND(AK474&lt;=SUM('Retirement Gap'!$B$24:$B$25,'Retirement Gap'!$B$27),AL474+AN474&lt;=$B$47,AM474&lt;='Retirement Gap'!$B$29,ABS(AK474+AL474+AM474-$B$10)&lt;1)</f>
        <v>1</v>
      </c>
      <c r="AT474" cm="1">
        <f t="array" ref="AT474">IF(AS474=0,1E+99,_xlfn.SWITCH(LEFT($E$39,1),"1",AO474,"2",AP474*1000000000+AO474,"3",-AQ474,"4",AO474+AP474*25000+AR474*0.005-AQ474*0.0001,AO474))</f>
        <v>-972795.50694223284</v>
      </c>
    </row>
    <row r="475" spans="33:46" x14ac:dyDescent="0.55000000000000004">
      <c r="AG475">
        <f t="shared" si="54"/>
        <v>474</v>
      </c>
      <c r="AH475">
        <f t="shared" si="55"/>
        <v>0.7</v>
      </c>
      <c r="AI475">
        <f t="shared" si="56"/>
        <v>0.1</v>
      </c>
      <c r="AJ475">
        <f t="shared" si="57"/>
        <v>1</v>
      </c>
      <c r="AK475">
        <f t="shared" si="58"/>
        <v>16400.880000000005</v>
      </c>
      <c r="AL475">
        <f t="shared" si="59"/>
        <v>42520.799999999996</v>
      </c>
      <c r="AM475">
        <f>MIN(MAX(0,$B$10-AL475)*AI475,'Retirement Gap'!$B$29)</f>
        <v>1822.3200000000006</v>
      </c>
      <c r="AN475">
        <f>IF($E$40="B - Withdrawals + Roth conversions",AJ475*MAX(0,MIN($B$47-AL475,MIN($B$59,IRMAA!$C$16)-(AL475+$B$8*0.85+AK475*$B$46))),0)</f>
        <v>0</v>
      </c>
      <c r="AO475" cm="1">
        <f t="array" ref="AO475">_xlfn.LET(_xlpm.N,$B$49,_xlpm.R,$B$48,_xlpm.Start,$B$47,_xlpm.PlanWD,AL475,_xlpm.PlanRoth,AM475,_xlpm.PlanConv,AN475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33933.039999999994</v>
      </c>
      <c r="AP475" cm="1">
        <f t="array" ref="AP475">_xlfn.LET(_xlpm.N,$B$49,_xlpm.R,$B$48,_xlpm.Start,$B$47,_xlpm.PlanWD,AL475,_xlpm.PlanRoth,AM475,_xlpm.PlanConv,AN475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475" cm="1">
        <f t="array" ref="AQ475">_xlfn.LET(_xlpm.N,$B$49,_xlpm.R,$B$48,_xlpm.Start,$B$47,_xlpm.PlanWD,AL475,_xlpm.PlanRoth,AM475,_xlpm.PlanConv,AN475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972795.50694223284</v>
      </c>
      <c r="AR475" cm="1">
        <f t="array" ref="AR475">_xlfn.LET(_xlpm.N,$B$49,_xlpm.R,$B$48,_xlpm.Start,$B$47,_xlpm.PlanWD,AL475,_xlpm.PlanRoth,AM475,_xlpm.PlanConv,AN475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1012069.3251485301</v>
      </c>
      <c r="AS475">
        <f>--AND(AK475&lt;=SUM('Retirement Gap'!$B$24:$B$25,'Retirement Gap'!$B$27),AL475+AN475&lt;=$B$47,AM475&lt;='Retirement Gap'!$B$29,ABS(AK475+AL475+AM475-$B$10)&lt;1)</f>
        <v>1</v>
      </c>
      <c r="AT475" cm="1">
        <f t="array" ref="AT475">IF(AS475=0,1E+99,_xlfn.SWITCH(LEFT($E$39,1),"1",AO475,"2",AP475*1000000000+AO475,"3",-AQ475,"4",AO475+AP475*25000+AR475*0.005-AQ475*0.0001,AO475))</f>
        <v>-972795.50694223284</v>
      </c>
    </row>
    <row r="476" spans="33:46" x14ac:dyDescent="0.55000000000000004">
      <c r="AG476">
        <f t="shared" si="54"/>
        <v>475</v>
      </c>
      <c r="AH476">
        <f t="shared" si="55"/>
        <v>0.7</v>
      </c>
      <c r="AI476">
        <f t="shared" si="56"/>
        <v>0.2</v>
      </c>
      <c r="AJ476">
        <f t="shared" si="57"/>
        <v>0</v>
      </c>
      <c r="AK476">
        <f t="shared" si="58"/>
        <v>14578.560000000003</v>
      </c>
      <c r="AL476">
        <f t="shared" si="59"/>
        <v>42520.799999999996</v>
      </c>
      <c r="AM476">
        <f>MIN(MAX(0,$B$10-AL476)*AI476,'Retirement Gap'!$B$29)</f>
        <v>3644.6400000000012</v>
      </c>
      <c r="AN476">
        <f>IF($E$40="B - Withdrawals + Roth conversions",AJ476*MAX(0,MIN($B$47-AL476,MIN($B$59,IRMAA!$C$16)-(AL476+$B$8*0.85+AK476*$B$46))),0)</f>
        <v>0</v>
      </c>
      <c r="AO476" cm="1">
        <f t="array" ref="AO476">_xlfn.LET(_xlpm.N,$B$49,_xlpm.R,$B$48,_xlpm.Start,$B$47,_xlpm.PlanWD,AL476,_xlpm.PlanRoth,AM476,_xlpm.PlanConv,AN476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33933.039999999994</v>
      </c>
      <c r="AP476" cm="1">
        <f t="array" ref="AP476">_xlfn.LET(_xlpm.N,$B$49,_xlpm.R,$B$48,_xlpm.Start,$B$47,_xlpm.PlanWD,AL476,_xlpm.PlanRoth,AM476,_xlpm.PlanConv,AN476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476" cm="1">
        <f t="array" ref="AQ476">_xlfn.LET(_xlpm.N,$B$49,_xlpm.R,$B$48,_xlpm.Start,$B$47,_xlpm.PlanWD,AL476,_xlpm.PlanRoth,AM476,_xlpm.PlanConv,AN476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972795.50694223284</v>
      </c>
      <c r="AR476" cm="1">
        <f t="array" ref="AR476">_xlfn.LET(_xlpm.N,$B$49,_xlpm.R,$B$48,_xlpm.Start,$B$47,_xlpm.PlanWD,AL476,_xlpm.PlanRoth,AM476,_xlpm.PlanConv,AN476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1012069.3251485301</v>
      </c>
      <c r="AS476">
        <f>--AND(AK476&lt;=SUM('Retirement Gap'!$B$24:$B$25,'Retirement Gap'!$B$27),AL476+AN476&lt;=$B$47,AM476&lt;='Retirement Gap'!$B$29,ABS(AK476+AL476+AM476-$B$10)&lt;1)</f>
        <v>1</v>
      </c>
      <c r="AT476" cm="1">
        <f t="array" ref="AT476">IF(AS476=0,1E+99,_xlfn.SWITCH(LEFT($E$39,1),"1",AO476,"2",AP476*1000000000+AO476,"3",-AQ476,"4",AO476+AP476*25000+AR476*0.005-AQ476*0.0001,AO476))</f>
        <v>-972795.50694223284</v>
      </c>
    </row>
    <row r="477" spans="33:46" x14ac:dyDescent="0.55000000000000004">
      <c r="AG477">
        <f t="shared" si="54"/>
        <v>476</v>
      </c>
      <c r="AH477">
        <f t="shared" si="55"/>
        <v>0.7</v>
      </c>
      <c r="AI477">
        <f t="shared" si="56"/>
        <v>0.2</v>
      </c>
      <c r="AJ477">
        <f t="shared" si="57"/>
        <v>0.2</v>
      </c>
      <c r="AK477">
        <f t="shared" si="58"/>
        <v>14578.560000000003</v>
      </c>
      <c r="AL477">
        <f t="shared" si="59"/>
        <v>42520.799999999996</v>
      </c>
      <c r="AM477">
        <f>MIN(MAX(0,$B$10-AL477)*AI477,'Retirement Gap'!$B$29)</f>
        <v>3644.6400000000012</v>
      </c>
      <c r="AN477">
        <f>IF($E$40="B - Withdrawals + Roth conversions",AJ477*MAX(0,MIN($B$47-AL477,MIN($B$59,IRMAA!$C$16)-(AL477+$B$8*0.85+AK477*$B$46))),0)</f>
        <v>0</v>
      </c>
      <c r="AO477" cm="1">
        <f t="array" ref="AO477">_xlfn.LET(_xlpm.N,$B$49,_xlpm.R,$B$48,_xlpm.Start,$B$47,_xlpm.PlanWD,AL477,_xlpm.PlanRoth,AM477,_xlpm.PlanConv,AN477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33933.039999999994</v>
      </c>
      <c r="AP477" cm="1">
        <f t="array" ref="AP477">_xlfn.LET(_xlpm.N,$B$49,_xlpm.R,$B$48,_xlpm.Start,$B$47,_xlpm.PlanWD,AL477,_xlpm.PlanRoth,AM477,_xlpm.PlanConv,AN477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477" cm="1">
        <f t="array" ref="AQ477">_xlfn.LET(_xlpm.N,$B$49,_xlpm.R,$B$48,_xlpm.Start,$B$47,_xlpm.PlanWD,AL477,_xlpm.PlanRoth,AM477,_xlpm.PlanConv,AN477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972795.50694223284</v>
      </c>
      <c r="AR477" cm="1">
        <f t="array" ref="AR477">_xlfn.LET(_xlpm.N,$B$49,_xlpm.R,$B$48,_xlpm.Start,$B$47,_xlpm.PlanWD,AL477,_xlpm.PlanRoth,AM477,_xlpm.PlanConv,AN477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1012069.3251485301</v>
      </c>
      <c r="AS477">
        <f>--AND(AK477&lt;=SUM('Retirement Gap'!$B$24:$B$25,'Retirement Gap'!$B$27),AL477+AN477&lt;=$B$47,AM477&lt;='Retirement Gap'!$B$29,ABS(AK477+AL477+AM477-$B$10)&lt;1)</f>
        <v>1</v>
      </c>
      <c r="AT477" cm="1">
        <f t="array" ref="AT477">IF(AS477=0,1E+99,_xlfn.SWITCH(LEFT($E$39,1),"1",AO477,"2",AP477*1000000000+AO477,"3",-AQ477,"4",AO477+AP477*25000+AR477*0.005-AQ477*0.0001,AO477))</f>
        <v>-972795.50694223284</v>
      </c>
    </row>
    <row r="478" spans="33:46" x14ac:dyDescent="0.55000000000000004">
      <c r="AG478">
        <f t="shared" si="54"/>
        <v>477</v>
      </c>
      <c r="AH478">
        <f t="shared" si="55"/>
        <v>0.7</v>
      </c>
      <c r="AI478">
        <f t="shared" si="56"/>
        <v>0.2</v>
      </c>
      <c r="AJ478">
        <f t="shared" si="57"/>
        <v>0.4</v>
      </c>
      <c r="AK478">
        <f t="shared" si="58"/>
        <v>14578.560000000003</v>
      </c>
      <c r="AL478">
        <f t="shared" si="59"/>
        <v>42520.799999999996</v>
      </c>
      <c r="AM478">
        <f>MIN(MAX(0,$B$10-AL478)*AI478,'Retirement Gap'!$B$29)</f>
        <v>3644.6400000000012</v>
      </c>
      <c r="AN478">
        <f>IF($E$40="B - Withdrawals + Roth conversions",AJ478*MAX(0,MIN($B$47-AL478,MIN($B$59,IRMAA!$C$16)-(AL478+$B$8*0.85+AK478*$B$46))),0)</f>
        <v>0</v>
      </c>
      <c r="AO478" cm="1">
        <f t="array" ref="AO478">_xlfn.LET(_xlpm.N,$B$49,_xlpm.R,$B$48,_xlpm.Start,$B$47,_xlpm.PlanWD,AL478,_xlpm.PlanRoth,AM478,_xlpm.PlanConv,AN478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33933.039999999994</v>
      </c>
      <c r="AP478" cm="1">
        <f t="array" ref="AP478">_xlfn.LET(_xlpm.N,$B$49,_xlpm.R,$B$48,_xlpm.Start,$B$47,_xlpm.PlanWD,AL478,_xlpm.PlanRoth,AM478,_xlpm.PlanConv,AN478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478" cm="1">
        <f t="array" ref="AQ478">_xlfn.LET(_xlpm.N,$B$49,_xlpm.R,$B$48,_xlpm.Start,$B$47,_xlpm.PlanWD,AL478,_xlpm.PlanRoth,AM478,_xlpm.PlanConv,AN478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972795.50694223284</v>
      </c>
      <c r="AR478" cm="1">
        <f t="array" ref="AR478">_xlfn.LET(_xlpm.N,$B$49,_xlpm.R,$B$48,_xlpm.Start,$B$47,_xlpm.PlanWD,AL478,_xlpm.PlanRoth,AM478,_xlpm.PlanConv,AN478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1012069.3251485301</v>
      </c>
      <c r="AS478">
        <f>--AND(AK478&lt;=SUM('Retirement Gap'!$B$24:$B$25,'Retirement Gap'!$B$27),AL478+AN478&lt;=$B$47,AM478&lt;='Retirement Gap'!$B$29,ABS(AK478+AL478+AM478-$B$10)&lt;1)</f>
        <v>1</v>
      </c>
      <c r="AT478" cm="1">
        <f t="array" ref="AT478">IF(AS478=0,1E+99,_xlfn.SWITCH(LEFT($E$39,1),"1",AO478,"2",AP478*1000000000+AO478,"3",-AQ478,"4",AO478+AP478*25000+AR478*0.005-AQ478*0.0001,AO478))</f>
        <v>-972795.50694223284</v>
      </c>
    </row>
    <row r="479" spans="33:46" x14ac:dyDescent="0.55000000000000004">
      <c r="AG479">
        <f t="shared" si="54"/>
        <v>478</v>
      </c>
      <c r="AH479">
        <f t="shared" si="55"/>
        <v>0.7</v>
      </c>
      <c r="AI479">
        <f t="shared" si="56"/>
        <v>0.2</v>
      </c>
      <c r="AJ479">
        <f t="shared" si="57"/>
        <v>0.6</v>
      </c>
      <c r="AK479">
        <f t="shared" si="58"/>
        <v>14578.560000000003</v>
      </c>
      <c r="AL479">
        <f t="shared" si="59"/>
        <v>42520.799999999996</v>
      </c>
      <c r="AM479">
        <f>MIN(MAX(0,$B$10-AL479)*AI479,'Retirement Gap'!$B$29)</f>
        <v>3644.6400000000012</v>
      </c>
      <c r="AN479">
        <f>IF($E$40="B - Withdrawals + Roth conversions",AJ479*MAX(0,MIN($B$47-AL479,MIN($B$59,IRMAA!$C$16)-(AL479+$B$8*0.85+AK479*$B$46))),0)</f>
        <v>0</v>
      </c>
      <c r="AO479" cm="1">
        <f t="array" ref="AO479">_xlfn.LET(_xlpm.N,$B$49,_xlpm.R,$B$48,_xlpm.Start,$B$47,_xlpm.PlanWD,AL479,_xlpm.PlanRoth,AM479,_xlpm.PlanConv,AN479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33933.039999999994</v>
      </c>
      <c r="AP479" cm="1">
        <f t="array" ref="AP479">_xlfn.LET(_xlpm.N,$B$49,_xlpm.R,$B$48,_xlpm.Start,$B$47,_xlpm.PlanWD,AL479,_xlpm.PlanRoth,AM479,_xlpm.PlanConv,AN479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479" cm="1">
        <f t="array" ref="AQ479">_xlfn.LET(_xlpm.N,$B$49,_xlpm.R,$B$48,_xlpm.Start,$B$47,_xlpm.PlanWD,AL479,_xlpm.PlanRoth,AM479,_xlpm.PlanConv,AN479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972795.50694223284</v>
      </c>
      <c r="AR479" cm="1">
        <f t="array" ref="AR479">_xlfn.LET(_xlpm.N,$B$49,_xlpm.R,$B$48,_xlpm.Start,$B$47,_xlpm.PlanWD,AL479,_xlpm.PlanRoth,AM479,_xlpm.PlanConv,AN479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1012069.3251485301</v>
      </c>
      <c r="AS479">
        <f>--AND(AK479&lt;=SUM('Retirement Gap'!$B$24:$B$25,'Retirement Gap'!$B$27),AL479+AN479&lt;=$B$47,AM479&lt;='Retirement Gap'!$B$29,ABS(AK479+AL479+AM479-$B$10)&lt;1)</f>
        <v>1</v>
      </c>
      <c r="AT479" cm="1">
        <f t="array" ref="AT479">IF(AS479=0,1E+99,_xlfn.SWITCH(LEFT($E$39,1),"1",AO479,"2",AP479*1000000000+AO479,"3",-AQ479,"4",AO479+AP479*25000+AR479*0.005-AQ479*0.0001,AO479))</f>
        <v>-972795.50694223284</v>
      </c>
    </row>
    <row r="480" spans="33:46" x14ac:dyDescent="0.55000000000000004">
      <c r="AG480">
        <f t="shared" si="54"/>
        <v>479</v>
      </c>
      <c r="AH480">
        <f t="shared" si="55"/>
        <v>0.7</v>
      </c>
      <c r="AI480">
        <f t="shared" si="56"/>
        <v>0.2</v>
      </c>
      <c r="AJ480">
        <f t="shared" si="57"/>
        <v>0.8</v>
      </c>
      <c r="AK480">
        <f t="shared" si="58"/>
        <v>14578.560000000003</v>
      </c>
      <c r="AL480">
        <f t="shared" si="59"/>
        <v>42520.799999999996</v>
      </c>
      <c r="AM480">
        <f>MIN(MAX(0,$B$10-AL480)*AI480,'Retirement Gap'!$B$29)</f>
        <v>3644.6400000000012</v>
      </c>
      <c r="AN480">
        <f>IF($E$40="B - Withdrawals + Roth conversions",AJ480*MAX(0,MIN($B$47-AL480,MIN($B$59,IRMAA!$C$16)-(AL480+$B$8*0.85+AK480*$B$46))),0)</f>
        <v>0</v>
      </c>
      <c r="AO480" cm="1">
        <f t="array" ref="AO480">_xlfn.LET(_xlpm.N,$B$49,_xlpm.R,$B$48,_xlpm.Start,$B$47,_xlpm.PlanWD,AL480,_xlpm.PlanRoth,AM480,_xlpm.PlanConv,AN480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33933.039999999994</v>
      </c>
      <c r="AP480" cm="1">
        <f t="array" ref="AP480">_xlfn.LET(_xlpm.N,$B$49,_xlpm.R,$B$48,_xlpm.Start,$B$47,_xlpm.PlanWD,AL480,_xlpm.PlanRoth,AM480,_xlpm.PlanConv,AN480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480" cm="1">
        <f t="array" ref="AQ480">_xlfn.LET(_xlpm.N,$B$49,_xlpm.R,$B$48,_xlpm.Start,$B$47,_xlpm.PlanWD,AL480,_xlpm.PlanRoth,AM480,_xlpm.PlanConv,AN480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972795.50694223284</v>
      </c>
      <c r="AR480" cm="1">
        <f t="array" ref="AR480">_xlfn.LET(_xlpm.N,$B$49,_xlpm.R,$B$48,_xlpm.Start,$B$47,_xlpm.PlanWD,AL480,_xlpm.PlanRoth,AM480,_xlpm.PlanConv,AN480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1012069.3251485301</v>
      </c>
      <c r="AS480">
        <f>--AND(AK480&lt;=SUM('Retirement Gap'!$B$24:$B$25,'Retirement Gap'!$B$27),AL480+AN480&lt;=$B$47,AM480&lt;='Retirement Gap'!$B$29,ABS(AK480+AL480+AM480-$B$10)&lt;1)</f>
        <v>1</v>
      </c>
      <c r="AT480" cm="1">
        <f t="array" ref="AT480">IF(AS480=0,1E+99,_xlfn.SWITCH(LEFT($E$39,1),"1",AO480,"2",AP480*1000000000+AO480,"3",-AQ480,"4",AO480+AP480*25000+AR480*0.005-AQ480*0.0001,AO480))</f>
        <v>-972795.50694223284</v>
      </c>
    </row>
    <row r="481" spans="33:46" x14ac:dyDescent="0.55000000000000004">
      <c r="AG481">
        <f t="shared" si="54"/>
        <v>480</v>
      </c>
      <c r="AH481">
        <f t="shared" si="55"/>
        <v>0.7</v>
      </c>
      <c r="AI481">
        <f t="shared" si="56"/>
        <v>0.2</v>
      </c>
      <c r="AJ481">
        <f t="shared" si="57"/>
        <v>1</v>
      </c>
      <c r="AK481">
        <f t="shared" si="58"/>
        <v>14578.560000000003</v>
      </c>
      <c r="AL481">
        <f t="shared" si="59"/>
        <v>42520.799999999996</v>
      </c>
      <c r="AM481">
        <f>MIN(MAX(0,$B$10-AL481)*AI481,'Retirement Gap'!$B$29)</f>
        <v>3644.6400000000012</v>
      </c>
      <c r="AN481">
        <f>IF($E$40="B - Withdrawals + Roth conversions",AJ481*MAX(0,MIN($B$47-AL481,MIN($B$59,IRMAA!$C$16)-(AL481+$B$8*0.85+AK481*$B$46))),0)</f>
        <v>0</v>
      </c>
      <c r="AO481" cm="1">
        <f t="array" ref="AO481">_xlfn.LET(_xlpm.N,$B$49,_xlpm.R,$B$48,_xlpm.Start,$B$47,_xlpm.PlanWD,AL481,_xlpm.PlanRoth,AM481,_xlpm.PlanConv,AN481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33933.039999999994</v>
      </c>
      <c r="AP481" cm="1">
        <f t="array" ref="AP481">_xlfn.LET(_xlpm.N,$B$49,_xlpm.R,$B$48,_xlpm.Start,$B$47,_xlpm.PlanWD,AL481,_xlpm.PlanRoth,AM481,_xlpm.PlanConv,AN481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481" cm="1">
        <f t="array" ref="AQ481">_xlfn.LET(_xlpm.N,$B$49,_xlpm.R,$B$48,_xlpm.Start,$B$47,_xlpm.PlanWD,AL481,_xlpm.PlanRoth,AM481,_xlpm.PlanConv,AN481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972795.50694223284</v>
      </c>
      <c r="AR481" cm="1">
        <f t="array" ref="AR481">_xlfn.LET(_xlpm.N,$B$49,_xlpm.R,$B$48,_xlpm.Start,$B$47,_xlpm.PlanWD,AL481,_xlpm.PlanRoth,AM481,_xlpm.PlanConv,AN481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1012069.3251485301</v>
      </c>
      <c r="AS481">
        <f>--AND(AK481&lt;=SUM('Retirement Gap'!$B$24:$B$25,'Retirement Gap'!$B$27),AL481+AN481&lt;=$B$47,AM481&lt;='Retirement Gap'!$B$29,ABS(AK481+AL481+AM481-$B$10)&lt;1)</f>
        <v>1</v>
      </c>
      <c r="AT481" cm="1">
        <f t="array" ref="AT481">IF(AS481=0,1E+99,_xlfn.SWITCH(LEFT($E$39,1),"1",AO481,"2",AP481*1000000000+AO481,"3",-AQ481,"4",AO481+AP481*25000+AR481*0.005-AQ481*0.0001,AO481))</f>
        <v>-972795.50694223284</v>
      </c>
    </row>
    <row r="482" spans="33:46" x14ac:dyDescent="0.55000000000000004">
      <c r="AG482">
        <f t="shared" si="54"/>
        <v>481</v>
      </c>
      <c r="AH482">
        <f t="shared" si="55"/>
        <v>0.7</v>
      </c>
      <c r="AI482">
        <f t="shared" si="56"/>
        <v>0.3</v>
      </c>
      <c r="AJ482">
        <f t="shared" si="57"/>
        <v>0</v>
      </c>
      <c r="AK482">
        <f t="shared" si="58"/>
        <v>12756.240000000003</v>
      </c>
      <c r="AL482">
        <f t="shared" si="59"/>
        <v>42520.799999999996</v>
      </c>
      <c r="AM482">
        <f>MIN(MAX(0,$B$10-AL482)*AI482,'Retirement Gap'!$B$29)</f>
        <v>5466.9600000000009</v>
      </c>
      <c r="AN482">
        <f>IF($E$40="B - Withdrawals + Roth conversions",AJ482*MAX(0,MIN($B$47-AL482,MIN($B$59,IRMAA!$C$16)-(AL482+$B$8*0.85+AK482*$B$46))),0)</f>
        <v>0</v>
      </c>
      <c r="AO482" cm="1">
        <f t="array" ref="AO482">_xlfn.LET(_xlpm.N,$B$49,_xlpm.R,$B$48,_xlpm.Start,$B$47,_xlpm.PlanWD,AL482,_xlpm.PlanRoth,AM482,_xlpm.PlanConv,AN482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33933.039999999994</v>
      </c>
      <c r="AP482" cm="1">
        <f t="array" ref="AP482">_xlfn.LET(_xlpm.N,$B$49,_xlpm.R,$B$48,_xlpm.Start,$B$47,_xlpm.PlanWD,AL482,_xlpm.PlanRoth,AM482,_xlpm.PlanConv,AN482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482" cm="1">
        <f t="array" ref="AQ482">_xlfn.LET(_xlpm.N,$B$49,_xlpm.R,$B$48,_xlpm.Start,$B$47,_xlpm.PlanWD,AL482,_xlpm.PlanRoth,AM482,_xlpm.PlanConv,AN482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972795.50694223284</v>
      </c>
      <c r="AR482" cm="1">
        <f t="array" ref="AR482">_xlfn.LET(_xlpm.N,$B$49,_xlpm.R,$B$48,_xlpm.Start,$B$47,_xlpm.PlanWD,AL482,_xlpm.PlanRoth,AM482,_xlpm.PlanConv,AN482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1012069.3251485301</v>
      </c>
      <c r="AS482">
        <f>--AND(AK482&lt;=SUM('Retirement Gap'!$B$24:$B$25,'Retirement Gap'!$B$27),AL482+AN482&lt;=$B$47,AM482&lt;='Retirement Gap'!$B$29,ABS(AK482+AL482+AM482-$B$10)&lt;1)</f>
        <v>1</v>
      </c>
      <c r="AT482" cm="1">
        <f t="array" ref="AT482">IF(AS482=0,1E+99,_xlfn.SWITCH(LEFT($E$39,1),"1",AO482,"2",AP482*1000000000+AO482,"3",-AQ482,"4",AO482+AP482*25000+AR482*0.005-AQ482*0.0001,AO482))</f>
        <v>-972795.50694223284</v>
      </c>
    </row>
    <row r="483" spans="33:46" x14ac:dyDescent="0.55000000000000004">
      <c r="AG483">
        <f t="shared" si="54"/>
        <v>482</v>
      </c>
      <c r="AH483">
        <f t="shared" si="55"/>
        <v>0.7</v>
      </c>
      <c r="AI483">
        <f t="shared" si="56"/>
        <v>0.3</v>
      </c>
      <c r="AJ483">
        <f t="shared" si="57"/>
        <v>0.2</v>
      </c>
      <c r="AK483">
        <f t="shared" si="58"/>
        <v>12756.240000000003</v>
      </c>
      <c r="AL483">
        <f t="shared" si="59"/>
        <v>42520.799999999996</v>
      </c>
      <c r="AM483">
        <f>MIN(MAX(0,$B$10-AL483)*AI483,'Retirement Gap'!$B$29)</f>
        <v>5466.9600000000009</v>
      </c>
      <c r="AN483">
        <f>IF($E$40="B - Withdrawals + Roth conversions",AJ483*MAX(0,MIN($B$47-AL483,MIN($B$59,IRMAA!$C$16)-(AL483+$B$8*0.85+AK483*$B$46))),0)</f>
        <v>0</v>
      </c>
      <c r="AO483" cm="1">
        <f t="array" ref="AO483">_xlfn.LET(_xlpm.N,$B$49,_xlpm.R,$B$48,_xlpm.Start,$B$47,_xlpm.PlanWD,AL483,_xlpm.PlanRoth,AM483,_xlpm.PlanConv,AN483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33933.039999999994</v>
      </c>
      <c r="AP483" cm="1">
        <f t="array" ref="AP483">_xlfn.LET(_xlpm.N,$B$49,_xlpm.R,$B$48,_xlpm.Start,$B$47,_xlpm.PlanWD,AL483,_xlpm.PlanRoth,AM483,_xlpm.PlanConv,AN483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483" cm="1">
        <f t="array" ref="AQ483">_xlfn.LET(_xlpm.N,$B$49,_xlpm.R,$B$48,_xlpm.Start,$B$47,_xlpm.PlanWD,AL483,_xlpm.PlanRoth,AM483,_xlpm.PlanConv,AN483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972795.50694223284</v>
      </c>
      <c r="AR483" cm="1">
        <f t="array" ref="AR483">_xlfn.LET(_xlpm.N,$B$49,_xlpm.R,$B$48,_xlpm.Start,$B$47,_xlpm.PlanWD,AL483,_xlpm.PlanRoth,AM483,_xlpm.PlanConv,AN483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1012069.3251485301</v>
      </c>
      <c r="AS483">
        <f>--AND(AK483&lt;=SUM('Retirement Gap'!$B$24:$B$25,'Retirement Gap'!$B$27),AL483+AN483&lt;=$B$47,AM483&lt;='Retirement Gap'!$B$29,ABS(AK483+AL483+AM483-$B$10)&lt;1)</f>
        <v>1</v>
      </c>
      <c r="AT483" cm="1">
        <f t="array" ref="AT483">IF(AS483=0,1E+99,_xlfn.SWITCH(LEFT($E$39,1),"1",AO483,"2",AP483*1000000000+AO483,"3",-AQ483,"4",AO483+AP483*25000+AR483*0.005-AQ483*0.0001,AO483))</f>
        <v>-972795.50694223284</v>
      </c>
    </row>
    <row r="484" spans="33:46" x14ac:dyDescent="0.55000000000000004">
      <c r="AG484">
        <f t="shared" si="54"/>
        <v>483</v>
      </c>
      <c r="AH484">
        <f t="shared" si="55"/>
        <v>0.7</v>
      </c>
      <c r="AI484">
        <f t="shared" si="56"/>
        <v>0.3</v>
      </c>
      <c r="AJ484">
        <f t="shared" si="57"/>
        <v>0.4</v>
      </c>
      <c r="AK484">
        <f t="shared" si="58"/>
        <v>12756.240000000003</v>
      </c>
      <c r="AL484">
        <f t="shared" si="59"/>
        <v>42520.799999999996</v>
      </c>
      <c r="AM484">
        <f>MIN(MAX(0,$B$10-AL484)*AI484,'Retirement Gap'!$B$29)</f>
        <v>5466.9600000000009</v>
      </c>
      <c r="AN484">
        <f>IF($E$40="B - Withdrawals + Roth conversions",AJ484*MAX(0,MIN($B$47-AL484,MIN($B$59,IRMAA!$C$16)-(AL484+$B$8*0.85+AK484*$B$46))),0)</f>
        <v>0</v>
      </c>
      <c r="AO484" cm="1">
        <f t="array" ref="AO484">_xlfn.LET(_xlpm.N,$B$49,_xlpm.R,$B$48,_xlpm.Start,$B$47,_xlpm.PlanWD,AL484,_xlpm.PlanRoth,AM484,_xlpm.PlanConv,AN484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33933.039999999994</v>
      </c>
      <c r="AP484" cm="1">
        <f t="array" ref="AP484">_xlfn.LET(_xlpm.N,$B$49,_xlpm.R,$B$48,_xlpm.Start,$B$47,_xlpm.PlanWD,AL484,_xlpm.PlanRoth,AM484,_xlpm.PlanConv,AN484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484" cm="1">
        <f t="array" ref="AQ484">_xlfn.LET(_xlpm.N,$B$49,_xlpm.R,$B$48,_xlpm.Start,$B$47,_xlpm.PlanWD,AL484,_xlpm.PlanRoth,AM484,_xlpm.PlanConv,AN484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972795.50694223284</v>
      </c>
      <c r="AR484" cm="1">
        <f t="array" ref="AR484">_xlfn.LET(_xlpm.N,$B$49,_xlpm.R,$B$48,_xlpm.Start,$B$47,_xlpm.PlanWD,AL484,_xlpm.PlanRoth,AM484,_xlpm.PlanConv,AN484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1012069.3251485301</v>
      </c>
      <c r="AS484">
        <f>--AND(AK484&lt;=SUM('Retirement Gap'!$B$24:$B$25,'Retirement Gap'!$B$27),AL484+AN484&lt;=$B$47,AM484&lt;='Retirement Gap'!$B$29,ABS(AK484+AL484+AM484-$B$10)&lt;1)</f>
        <v>1</v>
      </c>
      <c r="AT484" cm="1">
        <f t="array" ref="AT484">IF(AS484=0,1E+99,_xlfn.SWITCH(LEFT($E$39,1),"1",AO484,"2",AP484*1000000000+AO484,"3",-AQ484,"4",AO484+AP484*25000+AR484*0.005-AQ484*0.0001,AO484))</f>
        <v>-972795.50694223284</v>
      </c>
    </row>
    <row r="485" spans="33:46" x14ac:dyDescent="0.55000000000000004">
      <c r="AG485">
        <f t="shared" si="54"/>
        <v>484</v>
      </c>
      <c r="AH485">
        <f t="shared" si="55"/>
        <v>0.7</v>
      </c>
      <c r="AI485">
        <f t="shared" si="56"/>
        <v>0.3</v>
      </c>
      <c r="AJ485">
        <f t="shared" si="57"/>
        <v>0.6</v>
      </c>
      <c r="AK485">
        <f t="shared" si="58"/>
        <v>12756.240000000003</v>
      </c>
      <c r="AL485">
        <f t="shared" si="59"/>
        <v>42520.799999999996</v>
      </c>
      <c r="AM485">
        <f>MIN(MAX(0,$B$10-AL485)*AI485,'Retirement Gap'!$B$29)</f>
        <v>5466.9600000000009</v>
      </c>
      <c r="AN485">
        <f>IF($E$40="B - Withdrawals + Roth conversions",AJ485*MAX(0,MIN($B$47-AL485,MIN($B$59,IRMAA!$C$16)-(AL485+$B$8*0.85+AK485*$B$46))),0)</f>
        <v>0</v>
      </c>
      <c r="AO485" cm="1">
        <f t="array" ref="AO485">_xlfn.LET(_xlpm.N,$B$49,_xlpm.R,$B$48,_xlpm.Start,$B$47,_xlpm.PlanWD,AL485,_xlpm.PlanRoth,AM485,_xlpm.PlanConv,AN485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33933.039999999994</v>
      </c>
      <c r="AP485" cm="1">
        <f t="array" ref="AP485">_xlfn.LET(_xlpm.N,$B$49,_xlpm.R,$B$48,_xlpm.Start,$B$47,_xlpm.PlanWD,AL485,_xlpm.PlanRoth,AM485,_xlpm.PlanConv,AN485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485" cm="1">
        <f t="array" ref="AQ485">_xlfn.LET(_xlpm.N,$B$49,_xlpm.R,$B$48,_xlpm.Start,$B$47,_xlpm.PlanWD,AL485,_xlpm.PlanRoth,AM485,_xlpm.PlanConv,AN485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972795.50694223284</v>
      </c>
      <c r="AR485" cm="1">
        <f t="array" ref="AR485">_xlfn.LET(_xlpm.N,$B$49,_xlpm.R,$B$48,_xlpm.Start,$B$47,_xlpm.PlanWD,AL485,_xlpm.PlanRoth,AM485,_xlpm.PlanConv,AN485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1012069.3251485301</v>
      </c>
      <c r="AS485">
        <f>--AND(AK485&lt;=SUM('Retirement Gap'!$B$24:$B$25,'Retirement Gap'!$B$27),AL485+AN485&lt;=$B$47,AM485&lt;='Retirement Gap'!$B$29,ABS(AK485+AL485+AM485-$B$10)&lt;1)</f>
        <v>1</v>
      </c>
      <c r="AT485" cm="1">
        <f t="array" ref="AT485">IF(AS485=0,1E+99,_xlfn.SWITCH(LEFT($E$39,1),"1",AO485,"2",AP485*1000000000+AO485,"3",-AQ485,"4",AO485+AP485*25000+AR485*0.005-AQ485*0.0001,AO485))</f>
        <v>-972795.50694223284</v>
      </c>
    </row>
    <row r="486" spans="33:46" x14ac:dyDescent="0.55000000000000004">
      <c r="AG486">
        <f t="shared" si="54"/>
        <v>485</v>
      </c>
      <c r="AH486">
        <f t="shared" si="55"/>
        <v>0.7</v>
      </c>
      <c r="AI486">
        <f t="shared" si="56"/>
        <v>0.3</v>
      </c>
      <c r="AJ486">
        <f t="shared" si="57"/>
        <v>0.8</v>
      </c>
      <c r="AK486">
        <f t="shared" si="58"/>
        <v>12756.240000000003</v>
      </c>
      <c r="AL486">
        <f t="shared" si="59"/>
        <v>42520.799999999996</v>
      </c>
      <c r="AM486">
        <f>MIN(MAX(0,$B$10-AL486)*AI486,'Retirement Gap'!$B$29)</f>
        <v>5466.9600000000009</v>
      </c>
      <c r="AN486">
        <f>IF($E$40="B - Withdrawals + Roth conversions",AJ486*MAX(0,MIN($B$47-AL486,MIN($B$59,IRMAA!$C$16)-(AL486+$B$8*0.85+AK486*$B$46))),0)</f>
        <v>0</v>
      </c>
      <c r="AO486" cm="1">
        <f t="array" ref="AO486">_xlfn.LET(_xlpm.N,$B$49,_xlpm.R,$B$48,_xlpm.Start,$B$47,_xlpm.PlanWD,AL486,_xlpm.PlanRoth,AM486,_xlpm.PlanConv,AN486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33933.039999999994</v>
      </c>
      <c r="AP486" cm="1">
        <f t="array" ref="AP486">_xlfn.LET(_xlpm.N,$B$49,_xlpm.R,$B$48,_xlpm.Start,$B$47,_xlpm.PlanWD,AL486,_xlpm.PlanRoth,AM486,_xlpm.PlanConv,AN486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486" cm="1">
        <f t="array" ref="AQ486">_xlfn.LET(_xlpm.N,$B$49,_xlpm.R,$B$48,_xlpm.Start,$B$47,_xlpm.PlanWD,AL486,_xlpm.PlanRoth,AM486,_xlpm.PlanConv,AN486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972795.50694223284</v>
      </c>
      <c r="AR486" cm="1">
        <f t="array" ref="AR486">_xlfn.LET(_xlpm.N,$B$49,_xlpm.R,$B$48,_xlpm.Start,$B$47,_xlpm.PlanWD,AL486,_xlpm.PlanRoth,AM486,_xlpm.PlanConv,AN486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1012069.3251485301</v>
      </c>
      <c r="AS486">
        <f>--AND(AK486&lt;=SUM('Retirement Gap'!$B$24:$B$25,'Retirement Gap'!$B$27),AL486+AN486&lt;=$B$47,AM486&lt;='Retirement Gap'!$B$29,ABS(AK486+AL486+AM486-$B$10)&lt;1)</f>
        <v>1</v>
      </c>
      <c r="AT486" cm="1">
        <f t="array" ref="AT486">IF(AS486=0,1E+99,_xlfn.SWITCH(LEFT($E$39,1),"1",AO486,"2",AP486*1000000000+AO486,"3",-AQ486,"4",AO486+AP486*25000+AR486*0.005-AQ486*0.0001,AO486))</f>
        <v>-972795.50694223284</v>
      </c>
    </row>
    <row r="487" spans="33:46" x14ac:dyDescent="0.55000000000000004">
      <c r="AG487">
        <f t="shared" si="54"/>
        <v>486</v>
      </c>
      <c r="AH487">
        <f t="shared" si="55"/>
        <v>0.7</v>
      </c>
      <c r="AI487">
        <f t="shared" si="56"/>
        <v>0.3</v>
      </c>
      <c r="AJ487">
        <f t="shared" si="57"/>
        <v>1</v>
      </c>
      <c r="AK487">
        <f t="shared" si="58"/>
        <v>12756.240000000003</v>
      </c>
      <c r="AL487">
        <f t="shared" si="59"/>
        <v>42520.799999999996</v>
      </c>
      <c r="AM487">
        <f>MIN(MAX(0,$B$10-AL487)*AI487,'Retirement Gap'!$B$29)</f>
        <v>5466.9600000000009</v>
      </c>
      <c r="AN487">
        <f>IF($E$40="B - Withdrawals + Roth conversions",AJ487*MAX(0,MIN($B$47-AL487,MIN($B$59,IRMAA!$C$16)-(AL487+$B$8*0.85+AK487*$B$46))),0)</f>
        <v>0</v>
      </c>
      <c r="AO487" cm="1">
        <f t="array" ref="AO487">_xlfn.LET(_xlpm.N,$B$49,_xlpm.R,$B$48,_xlpm.Start,$B$47,_xlpm.PlanWD,AL487,_xlpm.PlanRoth,AM487,_xlpm.PlanConv,AN487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33933.039999999994</v>
      </c>
      <c r="AP487" cm="1">
        <f t="array" ref="AP487">_xlfn.LET(_xlpm.N,$B$49,_xlpm.R,$B$48,_xlpm.Start,$B$47,_xlpm.PlanWD,AL487,_xlpm.PlanRoth,AM487,_xlpm.PlanConv,AN487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487" cm="1">
        <f t="array" ref="AQ487">_xlfn.LET(_xlpm.N,$B$49,_xlpm.R,$B$48,_xlpm.Start,$B$47,_xlpm.PlanWD,AL487,_xlpm.PlanRoth,AM487,_xlpm.PlanConv,AN487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972795.50694223284</v>
      </c>
      <c r="AR487" cm="1">
        <f t="array" ref="AR487">_xlfn.LET(_xlpm.N,$B$49,_xlpm.R,$B$48,_xlpm.Start,$B$47,_xlpm.PlanWD,AL487,_xlpm.PlanRoth,AM487,_xlpm.PlanConv,AN487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1012069.3251485301</v>
      </c>
      <c r="AS487">
        <f>--AND(AK487&lt;=SUM('Retirement Gap'!$B$24:$B$25,'Retirement Gap'!$B$27),AL487+AN487&lt;=$B$47,AM487&lt;='Retirement Gap'!$B$29,ABS(AK487+AL487+AM487-$B$10)&lt;1)</f>
        <v>1</v>
      </c>
      <c r="AT487" cm="1">
        <f t="array" ref="AT487">IF(AS487=0,1E+99,_xlfn.SWITCH(LEFT($E$39,1),"1",AO487,"2",AP487*1000000000+AO487,"3",-AQ487,"4",AO487+AP487*25000+AR487*0.005-AQ487*0.0001,AO487))</f>
        <v>-972795.50694223284</v>
      </c>
    </row>
    <row r="488" spans="33:46" x14ac:dyDescent="0.55000000000000004">
      <c r="AG488">
        <f t="shared" si="54"/>
        <v>487</v>
      </c>
      <c r="AH488">
        <f t="shared" si="55"/>
        <v>0.7</v>
      </c>
      <c r="AI488">
        <f t="shared" si="56"/>
        <v>0.4</v>
      </c>
      <c r="AJ488">
        <f t="shared" si="57"/>
        <v>0</v>
      </c>
      <c r="AK488">
        <f t="shared" si="58"/>
        <v>10933.920000000002</v>
      </c>
      <c r="AL488">
        <f t="shared" si="59"/>
        <v>42520.799999999996</v>
      </c>
      <c r="AM488">
        <f>MIN(MAX(0,$B$10-AL488)*AI488,'Retirement Gap'!$B$29)</f>
        <v>7289.2800000000025</v>
      </c>
      <c r="AN488">
        <f>IF($E$40="B - Withdrawals + Roth conversions",AJ488*MAX(0,MIN($B$47-AL488,MIN($B$59,IRMAA!$C$16)-(AL488+$B$8*0.85+AK488*$B$46))),0)</f>
        <v>0</v>
      </c>
      <c r="AO488" cm="1">
        <f t="array" ref="AO488">_xlfn.LET(_xlpm.N,$B$49,_xlpm.R,$B$48,_xlpm.Start,$B$47,_xlpm.PlanWD,AL488,_xlpm.PlanRoth,AM488,_xlpm.PlanConv,AN488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33933.039999999994</v>
      </c>
      <c r="AP488" cm="1">
        <f t="array" ref="AP488">_xlfn.LET(_xlpm.N,$B$49,_xlpm.R,$B$48,_xlpm.Start,$B$47,_xlpm.PlanWD,AL488,_xlpm.PlanRoth,AM488,_xlpm.PlanConv,AN488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488" cm="1">
        <f t="array" ref="AQ488">_xlfn.LET(_xlpm.N,$B$49,_xlpm.R,$B$48,_xlpm.Start,$B$47,_xlpm.PlanWD,AL488,_xlpm.PlanRoth,AM488,_xlpm.PlanConv,AN488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972795.50694223284</v>
      </c>
      <c r="AR488" cm="1">
        <f t="array" ref="AR488">_xlfn.LET(_xlpm.N,$B$49,_xlpm.R,$B$48,_xlpm.Start,$B$47,_xlpm.PlanWD,AL488,_xlpm.PlanRoth,AM488,_xlpm.PlanConv,AN488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1012069.3251485301</v>
      </c>
      <c r="AS488">
        <f>--AND(AK488&lt;=SUM('Retirement Gap'!$B$24:$B$25,'Retirement Gap'!$B$27),AL488+AN488&lt;=$B$47,AM488&lt;='Retirement Gap'!$B$29,ABS(AK488+AL488+AM488-$B$10)&lt;1)</f>
        <v>1</v>
      </c>
      <c r="AT488" cm="1">
        <f t="array" ref="AT488">IF(AS488=0,1E+99,_xlfn.SWITCH(LEFT($E$39,1),"1",AO488,"2",AP488*1000000000+AO488,"3",-AQ488,"4",AO488+AP488*25000+AR488*0.005-AQ488*0.0001,AO488))</f>
        <v>-972795.50694223284</v>
      </c>
    </row>
    <row r="489" spans="33:46" x14ac:dyDescent="0.55000000000000004">
      <c r="AG489">
        <f t="shared" si="54"/>
        <v>488</v>
      </c>
      <c r="AH489">
        <f t="shared" si="55"/>
        <v>0.7</v>
      </c>
      <c r="AI489">
        <f t="shared" si="56"/>
        <v>0.4</v>
      </c>
      <c r="AJ489">
        <f t="shared" si="57"/>
        <v>0.2</v>
      </c>
      <c r="AK489">
        <f t="shared" si="58"/>
        <v>10933.920000000002</v>
      </c>
      <c r="AL489">
        <f t="shared" si="59"/>
        <v>42520.799999999996</v>
      </c>
      <c r="AM489">
        <f>MIN(MAX(0,$B$10-AL489)*AI489,'Retirement Gap'!$B$29)</f>
        <v>7289.2800000000025</v>
      </c>
      <c r="AN489">
        <f>IF($E$40="B - Withdrawals + Roth conversions",AJ489*MAX(0,MIN($B$47-AL489,MIN($B$59,IRMAA!$C$16)-(AL489+$B$8*0.85+AK489*$B$46))),0)</f>
        <v>0</v>
      </c>
      <c r="AO489" cm="1">
        <f t="array" ref="AO489">_xlfn.LET(_xlpm.N,$B$49,_xlpm.R,$B$48,_xlpm.Start,$B$47,_xlpm.PlanWD,AL489,_xlpm.PlanRoth,AM489,_xlpm.PlanConv,AN489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33933.039999999994</v>
      </c>
      <c r="AP489" cm="1">
        <f t="array" ref="AP489">_xlfn.LET(_xlpm.N,$B$49,_xlpm.R,$B$48,_xlpm.Start,$B$47,_xlpm.PlanWD,AL489,_xlpm.PlanRoth,AM489,_xlpm.PlanConv,AN489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489" cm="1">
        <f t="array" ref="AQ489">_xlfn.LET(_xlpm.N,$B$49,_xlpm.R,$B$48,_xlpm.Start,$B$47,_xlpm.PlanWD,AL489,_xlpm.PlanRoth,AM489,_xlpm.PlanConv,AN489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972795.50694223284</v>
      </c>
      <c r="AR489" cm="1">
        <f t="array" ref="AR489">_xlfn.LET(_xlpm.N,$B$49,_xlpm.R,$B$48,_xlpm.Start,$B$47,_xlpm.PlanWD,AL489,_xlpm.PlanRoth,AM489,_xlpm.PlanConv,AN489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1012069.3251485301</v>
      </c>
      <c r="AS489">
        <f>--AND(AK489&lt;=SUM('Retirement Gap'!$B$24:$B$25,'Retirement Gap'!$B$27),AL489+AN489&lt;=$B$47,AM489&lt;='Retirement Gap'!$B$29,ABS(AK489+AL489+AM489-$B$10)&lt;1)</f>
        <v>1</v>
      </c>
      <c r="AT489" cm="1">
        <f t="array" ref="AT489">IF(AS489=0,1E+99,_xlfn.SWITCH(LEFT($E$39,1),"1",AO489,"2",AP489*1000000000+AO489,"3",-AQ489,"4",AO489+AP489*25000+AR489*0.005-AQ489*0.0001,AO489))</f>
        <v>-972795.50694223284</v>
      </c>
    </row>
    <row r="490" spans="33:46" x14ac:dyDescent="0.55000000000000004">
      <c r="AG490">
        <f t="shared" si="54"/>
        <v>489</v>
      </c>
      <c r="AH490">
        <f t="shared" si="55"/>
        <v>0.7</v>
      </c>
      <c r="AI490">
        <f t="shared" si="56"/>
        <v>0.4</v>
      </c>
      <c r="AJ490">
        <f t="shared" si="57"/>
        <v>0.4</v>
      </c>
      <c r="AK490">
        <f t="shared" si="58"/>
        <v>10933.920000000002</v>
      </c>
      <c r="AL490">
        <f t="shared" si="59"/>
        <v>42520.799999999996</v>
      </c>
      <c r="AM490">
        <f>MIN(MAX(0,$B$10-AL490)*AI490,'Retirement Gap'!$B$29)</f>
        <v>7289.2800000000025</v>
      </c>
      <c r="AN490">
        <f>IF($E$40="B - Withdrawals + Roth conversions",AJ490*MAX(0,MIN($B$47-AL490,MIN($B$59,IRMAA!$C$16)-(AL490+$B$8*0.85+AK490*$B$46))),0)</f>
        <v>0</v>
      </c>
      <c r="AO490" cm="1">
        <f t="array" ref="AO490">_xlfn.LET(_xlpm.N,$B$49,_xlpm.R,$B$48,_xlpm.Start,$B$47,_xlpm.PlanWD,AL490,_xlpm.PlanRoth,AM490,_xlpm.PlanConv,AN490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33933.039999999994</v>
      </c>
      <c r="AP490" cm="1">
        <f t="array" ref="AP490">_xlfn.LET(_xlpm.N,$B$49,_xlpm.R,$B$48,_xlpm.Start,$B$47,_xlpm.PlanWD,AL490,_xlpm.PlanRoth,AM490,_xlpm.PlanConv,AN490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490" cm="1">
        <f t="array" ref="AQ490">_xlfn.LET(_xlpm.N,$B$49,_xlpm.R,$B$48,_xlpm.Start,$B$47,_xlpm.PlanWD,AL490,_xlpm.PlanRoth,AM490,_xlpm.PlanConv,AN490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972795.50694223284</v>
      </c>
      <c r="AR490" cm="1">
        <f t="array" ref="AR490">_xlfn.LET(_xlpm.N,$B$49,_xlpm.R,$B$48,_xlpm.Start,$B$47,_xlpm.PlanWD,AL490,_xlpm.PlanRoth,AM490,_xlpm.PlanConv,AN490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1012069.3251485301</v>
      </c>
      <c r="AS490">
        <f>--AND(AK490&lt;=SUM('Retirement Gap'!$B$24:$B$25,'Retirement Gap'!$B$27),AL490+AN490&lt;=$B$47,AM490&lt;='Retirement Gap'!$B$29,ABS(AK490+AL490+AM490-$B$10)&lt;1)</f>
        <v>1</v>
      </c>
      <c r="AT490" cm="1">
        <f t="array" ref="AT490">IF(AS490=0,1E+99,_xlfn.SWITCH(LEFT($E$39,1),"1",AO490,"2",AP490*1000000000+AO490,"3",-AQ490,"4",AO490+AP490*25000+AR490*0.005-AQ490*0.0001,AO490))</f>
        <v>-972795.50694223284</v>
      </c>
    </row>
    <row r="491" spans="33:46" x14ac:dyDescent="0.55000000000000004">
      <c r="AG491">
        <f t="shared" si="54"/>
        <v>490</v>
      </c>
      <c r="AH491">
        <f t="shared" si="55"/>
        <v>0.7</v>
      </c>
      <c r="AI491">
        <f t="shared" si="56"/>
        <v>0.4</v>
      </c>
      <c r="AJ491">
        <f t="shared" si="57"/>
        <v>0.6</v>
      </c>
      <c r="AK491">
        <f t="shared" si="58"/>
        <v>10933.920000000002</v>
      </c>
      <c r="AL491">
        <f t="shared" si="59"/>
        <v>42520.799999999996</v>
      </c>
      <c r="AM491">
        <f>MIN(MAX(0,$B$10-AL491)*AI491,'Retirement Gap'!$B$29)</f>
        <v>7289.2800000000025</v>
      </c>
      <c r="AN491">
        <f>IF($E$40="B - Withdrawals + Roth conversions",AJ491*MAX(0,MIN($B$47-AL491,MIN($B$59,IRMAA!$C$16)-(AL491+$B$8*0.85+AK491*$B$46))),0)</f>
        <v>0</v>
      </c>
      <c r="AO491" cm="1">
        <f t="array" ref="AO491">_xlfn.LET(_xlpm.N,$B$49,_xlpm.R,$B$48,_xlpm.Start,$B$47,_xlpm.PlanWD,AL491,_xlpm.PlanRoth,AM491,_xlpm.PlanConv,AN491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33933.039999999994</v>
      </c>
      <c r="AP491" cm="1">
        <f t="array" ref="AP491">_xlfn.LET(_xlpm.N,$B$49,_xlpm.R,$B$48,_xlpm.Start,$B$47,_xlpm.PlanWD,AL491,_xlpm.PlanRoth,AM491,_xlpm.PlanConv,AN491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491" cm="1">
        <f t="array" ref="AQ491">_xlfn.LET(_xlpm.N,$B$49,_xlpm.R,$B$48,_xlpm.Start,$B$47,_xlpm.PlanWD,AL491,_xlpm.PlanRoth,AM491,_xlpm.PlanConv,AN491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972795.50694223284</v>
      </c>
      <c r="AR491" cm="1">
        <f t="array" ref="AR491">_xlfn.LET(_xlpm.N,$B$49,_xlpm.R,$B$48,_xlpm.Start,$B$47,_xlpm.PlanWD,AL491,_xlpm.PlanRoth,AM491,_xlpm.PlanConv,AN491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1012069.3251485301</v>
      </c>
      <c r="AS491">
        <f>--AND(AK491&lt;=SUM('Retirement Gap'!$B$24:$B$25,'Retirement Gap'!$B$27),AL491+AN491&lt;=$B$47,AM491&lt;='Retirement Gap'!$B$29,ABS(AK491+AL491+AM491-$B$10)&lt;1)</f>
        <v>1</v>
      </c>
      <c r="AT491" cm="1">
        <f t="array" ref="AT491">IF(AS491=0,1E+99,_xlfn.SWITCH(LEFT($E$39,1),"1",AO491,"2",AP491*1000000000+AO491,"3",-AQ491,"4",AO491+AP491*25000+AR491*0.005-AQ491*0.0001,AO491))</f>
        <v>-972795.50694223284</v>
      </c>
    </row>
    <row r="492" spans="33:46" x14ac:dyDescent="0.55000000000000004">
      <c r="AG492">
        <f t="shared" si="54"/>
        <v>491</v>
      </c>
      <c r="AH492">
        <f t="shared" si="55"/>
        <v>0.7</v>
      </c>
      <c r="AI492">
        <f t="shared" si="56"/>
        <v>0.4</v>
      </c>
      <c r="AJ492">
        <f t="shared" si="57"/>
        <v>0.8</v>
      </c>
      <c r="AK492">
        <f t="shared" si="58"/>
        <v>10933.920000000002</v>
      </c>
      <c r="AL492">
        <f t="shared" si="59"/>
        <v>42520.799999999996</v>
      </c>
      <c r="AM492">
        <f>MIN(MAX(0,$B$10-AL492)*AI492,'Retirement Gap'!$B$29)</f>
        <v>7289.2800000000025</v>
      </c>
      <c r="AN492">
        <f>IF($E$40="B - Withdrawals + Roth conversions",AJ492*MAX(0,MIN($B$47-AL492,MIN($B$59,IRMAA!$C$16)-(AL492+$B$8*0.85+AK492*$B$46))),0)</f>
        <v>0</v>
      </c>
      <c r="AO492" cm="1">
        <f t="array" ref="AO492">_xlfn.LET(_xlpm.N,$B$49,_xlpm.R,$B$48,_xlpm.Start,$B$47,_xlpm.PlanWD,AL492,_xlpm.PlanRoth,AM492,_xlpm.PlanConv,AN492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33933.039999999994</v>
      </c>
      <c r="AP492" cm="1">
        <f t="array" ref="AP492">_xlfn.LET(_xlpm.N,$B$49,_xlpm.R,$B$48,_xlpm.Start,$B$47,_xlpm.PlanWD,AL492,_xlpm.PlanRoth,AM492,_xlpm.PlanConv,AN492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492" cm="1">
        <f t="array" ref="AQ492">_xlfn.LET(_xlpm.N,$B$49,_xlpm.R,$B$48,_xlpm.Start,$B$47,_xlpm.PlanWD,AL492,_xlpm.PlanRoth,AM492,_xlpm.PlanConv,AN492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972795.50694223284</v>
      </c>
      <c r="AR492" cm="1">
        <f t="array" ref="AR492">_xlfn.LET(_xlpm.N,$B$49,_xlpm.R,$B$48,_xlpm.Start,$B$47,_xlpm.PlanWD,AL492,_xlpm.PlanRoth,AM492,_xlpm.PlanConv,AN492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1012069.3251485301</v>
      </c>
      <c r="AS492">
        <f>--AND(AK492&lt;=SUM('Retirement Gap'!$B$24:$B$25,'Retirement Gap'!$B$27),AL492+AN492&lt;=$B$47,AM492&lt;='Retirement Gap'!$B$29,ABS(AK492+AL492+AM492-$B$10)&lt;1)</f>
        <v>1</v>
      </c>
      <c r="AT492" cm="1">
        <f t="array" ref="AT492">IF(AS492=0,1E+99,_xlfn.SWITCH(LEFT($E$39,1),"1",AO492,"2",AP492*1000000000+AO492,"3",-AQ492,"4",AO492+AP492*25000+AR492*0.005-AQ492*0.0001,AO492))</f>
        <v>-972795.50694223284</v>
      </c>
    </row>
    <row r="493" spans="33:46" x14ac:dyDescent="0.55000000000000004">
      <c r="AG493">
        <f t="shared" si="54"/>
        <v>492</v>
      </c>
      <c r="AH493">
        <f t="shared" si="55"/>
        <v>0.7</v>
      </c>
      <c r="AI493">
        <f t="shared" si="56"/>
        <v>0.4</v>
      </c>
      <c r="AJ493">
        <f t="shared" si="57"/>
        <v>1</v>
      </c>
      <c r="AK493">
        <f t="shared" si="58"/>
        <v>10933.920000000002</v>
      </c>
      <c r="AL493">
        <f t="shared" si="59"/>
        <v>42520.799999999996</v>
      </c>
      <c r="AM493">
        <f>MIN(MAX(0,$B$10-AL493)*AI493,'Retirement Gap'!$B$29)</f>
        <v>7289.2800000000025</v>
      </c>
      <c r="AN493">
        <f>IF($E$40="B - Withdrawals + Roth conversions",AJ493*MAX(0,MIN($B$47-AL493,MIN($B$59,IRMAA!$C$16)-(AL493+$B$8*0.85+AK493*$B$46))),0)</f>
        <v>0</v>
      </c>
      <c r="AO493" cm="1">
        <f t="array" ref="AO493">_xlfn.LET(_xlpm.N,$B$49,_xlpm.R,$B$48,_xlpm.Start,$B$47,_xlpm.PlanWD,AL493,_xlpm.PlanRoth,AM493,_xlpm.PlanConv,AN493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33933.039999999994</v>
      </c>
      <c r="AP493" cm="1">
        <f t="array" ref="AP493">_xlfn.LET(_xlpm.N,$B$49,_xlpm.R,$B$48,_xlpm.Start,$B$47,_xlpm.PlanWD,AL493,_xlpm.PlanRoth,AM493,_xlpm.PlanConv,AN493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493" cm="1">
        <f t="array" ref="AQ493">_xlfn.LET(_xlpm.N,$B$49,_xlpm.R,$B$48,_xlpm.Start,$B$47,_xlpm.PlanWD,AL493,_xlpm.PlanRoth,AM493,_xlpm.PlanConv,AN493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972795.50694223284</v>
      </c>
      <c r="AR493" cm="1">
        <f t="array" ref="AR493">_xlfn.LET(_xlpm.N,$B$49,_xlpm.R,$B$48,_xlpm.Start,$B$47,_xlpm.PlanWD,AL493,_xlpm.PlanRoth,AM493,_xlpm.PlanConv,AN493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1012069.3251485301</v>
      </c>
      <c r="AS493">
        <f>--AND(AK493&lt;=SUM('Retirement Gap'!$B$24:$B$25,'Retirement Gap'!$B$27),AL493+AN493&lt;=$B$47,AM493&lt;='Retirement Gap'!$B$29,ABS(AK493+AL493+AM493-$B$10)&lt;1)</f>
        <v>1</v>
      </c>
      <c r="AT493" cm="1">
        <f t="array" ref="AT493">IF(AS493=0,1E+99,_xlfn.SWITCH(LEFT($E$39,1),"1",AO493,"2",AP493*1000000000+AO493,"3",-AQ493,"4",AO493+AP493*25000+AR493*0.005-AQ493*0.0001,AO493))</f>
        <v>-972795.50694223284</v>
      </c>
    </row>
    <row r="494" spans="33:46" x14ac:dyDescent="0.55000000000000004">
      <c r="AG494">
        <f t="shared" si="54"/>
        <v>493</v>
      </c>
      <c r="AH494">
        <f t="shared" si="55"/>
        <v>0.7</v>
      </c>
      <c r="AI494">
        <f t="shared" si="56"/>
        <v>0.5</v>
      </c>
      <c r="AJ494">
        <f t="shared" si="57"/>
        <v>0</v>
      </c>
      <c r="AK494">
        <f t="shared" si="58"/>
        <v>9111.6000000000022</v>
      </c>
      <c r="AL494">
        <f t="shared" si="59"/>
        <v>42520.799999999996</v>
      </c>
      <c r="AM494">
        <f>MIN(MAX(0,$B$10-AL494)*AI494,'Retirement Gap'!$B$29)</f>
        <v>9111.6000000000022</v>
      </c>
      <c r="AN494">
        <f>IF($E$40="B - Withdrawals + Roth conversions",AJ494*MAX(0,MIN($B$47-AL494,MIN($B$59,IRMAA!$C$16)-(AL494+$B$8*0.85+AK494*$B$46))),0)</f>
        <v>0</v>
      </c>
      <c r="AO494" cm="1">
        <f t="array" ref="AO494">_xlfn.LET(_xlpm.N,$B$49,_xlpm.R,$B$48,_xlpm.Start,$B$47,_xlpm.PlanWD,AL494,_xlpm.PlanRoth,AM494,_xlpm.PlanConv,AN494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33933.039999999994</v>
      </c>
      <c r="AP494" cm="1">
        <f t="array" ref="AP494">_xlfn.LET(_xlpm.N,$B$49,_xlpm.R,$B$48,_xlpm.Start,$B$47,_xlpm.PlanWD,AL494,_xlpm.PlanRoth,AM494,_xlpm.PlanConv,AN494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494" cm="1">
        <f t="array" ref="AQ494">_xlfn.LET(_xlpm.N,$B$49,_xlpm.R,$B$48,_xlpm.Start,$B$47,_xlpm.PlanWD,AL494,_xlpm.PlanRoth,AM494,_xlpm.PlanConv,AN494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972795.50694223284</v>
      </c>
      <c r="AR494" cm="1">
        <f t="array" ref="AR494">_xlfn.LET(_xlpm.N,$B$49,_xlpm.R,$B$48,_xlpm.Start,$B$47,_xlpm.PlanWD,AL494,_xlpm.PlanRoth,AM494,_xlpm.PlanConv,AN494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1012069.3251485301</v>
      </c>
      <c r="AS494">
        <f>--AND(AK494&lt;=SUM('Retirement Gap'!$B$24:$B$25,'Retirement Gap'!$B$27),AL494+AN494&lt;=$B$47,AM494&lt;='Retirement Gap'!$B$29,ABS(AK494+AL494+AM494-$B$10)&lt;1)</f>
        <v>1</v>
      </c>
      <c r="AT494" cm="1">
        <f t="array" ref="AT494">IF(AS494=0,1E+99,_xlfn.SWITCH(LEFT($E$39,1),"1",AO494,"2",AP494*1000000000+AO494,"3",-AQ494,"4",AO494+AP494*25000+AR494*0.005-AQ494*0.0001,AO494))</f>
        <v>-972795.50694223284</v>
      </c>
    </row>
    <row r="495" spans="33:46" x14ac:dyDescent="0.55000000000000004">
      <c r="AG495">
        <f t="shared" si="54"/>
        <v>494</v>
      </c>
      <c r="AH495">
        <f t="shared" si="55"/>
        <v>0.7</v>
      </c>
      <c r="AI495">
        <f t="shared" si="56"/>
        <v>0.5</v>
      </c>
      <c r="AJ495">
        <f t="shared" si="57"/>
        <v>0.2</v>
      </c>
      <c r="AK495">
        <f t="shared" si="58"/>
        <v>9111.6000000000022</v>
      </c>
      <c r="AL495">
        <f t="shared" si="59"/>
        <v>42520.799999999996</v>
      </c>
      <c r="AM495">
        <f>MIN(MAX(0,$B$10-AL495)*AI495,'Retirement Gap'!$B$29)</f>
        <v>9111.6000000000022</v>
      </c>
      <c r="AN495">
        <f>IF($E$40="B - Withdrawals + Roth conversions",AJ495*MAX(0,MIN($B$47-AL495,MIN($B$59,IRMAA!$C$16)-(AL495+$B$8*0.85+AK495*$B$46))),0)</f>
        <v>0</v>
      </c>
      <c r="AO495" cm="1">
        <f t="array" ref="AO495">_xlfn.LET(_xlpm.N,$B$49,_xlpm.R,$B$48,_xlpm.Start,$B$47,_xlpm.PlanWD,AL495,_xlpm.PlanRoth,AM495,_xlpm.PlanConv,AN495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33933.039999999994</v>
      </c>
      <c r="AP495" cm="1">
        <f t="array" ref="AP495">_xlfn.LET(_xlpm.N,$B$49,_xlpm.R,$B$48,_xlpm.Start,$B$47,_xlpm.PlanWD,AL495,_xlpm.PlanRoth,AM495,_xlpm.PlanConv,AN495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495" cm="1">
        <f t="array" ref="AQ495">_xlfn.LET(_xlpm.N,$B$49,_xlpm.R,$B$48,_xlpm.Start,$B$47,_xlpm.PlanWD,AL495,_xlpm.PlanRoth,AM495,_xlpm.PlanConv,AN495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972795.50694223284</v>
      </c>
      <c r="AR495" cm="1">
        <f t="array" ref="AR495">_xlfn.LET(_xlpm.N,$B$49,_xlpm.R,$B$48,_xlpm.Start,$B$47,_xlpm.PlanWD,AL495,_xlpm.PlanRoth,AM495,_xlpm.PlanConv,AN495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1012069.3251485301</v>
      </c>
      <c r="AS495">
        <f>--AND(AK495&lt;=SUM('Retirement Gap'!$B$24:$B$25,'Retirement Gap'!$B$27),AL495+AN495&lt;=$B$47,AM495&lt;='Retirement Gap'!$B$29,ABS(AK495+AL495+AM495-$B$10)&lt;1)</f>
        <v>1</v>
      </c>
      <c r="AT495" cm="1">
        <f t="array" ref="AT495">IF(AS495=0,1E+99,_xlfn.SWITCH(LEFT($E$39,1),"1",AO495,"2",AP495*1000000000+AO495,"3",-AQ495,"4",AO495+AP495*25000+AR495*0.005-AQ495*0.0001,AO495))</f>
        <v>-972795.50694223284</v>
      </c>
    </row>
    <row r="496" spans="33:46" x14ac:dyDescent="0.55000000000000004">
      <c r="AG496">
        <f t="shared" si="54"/>
        <v>495</v>
      </c>
      <c r="AH496">
        <f t="shared" si="55"/>
        <v>0.7</v>
      </c>
      <c r="AI496">
        <f t="shared" si="56"/>
        <v>0.5</v>
      </c>
      <c r="AJ496">
        <f t="shared" si="57"/>
        <v>0.4</v>
      </c>
      <c r="AK496">
        <f t="shared" si="58"/>
        <v>9111.6000000000022</v>
      </c>
      <c r="AL496">
        <f t="shared" si="59"/>
        <v>42520.799999999996</v>
      </c>
      <c r="AM496">
        <f>MIN(MAX(0,$B$10-AL496)*AI496,'Retirement Gap'!$B$29)</f>
        <v>9111.6000000000022</v>
      </c>
      <c r="AN496">
        <f>IF($E$40="B - Withdrawals + Roth conversions",AJ496*MAX(0,MIN($B$47-AL496,MIN($B$59,IRMAA!$C$16)-(AL496+$B$8*0.85+AK496*$B$46))),0)</f>
        <v>0</v>
      </c>
      <c r="AO496" cm="1">
        <f t="array" ref="AO496">_xlfn.LET(_xlpm.N,$B$49,_xlpm.R,$B$48,_xlpm.Start,$B$47,_xlpm.PlanWD,AL496,_xlpm.PlanRoth,AM496,_xlpm.PlanConv,AN496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33933.039999999994</v>
      </c>
      <c r="AP496" cm="1">
        <f t="array" ref="AP496">_xlfn.LET(_xlpm.N,$B$49,_xlpm.R,$B$48,_xlpm.Start,$B$47,_xlpm.PlanWD,AL496,_xlpm.PlanRoth,AM496,_xlpm.PlanConv,AN496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496" cm="1">
        <f t="array" ref="AQ496">_xlfn.LET(_xlpm.N,$B$49,_xlpm.R,$B$48,_xlpm.Start,$B$47,_xlpm.PlanWD,AL496,_xlpm.PlanRoth,AM496,_xlpm.PlanConv,AN496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972795.50694223284</v>
      </c>
      <c r="AR496" cm="1">
        <f t="array" ref="AR496">_xlfn.LET(_xlpm.N,$B$49,_xlpm.R,$B$48,_xlpm.Start,$B$47,_xlpm.PlanWD,AL496,_xlpm.PlanRoth,AM496,_xlpm.PlanConv,AN496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1012069.3251485301</v>
      </c>
      <c r="AS496">
        <f>--AND(AK496&lt;=SUM('Retirement Gap'!$B$24:$B$25,'Retirement Gap'!$B$27),AL496+AN496&lt;=$B$47,AM496&lt;='Retirement Gap'!$B$29,ABS(AK496+AL496+AM496-$B$10)&lt;1)</f>
        <v>1</v>
      </c>
      <c r="AT496" cm="1">
        <f t="array" ref="AT496">IF(AS496=0,1E+99,_xlfn.SWITCH(LEFT($E$39,1),"1",AO496,"2",AP496*1000000000+AO496,"3",-AQ496,"4",AO496+AP496*25000+AR496*0.005-AQ496*0.0001,AO496))</f>
        <v>-972795.50694223284</v>
      </c>
    </row>
    <row r="497" spans="33:46" x14ac:dyDescent="0.55000000000000004">
      <c r="AG497">
        <f t="shared" si="54"/>
        <v>496</v>
      </c>
      <c r="AH497">
        <f t="shared" si="55"/>
        <v>0.7</v>
      </c>
      <c r="AI497">
        <f t="shared" si="56"/>
        <v>0.5</v>
      </c>
      <c r="AJ497">
        <f t="shared" si="57"/>
        <v>0.6</v>
      </c>
      <c r="AK497">
        <f t="shared" si="58"/>
        <v>9111.6000000000022</v>
      </c>
      <c r="AL497">
        <f t="shared" si="59"/>
        <v>42520.799999999996</v>
      </c>
      <c r="AM497">
        <f>MIN(MAX(0,$B$10-AL497)*AI497,'Retirement Gap'!$B$29)</f>
        <v>9111.6000000000022</v>
      </c>
      <c r="AN497">
        <f>IF($E$40="B - Withdrawals + Roth conversions",AJ497*MAX(0,MIN($B$47-AL497,MIN($B$59,IRMAA!$C$16)-(AL497+$B$8*0.85+AK497*$B$46))),0)</f>
        <v>0</v>
      </c>
      <c r="AO497" cm="1">
        <f t="array" ref="AO497">_xlfn.LET(_xlpm.N,$B$49,_xlpm.R,$B$48,_xlpm.Start,$B$47,_xlpm.PlanWD,AL497,_xlpm.PlanRoth,AM497,_xlpm.PlanConv,AN497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33933.039999999994</v>
      </c>
      <c r="AP497" cm="1">
        <f t="array" ref="AP497">_xlfn.LET(_xlpm.N,$B$49,_xlpm.R,$B$48,_xlpm.Start,$B$47,_xlpm.PlanWD,AL497,_xlpm.PlanRoth,AM497,_xlpm.PlanConv,AN497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497" cm="1">
        <f t="array" ref="AQ497">_xlfn.LET(_xlpm.N,$B$49,_xlpm.R,$B$48,_xlpm.Start,$B$47,_xlpm.PlanWD,AL497,_xlpm.PlanRoth,AM497,_xlpm.PlanConv,AN497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972795.50694223284</v>
      </c>
      <c r="AR497" cm="1">
        <f t="array" ref="AR497">_xlfn.LET(_xlpm.N,$B$49,_xlpm.R,$B$48,_xlpm.Start,$B$47,_xlpm.PlanWD,AL497,_xlpm.PlanRoth,AM497,_xlpm.PlanConv,AN497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1012069.3251485301</v>
      </c>
      <c r="AS497">
        <f>--AND(AK497&lt;=SUM('Retirement Gap'!$B$24:$B$25,'Retirement Gap'!$B$27),AL497+AN497&lt;=$B$47,AM497&lt;='Retirement Gap'!$B$29,ABS(AK497+AL497+AM497-$B$10)&lt;1)</f>
        <v>1</v>
      </c>
      <c r="AT497" cm="1">
        <f t="array" ref="AT497">IF(AS497=0,1E+99,_xlfn.SWITCH(LEFT($E$39,1),"1",AO497,"2",AP497*1000000000+AO497,"3",-AQ497,"4",AO497+AP497*25000+AR497*0.005-AQ497*0.0001,AO497))</f>
        <v>-972795.50694223284</v>
      </c>
    </row>
    <row r="498" spans="33:46" x14ac:dyDescent="0.55000000000000004">
      <c r="AG498">
        <f t="shared" si="54"/>
        <v>497</v>
      </c>
      <c r="AH498">
        <f t="shared" si="55"/>
        <v>0.7</v>
      </c>
      <c r="AI498">
        <f t="shared" si="56"/>
        <v>0.5</v>
      </c>
      <c r="AJ498">
        <f t="shared" si="57"/>
        <v>0.8</v>
      </c>
      <c r="AK498">
        <f t="shared" si="58"/>
        <v>9111.6000000000022</v>
      </c>
      <c r="AL498">
        <f t="shared" si="59"/>
        <v>42520.799999999996</v>
      </c>
      <c r="AM498">
        <f>MIN(MAX(0,$B$10-AL498)*AI498,'Retirement Gap'!$B$29)</f>
        <v>9111.6000000000022</v>
      </c>
      <c r="AN498">
        <f>IF($E$40="B - Withdrawals + Roth conversions",AJ498*MAX(0,MIN($B$47-AL498,MIN($B$59,IRMAA!$C$16)-(AL498+$B$8*0.85+AK498*$B$46))),0)</f>
        <v>0</v>
      </c>
      <c r="AO498" cm="1">
        <f t="array" ref="AO498">_xlfn.LET(_xlpm.N,$B$49,_xlpm.R,$B$48,_xlpm.Start,$B$47,_xlpm.PlanWD,AL498,_xlpm.PlanRoth,AM498,_xlpm.PlanConv,AN498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33933.039999999994</v>
      </c>
      <c r="AP498" cm="1">
        <f t="array" ref="AP498">_xlfn.LET(_xlpm.N,$B$49,_xlpm.R,$B$48,_xlpm.Start,$B$47,_xlpm.PlanWD,AL498,_xlpm.PlanRoth,AM498,_xlpm.PlanConv,AN498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498" cm="1">
        <f t="array" ref="AQ498">_xlfn.LET(_xlpm.N,$B$49,_xlpm.R,$B$48,_xlpm.Start,$B$47,_xlpm.PlanWD,AL498,_xlpm.PlanRoth,AM498,_xlpm.PlanConv,AN498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972795.50694223284</v>
      </c>
      <c r="AR498" cm="1">
        <f t="array" ref="AR498">_xlfn.LET(_xlpm.N,$B$49,_xlpm.R,$B$48,_xlpm.Start,$B$47,_xlpm.PlanWD,AL498,_xlpm.PlanRoth,AM498,_xlpm.PlanConv,AN498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1012069.3251485301</v>
      </c>
      <c r="AS498">
        <f>--AND(AK498&lt;=SUM('Retirement Gap'!$B$24:$B$25,'Retirement Gap'!$B$27),AL498+AN498&lt;=$B$47,AM498&lt;='Retirement Gap'!$B$29,ABS(AK498+AL498+AM498-$B$10)&lt;1)</f>
        <v>1</v>
      </c>
      <c r="AT498" cm="1">
        <f t="array" ref="AT498">IF(AS498=0,1E+99,_xlfn.SWITCH(LEFT($E$39,1),"1",AO498,"2",AP498*1000000000+AO498,"3",-AQ498,"4",AO498+AP498*25000+AR498*0.005-AQ498*0.0001,AO498))</f>
        <v>-972795.50694223284</v>
      </c>
    </row>
    <row r="499" spans="33:46" x14ac:dyDescent="0.55000000000000004">
      <c r="AG499">
        <f t="shared" si="54"/>
        <v>498</v>
      </c>
      <c r="AH499">
        <f t="shared" si="55"/>
        <v>0.7</v>
      </c>
      <c r="AI499">
        <f t="shared" si="56"/>
        <v>0.5</v>
      </c>
      <c r="AJ499">
        <f t="shared" si="57"/>
        <v>1</v>
      </c>
      <c r="AK499">
        <f t="shared" si="58"/>
        <v>9111.6000000000022</v>
      </c>
      <c r="AL499">
        <f t="shared" si="59"/>
        <v>42520.799999999996</v>
      </c>
      <c r="AM499">
        <f>MIN(MAX(0,$B$10-AL499)*AI499,'Retirement Gap'!$B$29)</f>
        <v>9111.6000000000022</v>
      </c>
      <c r="AN499">
        <f>IF($E$40="B - Withdrawals + Roth conversions",AJ499*MAX(0,MIN($B$47-AL499,MIN($B$59,IRMAA!$C$16)-(AL499+$B$8*0.85+AK499*$B$46))),0)</f>
        <v>0</v>
      </c>
      <c r="AO499" cm="1">
        <f t="array" ref="AO499">_xlfn.LET(_xlpm.N,$B$49,_xlpm.R,$B$48,_xlpm.Start,$B$47,_xlpm.PlanWD,AL499,_xlpm.PlanRoth,AM499,_xlpm.PlanConv,AN499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33933.039999999994</v>
      </c>
      <c r="AP499" cm="1">
        <f t="array" ref="AP499">_xlfn.LET(_xlpm.N,$B$49,_xlpm.R,$B$48,_xlpm.Start,$B$47,_xlpm.PlanWD,AL499,_xlpm.PlanRoth,AM499,_xlpm.PlanConv,AN499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499" cm="1">
        <f t="array" ref="AQ499">_xlfn.LET(_xlpm.N,$B$49,_xlpm.R,$B$48,_xlpm.Start,$B$47,_xlpm.PlanWD,AL499,_xlpm.PlanRoth,AM499,_xlpm.PlanConv,AN499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972795.50694223284</v>
      </c>
      <c r="AR499" cm="1">
        <f t="array" ref="AR499">_xlfn.LET(_xlpm.N,$B$49,_xlpm.R,$B$48,_xlpm.Start,$B$47,_xlpm.PlanWD,AL499,_xlpm.PlanRoth,AM499,_xlpm.PlanConv,AN499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1012069.3251485301</v>
      </c>
      <c r="AS499">
        <f>--AND(AK499&lt;=SUM('Retirement Gap'!$B$24:$B$25,'Retirement Gap'!$B$27),AL499+AN499&lt;=$B$47,AM499&lt;='Retirement Gap'!$B$29,ABS(AK499+AL499+AM499-$B$10)&lt;1)</f>
        <v>1</v>
      </c>
      <c r="AT499" cm="1">
        <f t="array" ref="AT499">IF(AS499=0,1E+99,_xlfn.SWITCH(LEFT($E$39,1),"1",AO499,"2",AP499*1000000000+AO499,"3",-AQ499,"4",AO499+AP499*25000+AR499*0.005-AQ499*0.0001,AO499))</f>
        <v>-972795.50694223284</v>
      </c>
    </row>
    <row r="500" spans="33:46" x14ac:dyDescent="0.55000000000000004">
      <c r="AG500">
        <f t="shared" si="54"/>
        <v>499</v>
      </c>
      <c r="AH500">
        <f t="shared" si="55"/>
        <v>0.7</v>
      </c>
      <c r="AI500">
        <f t="shared" si="56"/>
        <v>0.6</v>
      </c>
      <c r="AJ500">
        <f t="shared" si="57"/>
        <v>0</v>
      </c>
      <c r="AK500">
        <f t="shared" si="58"/>
        <v>7372.9216334164885</v>
      </c>
      <c r="AL500">
        <f t="shared" si="59"/>
        <v>42520.799999999996</v>
      </c>
      <c r="AM500">
        <f>MIN(MAX(0,$B$10-AL500)*AI500,'Retirement Gap'!$B$29)</f>
        <v>10850.278366583516</v>
      </c>
      <c r="AN500">
        <f>IF($E$40="B - Withdrawals + Roth conversions",AJ500*MAX(0,MIN($B$47-AL500,MIN($B$59,IRMAA!$C$16)-(AL500+$B$8*0.85+AK500*$B$46))),0)</f>
        <v>0</v>
      </c>
      <c r="AO500" cm="1">
        <f t="array" ref="AO500">_xlfn.LET(_xlpm.N,$B$49,_xlpm.R,$B$48,_xlpm.Start,$B$47,_xlpm.PlanWD,AL500,_xlpm.PlanRoth,AM500,_xlpm.PlanConv,AN500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33933.039999999994</v>
      </c>
      <c r="AP500" cm="1">
        <f t="array" ref="AP500">_xlfn.LET(_xlpm.N,$B$49,_xlpm.R,$B$48,_xlpm.Start,$B$47,_xlpm.PlanWD,AL500,_xlpm.PlanRoth,AM500,_xlpm.PlanConv,AN500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500" cm="1">
        <f t="array" ref="AQ500">_xlfn.LET(_xlpm.N,$B$49,_xlpm.R,$B$48,_xlpm.Start,$B$47,_xlpm.PlanWD,AL500,_xlpm.PlanRoth,AM500,_xlpm.PlanConv,AN500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972795.50694223284</v>
      </c>
      <c r="AR500" cm="1">
        <f t="array" ref="AR500">_xlfn.LET(_xlpm.N,$B$49,_xlpm.R,$B$48,_xlpm.Start,$B$47,_xlpm.PlanWD,AL500,_xlpm.PlanRoth,AM500,_xlpm.PlanConv,AN500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1012069.3251485301</v>
      </c>
      <c r="AS500">
        <f>--AND(AK500&lt;=SUM('Retirement Gap'!$B$24:$B$25,'Retirement Gap'!$B$27),AL500+AN500&lt;=$B$47,AM500&lt;='Retirement Gap'!$B$29,ABS(AK500+AL500+AM500-$B$10)&lt;1)</f>
        <v>1</v>
      </c>
      <c r="AT500" cm="1">
        <f t="array" ref="AT500">IF(AS500=0,1E+99,_xlfn.SWITCH(LEFT($E$39,1),"1",AO500,"2",AP500*1000000000+AO500,"3",-AQ500,"4",AO500+AP500*25000+AR500*0.005-AQ500*0.0001,AO500))</f>
        <v>-972795.50694223284</v>
      </c>
    </row>
    <row r="501" spans="33:46" x14ac:dyDescent="0.55000000000000004">
      <c r="AG501">
        <f t="shared" si="54"/>
        <v>500</v>
      </c>
      <c r="AH501">
        <f t="shared" si="55"/>
        <v>0.7</v>
      </c>
      <c r="AI501">
        <f t="shared" si="56"/>
        <v>0.6</v>
      </c>
      <c r="AJ501">
        <f t="shared" si="57"/>
        <v>0.2</v>
      </c>
      <c r="AK501">
        <f t="shared" si="58"/>
        <v>7372.9216334164885</v>
      </c>
      <c r="AL501">
        <f t="shared" si="59"/>
        <v>42520.799999999996</v>
      </c>
      <c r="AM501">
        <f>MIN(MAX(0,$B$10-AL501)*AI501,'Retirement Gap'!$B$29)</f>
        <v>10850.278366583516</v>
      </c>
      <c r="AN501">
        <f>IF($E$40="B - Withdrawals + Roth conversions",AJ501*MAX(0,MIN($B$47-AL501,MIN($B$59,IRMAA!$C$16)-(AL501+$B$8*0.85+AK501*$B$46))),0)</f>
        <v>0</v>
      </c>
      <c r="AO501" cm="1">
        <f t="array" ref="AO501">_xlfn.LET(_xlpm.N,$B$49,_xlpm.R,$B$48,_xlpm.Start,$B$47,_xlpm.PlanWD,AL501,_xlpm.PlanRoth,AM501,_xlpm.PlanConv,AN501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33933.039999999994</v>
      </c>
      <c r="AP501" cm="1">
        <f t="array" ref="AP501">_xlfn.LET(_xlpm.N,$B$49,_xlpm.R,$B$48,_xlpm.Start,$B$47,_xlpm.PlanWD,AL501,_xlpm.PlanRoth,AM501,_xlpm.PlanConv,AN501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501" cm="1">
        <f t="array" ref="AQ501">_xlfn.LET(_xlpm.N,$B$49,_xlpm.R,$B$48,_xlpm.Start,$B$47,_xlpm.PlanWD,AL501,_xlpm.PlanRoth,AM501,_xlpm.PlanConv,AN501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972795.50694223284</v>
      </c>
      <c r="AR501" cm="1">
        <f t="array" ref="AR501">_xlfn.LET(_xlpm.N,$B$49,_xlpm.R,$B$48,_xlpm.Start,$B$47,_xlpm.PlanWD,AL501,_xlpm.PlanRoth,AM501,_xlpm.PlanConv,AN501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1012069.3251485301</v>
      </c>
      <c r="AS501">
        <f>--AND(AK501&lt;=SUM('Retirement Gap'!$B$24:$B$25,'Retirement Gap'!$B$27),AL501+AN501&lt;=$B$47,AM501&lt;='Retirement Gap'!$B$29,ABS(AK501+AL501+AM501-$B$10)&lt;1)</f>
        <v>1</v>
      </c>
      <c r="AT501" cm="1">
        <f t="array" ref="AT501">IF(AS501=0,1E+99,_xlfn.SWITCH(LEFT($E$39,1),"1",AO501,"2",AP501*1000000000+AO501,"3",-AQ501,"4",AO501+AP501*25000+AR501*0.005-AQ501*0.0001,AO501))</f>
        <v>-972795.50694223284</v>
      </c>
    </row>
    <row r="502" spans="33:46" x14ac:dyDescent="0.55000000000000004">
      <c r="AG502">
        <f t="shared" si="54"/>
        <v>501</v>
      </c>
      <c r="AH502">
        <f t="shared" si="55"/>
        <v>0.7</v>
      </c>
      <c r="AI502">
        <f t="shared" si="56"/>
        <v>0.6</v>
      </c>
      <c r="AJ502">
        <f t="shared" si="57"/>
        <v>0.4</v>
      </c>
      <c r="AK502">
        <f t="shared" si="58"/>
        <v>7372.9216334164885</v>
      </c>
      <c r="AL502">
        <f t="shared" si="59"/>
        <v>42520.799999999996</v>
      </c>
      <c r="AM502">
        <f>MIN(MAX(0,$B$10-AL502)*AI502,'Retirement Gap'!$B$29)</f>
        <v>10850.278366583516</v>
      </c>
      <c r="AN502">
        <f>IF($E$40="B - Withdrawals + Roth conversions",AJ502*MAX(0,MIN($B$47-AL502,MIN($B$59,IRMAA!$C$16)-(AL502+$B$8*0.85+AK502*$B$46))),0)</f>
        <v>0</v>
      </c>
      <c r="AO502" cm="1">
        <f t="array" ref="AO502">_xlfn.LET(_xlpm.N,$B$49,_xlpm.R,$B$48,_xlpm.Start,$B$47,_xlpm.PlanWD,AL502,_xlpm.PlanRoth,AM502,_xlpm.PlanConv,AN502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33933.039999999994</v>
      </c>
      <c r="AP502" cm="1">
        <f t="array" ref="AP502">_xlfn.LET(_xlpm.N,$B$49,_xlpm.R,$B$48,_xlpm.Start,$B$47,_xlpm.PlanWD,AL502,_xlpm.PlanRoth,AM502,_xlpm.PlanConv,AN502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502" cm="1">
        <f t="array" ref="AQ502">_xlfn.LET(_xlpm.N,$B$49,_xlpm.R,$B$48,_xlpm.Start,$B$47,_xlpm.PlanWD,AL502,_xlpm.PlanRoth,AM502,_xlpm.PlanConv,AN502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972795.50694223284</v>
      </c>
      <c r="AR502" cm="1">
        <f t="array" ref="AR502">_xlfn.LET(_xlpm.N,$B$49,_xlpm.R,$B$48,_xlpm.Start,$B$47,_xlpm.PlanWD,AL502,_xlpm.PlanRoth,AM502,_xlpm.PlanConv,AN502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1012069.3251485301</v>
      </c>
      <c r="AS502">
        <f>--AND(AK502&lt;=SUM('Retirement Gap'!$B$24:$B$25,'Retirement Gap'!$B$27),AL502+AN502&lt;=$B$47,AM502&lt;='Retirement Gap'!$B$29,ABS(AK502+AL502+AM502-$B$10)&lt;1)</f>
        <v>1</v>
      </c>
      <c r="AT502" cm="1">
        <f t="array" ref="AT502">IF(AS502=0,1E+99,_xlfn.SWITCH(LEFT($E$39,1),"1",AO502,"2",AP502*1000000000+AO502,"3",-AQ502,"4",AO502+AP502*25000+AR502*0.005-AQ502*0.0001,AO502))</f>
        <v>-972795.50694223284</v>
      </c>
    </row>
    <row r="503" spans="33:46" x14ac:dyDescent="0.55000000000000004">
      <c r="AG503">
        <f t="shared" si="54"/>
        <v>502</v>
      </c>
      <c r="AH503">
        <f t="shared" si="55"/>
        <v>0.7</v>
      </c>
      <c r="AI503">
        <f t="shared" si="56"/>
        <v>0.6</v>
      </c>
      <c r="AJ503">
        <f t="shared" si="57"/>
        <v>0.6</v>
      </c>
      <c r="AK503">
        <f t="shared" si="58"/>
        <v>7372.9216334164885</v>
      </c>
      <c r="AL503">
        <f t="shared" si="59"/>
        <v>42520.799999999996</v>
      </c>
      <c r="AM503">
        <f>MIN(MAX(0,$B$10-AL503)*AI503,'Retirement Gap'!$B$29)</f>
        <v>10850.278366583516</v>
      </c>
      <c r="AN503">
        <f>IF($E$40="B - Withdrawals + Roth conversions",AJ503*MAX(0,MIN($B$47-AL503,MIN($B$59,IRMAA!$C$16)-(AL503+$B$8*0.85+AK503*$B$46))),0)</f>
        <v>0</v>
      </c>
      <c r="AO503" cm="1">
        <f t="array" ref="AO503">_xlfn.LET(_xlpm.N,$B$49,_xlpm.R,$B$48,_xlpm.Start,$B$47,_xlpm.PlanWD,AL503,_xlpm.PlanRoth,AM503,_xlpm.PlanConv,AN503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33933.039999999994</v>
      </c>
      <c r="AP503" cm="1">
        <f t="array" ref="AP503">_xlfn.LET(_xlpm.N,$B$49,_xlpm.R,$B$48,_xlpm.Start,$B$47,_xlpm.PlanWD,AL503,_xlpm.PlanRoth,AM503,_xlpm.PlanConv,AN503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503" cm="1">
        <f t="array" ref="AQ503">_xlfn.LET(_xlpm.N,$B$49,_xlpm.R,$B$48,_xlpm.Start,$B$47,_xlpm.PlanWD,AL503,_xlpm.PlanRoth,AM503,_xlpm.PlanConv,AN503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972795.50694223284</v>
      </c>
      <c r="AR503" cm="1">
        <f t="array" ref="AR503">_xlfn.LET(_xlpm.N,$B$49,_xlpm.R,$B$48,_xlpm.Start,$B$47,_xlpm.PlanWD,AL503,_xlpm.PlanRoth,AM503,_xlpm.PlanConv,AN503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1012069.3251485301</v>
      </c>
      <c r="AS503">
        <f>--AND(AK503&lt;=SUM('Retirement Gap'!$B$24:$B$25,'Retirement Gap'!$B$27),AL503+AN503&lt;=$B$47,AM503&lt;='Retirement Gap'!$B$29,ABS(AK503+AL503+AM503-$B$10)&lt;1)</f>
        <v>1</v>
      </c>
      <c r="AT503" cm="1">
        <f t="array" ref="AT503">IF(AS503=0,1E+99,_xlfn.SWITCH(LEFT($E$39,1),"1",AO503,"2",AP503*1000000000+AO503,"3",-AQ503,"4",AO503+AP503*25000+AR503*0.005-AQ503*0.0001,AO503))</f>
        <v>-972795.50694223284</v>
      </c>
    </row>
    <row r="504" spans="33:46" x14ac:dyDescent="0.55000000000000004">
      <c r="AG504">
        <f t="shared" si="54"/>
        <v>503</v>
      </c>
      <c r="AH504">
        <f t="shared" si="55"/>
        <v>0.7</v>
      </c>
      <c r="AI504">
        <f t="shared" si="56"/>
        <v>0.6</v>
      </c>
      <c r="AJ504">
        <f t="shared" si="57"/>
        <v>0.8</v>
      </c>
      <c r="AK504">
        <f t="shared" si="58"/>
        <v>7372.9216334164885</v>
      </c>
      <c r="AL504">
        <f t="shared" si="59"/>
        <v>42520.799999999996</v>
      </c>
      <c r="AM504">
        <f>MIN(MAX(0,$B$10-AL504)*AI504,'Retirement Gap'!$B$29)</f>
        <v>10850.278366583516</v>
      </c>
      <c r="AN504">
        <f>IF($E$40="B - Withdrawals + Roth conversions",AJ504*MAX(0,MIN($B$47-AL504,MIN($B$59,IRMAA!$C$16)-(AL504+$B$8*0.85+AK504*$B$46))),0)</f>
        <v>0</v>
      </c>
      <c r="AO504" cm="1">
        <f t="array" ref="AO504">_xlfn.LET(_xlpm.N,$B$49,_xlpm.R,$B$48,_xlpm.Start,$B$47,_xlpm.PlanWD,AL504,_xlpm.PlanRoth,AM504,_xlpm.PlanConv,AN504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33933.039999999994</v>
      </c>
      <c r="AP504" cm="1">
        <f t="array" ref="AP504">_xlfn.LET(_xlpm.N,$B$49,_xlpm.R,$B$48,_xlpm.Start,$B$47,_xlpm.PlanWD,AL504,_xlpm.PlanRoth,AM504,_xlpm.PlanConv,AN504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504" cm="1">
        <f t="array" ref="AQ504">_xlfn.LET(_xlpm.N,$B$49,_xlpm.R,$B$48,_xlpm.Start,$B$47,_xlpm.PlanWD,AL504,_xlpm.PlanRoth,AM504,_xlpm.PlanConv,AN504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972795.50694223284</v>
      </c>
      <c r="AR504" cm="1">
        <f t="array" ref="AR504">_xlfn.LET(_xlpm.N,$B$49,_xlpm.R,$B$48,_xlpm.Start,$B$47,_xlpm.PlanWD,AL504,_xlpm.PlanRoth,AM504,_xlpm.PlanConv,AN504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1012069.3251485301</v>
      </c>
      <c r="AS504">
        <f>--AND(AK504&lt;=SUM('Retirement Gap'!$B$24:$B$25,'Retirement Gap'!$B$27),AL504+AN504&lt;=$B$47,AM504&lt;='Retirement Gap'!$B$29,ABS(AK504+AL504+AM504-$B$10)&lt;1)</f>
        <v>1</v>
      </c>
      <c r="AT504" cm="1">
        <f t="array" ref="AT504">IF(AS504=0,1E+99,_xlfn.SWITCH(LEFT($E$39,1),"1",AO504,"2",AP504*1000000000+AO504,"3",-AQ504,"4",AO504+AP504*25000+AR504*0.005-AQ504*0.0001,AO504))</f>
        <v>-972795.50694223284</v>
      </c>
    </row>
    <row r="505" spans="33:46" x14ac:dyDescent="0.55000000000000004">
      <c r="AG505">
        <f t="shared" si="54"/>
        <v>504</v>
      </c>
      <c r="AH505">
        <f t="shared" si="55"/>
        <v>0.7</v>
      </c>
      <c r="AI505">
        <f t="shared" si="56"/>
        <v>0.6</v>
      </c>
      <c r="AJ505">
        <f t="shared" si="57"/>
        <v>1</v>
      </c>
      <c r="AK505">
        <f t="shared" si="58"/>
        <v>7372.9216334164885</v>
      </c>
      <c r="AL505">
        <f t="shared" si="59"/>
        <v>42520.799999999996</v>
      </c>
      <c r="AM505">
        <f>MIN(MAX(0,$B$10-AL505)*AI505,'Retirement Gap'!$B$29)</f>
        <v>10850.278366583516</v>
      </c>
      <c r="AN505">
        <f>IF($E$40="B - Withdrawals + Roth conversions",AJ505*MAX(0,MIN($B$47-AL505,MIN($B$59,IRMAA!$C$16)-(AL505+$B$8*0.85+AK505*$B$46))),0)</f>
        <v>0</v>
      </c>
      <c r="AO505" cm="1">
        <f t="array" ref="AO505">_xlfn.LET(_xlpm.N,$B$49,_xlpm.R,$B$48,_xlpm.Start,$B$47,_xlpm.PlanWD,AL505,_xlpm.PlanRoth,AM505,_xlpm.PlanConv,AN505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33933.039999999994</v>
      </c>
      <c r="AP505" cm="1">
        <f t="array" ref="AP505">_xlfn.LET(_xlpm.N,$B$49,_xlpm.R,$B$48,_xlpm.Start,$B$47,_xlpm.PlanWD,AL505,_xlpm.PlanRoth,AM505,_xlpm.PlanConv,AN505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505" cm="1">
        <f t="array" ref="AQ505">_xlfn.LET(_xlpm.N,$B$49,_xlpm.R,$B$48,_xlpm.Start,$B$47,_xlpm.PlanWD,AL505,_xlpm.PlanRoth,AM505,_xlpm.PlanConv,AN505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972795.50694223284</v>
      </c>
      <c r="AR505" cm="1">
        <f t="array" ref="AR505">_xlfn.LET(_xlpm.N,$B$49,_xlpm.R,$B$48,_xlpm.Start,$B$47,_xlpm.PlanWD,AL505,_xlpm.PlanRoth,AM505,_xlpm.PlanConv,AN505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1012069.3251485301</v>
      </c>
      <c r="AS505">
        <f>--AND(AK505&lt;=SUM('Retirement Gap'!$B$24:$B$25,'Retirement Gap'!$B$27),AL505+AN505&lt;=$B$47,AM505&lt;='Retirement Gap'!$B$29,ABS(AK505+AL505+AM505-$B$10)&lt;1)</f>
        <v>1</v>
      </c>
      <c r="AT505" cm="1">
        <f t="array" ref="AT505">IF(AS505=0,1E+99,_xlfn.SWITCH(LEFT($E$39,1),"1",AO505,"2",AP505*1000000000+AO505,"3",-AQ505,"4",AO505+AP505*25000+AR505*0.005-AQ505*0.0001,AO505))</f>
        <v>-972795.50694223284</v>
      </c>
    </row>
    <row r="506" spans="33:46" x14ac:dyDescent="0.55000000000000004">
      <c r="AG506">
        <f t="shared" si="54"/>
        <v>505</v>
      </c>
      <c r="AH506">
        <f t="shared" si="55"/>
        <v>0.7</v>
      </c>
      <c r="AI506">
        <f t="shared" si="56"/>
        <v>0.7</v>
      </c>
      <c r="AJ506">
        <f t="shared" si="57"/>
        <v>0</v>
      </c>
      <c r="AK506">
        <f t="shared" si="58"/>
        <v>7372.9216334164885</v>
      </c>
      <c r="AL506">
        <f t="shared" si="59"/>
        <v>42520.799999999996</v>
      </c>
      <c r="AM506">
        <f>MIN(MAX(0,$B$10-AL506)*AI506,'Retirement Gap'!$B$29)</f>
        <v>10850.278366583516</v>
      </c>
      <c r="AN506">
        <f>IF($E$40="B - Withdrawals + Roth conversions",AJ506*MAX(0,MIN($B$47-AL506,MIN($B$59,IRMAA!$C$16)-(AL506+$B$8*0.85+AK506*$B$46))),0)</f>
        <v>0</v>
      </c>
      <c r="AO506" cm="1">
        <f t="array" ref="AO506">_xlfn.LET(_xlpm.N,$B$49,_xlpm.R,$B$48,_xlpm.Start,$B$47,_xlpm.PlanWD,AL506,_xlpm.PlanRoth,AM506,_xlpm.PlanConv,AN506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33933.039999999994</v>
      </c>
      <c r="AP506" cm="1">
        <f t="array" ref="AP506">_xlfn.LET(_xlpm.N,$B$49,_xlpm.R,$B$48,_xlpm.Start,$B$47,_xlpm.PlanWD,AL506,_xlpm.PlanRoth,AM506,_xlpm.PlanConv,AN506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506" cm="1">
        <f t="array" ref="AQ506">_xlfn.LET(_xlpm.N,$B$49,_xlpm.R,$B$48,_xlpm.Start,$B$47,_xlpm.PlanWD,AL506,_xlpm.PlanRoth,AM506,_xlpm.PlanConv,AN506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972795.50694223284</v>
      </c>
      <c r="AR506" cm="1">
        <f t="array" ref="AR506">_xlfn.LET(_xlpm.N,$B$49,_xlpm.R,$B$48,_xlpm.Start,$B$47,_xlpm.PlanWD,AL506,_xlpm.PlanRoth,AM506,_xlpm.PlanConv,AN506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1012069.3251485301</v>
      </c>
      <c r="AS506">
        <f>--AND(AK506&lt;=SUM('Retirement Gap'!$B$24:$B$25,'Retirement Gap'!$B$27),AL506+AN506&lt;=$B$47,AM506&lt;='Retirement Gap'!$B$29,ABS(AK506+AL506+AM506-$B$10)&lt;1)</f>
        <v>1</v>
      </c>
      <c r="AT506" cm="1">
        <f t="array" ref="AT506">IF(AS506=0,1E+99,_xlfn.SWITCH(LEFT($E$39,1),"1",AO506,"2",AP506*1000000000+AO506,"3",-AQ506,"4",AO506+AP506*25000+AR506*0.005-AQ506*0.0001,AO506))</f>
        <v>-972795.50694223284</v>
      </c>
    </row>
    <row r="507" spans="33:46" x14ac:dyDescent="0.55000000000000004">
      <c r="AG507">
        <f t="shared" si="54"/>
        <v>506</v>
      </c>
      <c r="AH507">
        <f t="shared" si="55"/>
        <v>0.7</v>
      </c>
      <c r="AI507">
        <f t="shared" si="56"/>
        <v>0.7</v>
      </c>
      <c r="AJ507">
        <f t="shared" si="57"/>
        <v>0.2</v>
      </c>
      <c r="AK507">
        <f t="shared" si="58"/>
        <v>7372.9216334164885</v>
      </c>
      <c r="AL507">
        <f t="shared" si="59"/>
        <v>42520.799999999996</v>
      </c>
      <c r="AM507">
        <f>MIN(MAX(0,$B$10-AL507)*AI507,'Retirement Gap'!$B$29)</f>
        <v>10850.278366583516</v>
      </c>
      <c r="AN507">
        <f>IF($E$40="B - Withdrawals + Roth conversions",AJ507*MAX(0,MIN($B$47-AL507,MIN($B$59,IRMAA!$C$16)-(AL507+$B$8*0.85+AK507*$B$46))),0)</f>
        <v>0</v>
      </c>
      <c r="AO507" cm="1">
        <f t="array" ref="AO507">_xlfn.LET(_xlpm.N,$B$49,_xlpm.R,$B$48,_xlpm.Start,$B$47,_xlpm.PlanWD,AL507,_xlpm.PlanRoth,AM507,_xlpm.PlanConv,AN507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33933.039999999994</v>
      </c>
      <c r="AP507" cm="1">
        <f t="array" ref="AP507">_xlfn.LET(_xlpm.N,$B$49,_xlpm.R,$B$48,_xlpm.Start,$B$47,_xlpm.PlanWD,AL507,_xlpm.PlanRoth,AM507,_xlpm.PlanConv,AN507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507" cm="1">
        <f t="array" ref="AQ507">_xlfn.LET(_xlpm.N,$B$49,_xlpm.R,$B$48,_xlpm.Start,$B$47,_xlpm.PlanWD,AL507,_xlpm.PlanRoth,AM507,_xlpm.PlanConv,AN507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972795.50694223284</v>
      </c>
      <c r="AR507" cm="1">
        <f t="array" ref="AR507">_xlfn.LET(_xlpm.N,$B$49,_xlpm.R,$B$48,_xlpm.Start,$B$47,_xlpm.PlanWD,AL507,_xlpm.PlanRoth,AM507,_xlpm.PlanConv,AN507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1012069.3251485301</v>
      </c>
      <c r="AS507">
        <f>--AND(AK507&lt;=SUM('Retirement Gap'!$B$24:$B$25,'Retirement Gap'!$B$27),AL507+AN507&lt;=$B$47,AM507&lt;='Retirement Gap'!$B$29,ABS(AK507+AL507+AM507-$B$10)&lt;1)</f>
        <v>1</v>
      </c>
      <c r="AT507" cm="1">
        <f t="array" ref="AT507">IF(AS507=0,1E+99,_xlfn.SWITCH(LEFT($E$39,1),"1",AO507,"2",AP507*1000000000+AO507,"3",-AQ507,"4",AO507+AP507*25000+AR507*0.005-AQ507*0.0001,AO507))</f>
        <v>-972795.50694223284</v>
      </c>
    </row>
    <row r="508" spans="33:46" x14ac:dyDescent="0.55000000000000004">
      <c r="AG508">
        <f t="shared" si="54"/>
        <v>507</v>
      </c>
      <c r="AH508">
        <f t="shared" si="55"/>
        <v>0.7</v>
      </c>
      <c r="AI508">
        <f t="shared" si="56"/>
        <v>0.7</v>
      </c>
      <c r="AJ508">
        <f t="shared" si="57"/>
        <v>0.4</v>
      </c>
      <c r="AK508">
        <f t="shared" si="58"/>
        <v>7372.9216334164885</v>
      </c>
      <c r="AL508">
        <f t="shared" si="59"/>
        <v>42520.799999999996</v>
      </c>
      <c r="AM508">
        <f>MIN(MAX(0,$B$10-AL508)*AI508,'Retirement Gap'!$B$29)</f>
        <v>10850.278366583516</v>
      </c>
      <c r="AN508">
        <f>IF($E$40="B - Withdrawals + Roth conversions",AJ508*MAX(0,MIN($B$47-AL508,MIN($B$59,IRMAA!$C$16)-(AL508+$B$8*0.85+AK508*$B$46))),0)</f>
        <v>0</v>
      </c>
      <c r="AO508" cm="1">
        <f t="array" ref="AO508">_xlfn.LET(_xlpm.N,$B$49,_xlpm.R,$B$48,_xlpm.Start,$B$47,_xlpm.PlanWD,AL508,_xlpm.PlanRoth,AM508,_xlpm.PlanConv,AN508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33933.039999999994</v>
      </c>
      <c r="AP508" cm="1">
        <f t="array" ref="AP508">_xlfn.LET(_xlpm.N,$B$49,_xlpm.R,$B$48,_xlpm.Start,$B$47,_xlpm.PlanWD,AL508,_xlpm.PlanRoth,AM508,_xlpm.PlanConv,AN508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508" cm="1">
        <f t="array" ref="AQ508">_xlfn.LET(_xlpm.N,$B$49,_xlpm.R,$B$48,_xlpm.Start,$B$47,_xlpm.PlanWD,AL508,_xlpm.PlanRoth,AM508,_xlpm.PlanConv,AN508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972795.50694223284</v>
      </c>
      <c r="AR508" cm="1">
        <f t="array" ref="AR508">_xlfn.LET(_xlpm.N,$B$49,_xlpm.R,$B$48,_xlpm.Start,$B$47,_xlpm.PlanWD,AL508,_xlpm.PlanRoth,AM508,_xlpm.PlanConv,AN508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1012069.3251485301</v>
      </c>
      <c r="AS508">
        <f>--AND(AK508&lt;=SUM('Retirement Gap'!$B$24:$B$25,'Retirement Gap'!$B$27),AL508+AN508&lt;=$B$47,AM508&lt;='Retirement Gap'!$B$29,ABS(AK508+AL508+AM508-$B$10)&lt;1)</f>
        <v>1</v>
      </c>
      <c r="AT508" cm="1">
        <f t="array" ref="AT508">IF(AS508=0,1E+99,_xlfn.SWITCH(LEFT($E$39,1),"1",AO508,"2",AP508*1000000000+AO508,"3",-AQ508,"4",AO508+AP508*25000+AR508*0.005-AQ508*0.0001,AO508))</f>
        <v>-972795.50694223284</v>
      </c>
    </row>
    <row r="509" spans="33:46" x14ac:dyDescent="0.55000000000000004">
      <c r="AG509">
        <f t="shared" si="54"/>
        <v>508</v>
      </c>
      <c r="AH509">
        <f t="shared" si="55"/>
        <v>0.7</v>
      </c>
      <c r="AI509">
        <f t="shared" si="56"/>
        <v>0.7</v>
      </c>
      <c r="AJ509">
        <f t="shared" si="57"/>
        <v>0.6</v>
      </c>
      <c r="AK509">
        <f t="shared" si="58"/>
        <v>7372.9216334164885</v>
      </c>
      <c r="AL509">
        <f t="shared" si="59"/>
        <v>42520.799999999996</v>
      </c>
      <c r="AM509">
        <f>MIN(MAX(0,$B$10-AL509)*AI509,'Retirement Gap'!$B$29)</f>
        <v>10850.278366583516</v>
      </c>
      <c r="AN509">
        <f>IF($E$40="B - Withdrawals + Roth conversions",AJ509*MAX(0,MIN($B$47-AL509,MIN($B$59,IRMAA!$C$16)-(AL509+$B$8*0.85+AK509*$B$46))),0)</f>
        <v>0</v>
      </c>
      <c r="AO509" cm="1">
        <f t="array" ref="AO509">_xlfn.LET(_xlpm.N,$B$49,_xlpm.R,$B$48,_xlpm.Start,$B$47,_xlpm.PlanWD,AL509,_xlpm.PlanRoth,AM509,_xlpm.PlanConv,AN509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33933.039999999994</v>
      </c>
      <c r="AP509" cm="1">
        <f t="array" ref="AP509">_xlfn.LET(_xlpm.N,$B$49,_xlpm.R,$B$48,_xlpm.Start,$B$47,_xlpm.PlanWD,AL509,_xlpm.PlanRoth,AM509,_xlpm.PlanConv,AN509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509" cm="1">
        <f t="array" ref="AQ509">_xlfn.LET(_xlpm.N,$B$49,_xlpm.R,$B$48,_xlpm.Start,$B$47,_xlpm.PlanWD,AL509,_xlpm.PlanRoth,AM509,_xlpm.PlanConv,AN509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972795.50694223284</v>
      </c>
      <c r="AR509" cm="1">
        <f t="array" ref="AR509">_xlfn.LET(_xlpm.N,$B$49,_xlpm.R,$B$48,_xlpm.Start,$B$47,_xlpm.PlanWD,AL509,_xlpm.PlanRoth,AM509,_xlpm.PlanConv,AN509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1012069.3251485301</v>
      </c>
      <c r="AS509">
        <f>--AND(AK509&lt;=SUM('Retirement Gap'!$B$24:$B$25,'Retirement Gap'!$B$27),AL509+AN509&lt;=$B$47,AM509&lt;='Retirement Gap'!$B$29,ABS(AK509+AL509+AM509-$B$10)&lt;1)</f>
        <v>1</v>
      </c>
      <c r="AT509" cm="1">
        <f t="array" ref="AT509">IF(AS509=0,1E+99,_xlfn.SWITCH(LEFT($E$39,1),"1",AO509,"2",AP509*1000000000+AO509,"3",-AQ509,"4",AO509+AP509*25000+AR509*0.005-AQ509*0.0001,AO509))</f>
        <v>-972795.50694223284</v>
      </c>
    </row>
    <row r="510" spans="33:46" x14ac:dyDescent="0.55000000000000004">
      <c r="AG510">
        <f t="shared" si="54"/>
        <v>509</v>
      </c>
      <c r="AH510">
        <f t="shared" si="55"/>
        <v>0.7</v>
      </c>
      <c r="AI510">
        <f t="shared" si="56"/>
        <v>0.7</v>
      </c>
      <c r="AJ510">
        <f t="shared" si="57"/>
        <v>0.8</v>
      </c>
      <c r="AK510">
        <f t="shared" si="58"/>
        <v>7372.9216334164885</v>
      </c>
      <c r="AL510">
        <f t="shared" si="59"/>
        <v>42520.799999999996</v>
      </c>
      <c r="AM510">
        <f>MIN(MAX(0,$B$10-AL510)*AI510,'Retirement Gap'!$B$29)</f>
        <v>10850.278366583516</v>
      </c>
      <c r="AN510">
        <f>IF($E$40="B - Withdrawals + Roth conversions",AJ510*MAX(0,MIN($B$47-AL510,MIN($B$59,IRMAA!$C$16)-(AL510+$B$8*0.85+AK510*$B$46))),0)</f>
        <v>0</v>
      </c>
      <c r="AO510" cm="1">
        <f t="array" ref="AO510">_xlfn.LET(_xlpm.N,$B$49,_xlpm.R,$B$48,_xlpm.Start,$B$47,_xlpm.PlanWD,AL510,_xlpm.PlanRoth,AM510,_xlpm.PlanConv,AN510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33933.039999999994</v>
      </c>
      <c r="AP510" cm="1">
        <f t="array" ref="AP510">_xlfn.LET(_xlpm.N,$B$49,_xlpm.R,$B$48,_xlpm.Start,$B$47,_xlpm.PlanWD,AL510,_xlpm.PlanRoth,AM510,_xlpm.PlanConv,AN510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510" cm="1">
        <f t="array" ref="AQ510">_xlfn.LET(_xlpm.N,$B$49,_xlpm.R,$B$48,_xlpm.Start,$B$47,_xlpm.PlanWD,AL510,_xlpm.PlanRoth,AM510,_xlpm.PlanConv,AN510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972795.50694223284</v>
      </c>
      <c r="AR510" cm="1">
        <f t="array" ref="AR510">_xlfn.LET(_xlpm.N,$B$49,_xlpm.R,$B$48,_xlpm.Start,$B$47,_xlpm.PlanWD,AL510,_xlpm.PlanRoth,AM510,_xlpm.PlanConv,AN510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1012069.3251485301</v>
      </c>
      <c r="AS510">
        <f>--AND(AK510&lt;=SUM('Retirement Gap'!$B$24:$B$25,'Retirement Gap'!$B$27),AL510+AN510&lt;=$B$47,AM510&lt;='Retirement Gap'!$B$29,ABS(AK510+AL510+AM510-$B$10)&lt;1)</f>
        <v>1</v>
      </c>
      <c r="AT510" cm="1">
        <f t="array" ref="AT510">IF(AS510=0,1E+99,_xlfn.SWITCH(LEFT($E$39,1),"1",AO510,"2",AP510*1000000000+AO510,"3",-AQ510,"4",AO510+AP510*25000+AR510*0.005-AQ510*0.0001,AO510))</f>
        <v>-972795.50694223284</v>
      </c>
    </row>
    <row r="511" spans="33:46" x14ac:dyDescent="0.55000000000000004">
      <c r="AG511">
        <f t="shared" si="54"/>
        <v>510</v>
      </c>
      <c r="AH511">
        <f t="shared" si="55"/>
        <v>0.7</v>
      </c>
      <c r="AI511">
        <f t="shared" si="56"/>
        <v>0.7</v>
      </c>
      <c r="AJ511">
        <f t="shared" si="57"/>
        <v>1</v>
      </c>
      <c r="AK511">
        <f t="shared" si="58"/>
        <v>7372.9216334164885</v>
      </c>
      <c r="AL511">
        <f t="shared" si="59"/>
        <v>42520.799999999996</v>
      </c>
      <c r="AM511">
        <f>MIN(MAX(0,$B$10-AL511)*AI511,'Retirement Gap'!$B$29)</f>
        <v>10850.278366583516</v>
      </c>
      <c r="AN511">
        <f>IF($E$40="B - Withdrawals + Roth conversions",AJ511*MAX(0,MIN($B$47-AL511,MIN($B$59,IRMAA!$C$16)-(AL511+$B$8*0.85+AK511*$B$46))),0)</f>
        <v>0</v>
      </c>
      <c r="AO511" cm="1">
        <f t="array" ref="AO511">_xlfn.LET(_xlpm.N,$B$49,_xlpm.R,$B$48,_xlpm.Start,$B$47,_xlpm.PlanWD,AL511,_xlpm.PlanRoth,AM511,_xlpm.PlanConv,AN511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33933.039999999994</v>
      </c>
      <c r="AP511" cm="1">
        <f t="array" ref="AP511">_xlfn.LET(_xlpm.N,$B$49,_xlpm.R,$B$48,_xlpm.Start,$B$47,_xlpm.PlanWD,AL511,_xlpm.PlanRoth,AM511,_xlpm.PlanConv,AN511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511" cm="1">
        <f t="array" ref="AQ511">_xlfn.LET(_xlpm.N,$B$49,_xlpm.R,$B$48,_xlpm.Start,$B$47,_xlpm.PlanWD,AL511,_xlpm.PlanRoth,AM511,_xlpm.PlanConv,AN511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972795.50694223284</v>
      </c>
      <c r="AR511" cm="1">
        <f t="array" ref="AR511">_xlfn.LET(_xlpm.N,$B$49,_xlpm.R,$B$48,_xlpm.Start,$B$47,_xlpm.PlanWD,AL511,_xlpm.PlanRoth,AM511,_xlpm.PlanConv,AN511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1012069.3251485301</v>
      </c>
      <c r="AS511">
        <f>--AND(AK511&lt;=SUM('Retirement Gap'!$B$24:$B$25,'Retirement Gap'!$B$27),AL511+AN511&lt;=$B$47,AM511&lt;='Retirement Gap'!$B$29,ABS(AK511+AL511+AM511-$B$10)&lt;1)</f>
        <v>1</v>
      </c>
      <c r="AT511" cm="1">
        <f t="array" ref="AT511">IF(AS511=0,1E+99,_xlfn.SWITCH(LEFT($E$39,1),"1",AO511,"2",AP511*1000000000+AO511,"3",-AQ511,"4",AO511+AP511*25000+AR511*0.005-AQ511*0.0001,AO511))</f>
        <v>-972795.50694223284</v>
      </c>
    </row>
    <row r="512" spans="33:46" x14ac:dyDescent="0.55000000000000004">
      <c r="AG512">
        <f t="shared" si="54"/>
        <v>511</v>
      </c>
      <c r="AH512">
        <f t="shared" si="55"/>
        <v>0.7</v>
      </c>
      <c r="AI512">
        <f t="shared" si="56"/>
        <v>0.8</v>
      </c>
      <c r="AJ512">
        <f t="shared" si="57"/>
        <v>0</v>
      </c>
      <c r="AK512">
        <f t="shared" si="58"/>
        <v>7372.9216334164885</v>
      </c>
      <c r="AL512">
        <f t="shared" si="59"/>
        <v>42520.799999999996</v>
      </c>
      <c r="AM512">
        <f>MIN(MAX(0,$B$10-AL512)*AI512,'Retirement Gap'!$B$29)</f>
        <v>10850.278366583516</v>
      </c>
      <c r="AN512">
        <f>IF($E$40="B - Withdrawals + Roth conversions",AJ512*MAX(0,MIN($B$47-AL512,MIN($B$59,IRMAA!$C$16)-(AL512+$B$8*0.85+AK512*$B$46))),0)</f>
        <v>0</v>
      </c>
      <c r="AO512" cm="1">
        <f t="array" ref="AO512">_xlfn.LET(_xlpm.N,$B$49,_xlpm.R,$B$48,_xlpm.Start,$B$47,_xlpm.PlanWD,AL512,_xlpm.PlanRoth,AM512,_xlpm.PlanConv,AN512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33933.039999999994</v>
      </c>
      <c r="AP512" cm="1">
        <f t="array" ref="AP512">_xlfn.LET(_xlpm.N,$B$49,_xlpm.R,$B$48,_xlpm.Start,$B$47,_xlpm.PlanWD,AL512,_xlpm.PlanRoth,AM512,_xlpm.PlanConv,AN512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512" cm="1">
        <f t="array" ref="AQ512">_xlfn.LET(_xlpm.N,$B$49,_xlpm.R,$B$48,_xlpm.Start,$B$47,_xlpm.PlanWD,AL512,_xlpm.PlanRoth,AM512,_xlpm.PlanConv,AN512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972795.50694223284</v>
      </c>
      <c r="AR512" cm="1">
        <f t="array" ref="AR512">_xlfn.LET(_xlpm.N,$B$49,_xlpm.R,$B$48,_xlpm.Start,$B$47,_xlpm.PlanWD,AL512,_xlpm.PlanRoth,AM512,_xlpm.PlanConv,AN512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1012069.3251485301</v>
      </c>
      <c r="AS512">
        <f>--AND(AK512&lt;=SUM('Retirement Gap'!$B$24:$B$25,'Retirement Gap'!$B$27),AL512+AN512&lt;=$B$47,AM512&lt;='Retirement Gap'!$B$29,ABS(AK512+AL512+AM512-$B$10)&lt;1)</f>
        <v>1</v>
      </c>
      <c r="AT512" cm="1">
        <f t="array" ref="AT512">IF(AS512=0,1E+99,_xlfn.SWITCH(LEFT($E$39,1),"1",AO512,"2",AP512*1000000000+AO512,"3",-AQ512,"4",AO512+AP512*25000+AR512*0.005-AQ512*0.0001,AO512))</f>
        <v>-972795.50694223284</v>
      </c>
    </row>
    <row r="513" spans="33:46" x14ac:dyDescent="0.55000000000000004">
      <c r="AG513">
        <f t="shared" si="54"/>
        <v>512</v>
      </c>
      <c r="AH513">
        <f t="shared" si="55"/>
        <v>0.7</v>
      </c>
      <c r="AI513">
        <f t="shared" si="56"/>
        <v>0.8</v>
      </c>
      <c r="AJ513">
        <f t="shared" si="57"/>
        <v>0.2</v>
      </c>
      <c r="AK513">
        <f t="shared" si="58"/>
        <v>7372.9216334164885</v>
      </c>
      <c r="AL513">
        <f t="shared" si="59"/>
        <v>42520.799999999996</v>
      </c>
      <c r="AM513">
        <f>MIN(MAX(0,$B$10-AL513)*AI513,'Retirement Gap'!$B$29)</f>
        <v>10850.278366583516</v>
      </c>
      <c r="AN513">
        <f>IF($E$40="B - Withdrawals + Roth conversions",AJ513*MAX(0,MIN($B$47-AL513,MIN($B$59,IRMAA!$C$16)-(AL513+$B$8*0.85+AK513*$B$46))),0)</f>
        <v>0</v>
      </c>
      <c r="AO513" cm="1">
        <f t="array" ref="AO513">_xlfn.LET(_xlpm.N,$B$49,_xlpm.R,$B$48,_xlpm.Start,$B$47,_xlpm.PlanWD,AL513,_xlpm.PlanRoth,AM513,_xlpm.PlanConv,AN513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33933.039999999994</v>
      </c>
      <c r="AP513" cm="1">
        <f t="array" ref="AP513">_xlfn.LET(_xlpm.N,$B$49,_xlpm.R,$B$48,_xlpm.Start,$B$47,_xlpm.PlanWD,AL513,_xlpm.PlanRoth,AM513,_xlpm.PlanConv,AN513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513" cm="1">
        <f t="array" ref="AQ513">_xlfn.LET(_xlpm.N,$B$49,_xlpm.R,$B$48,_xlpm.Start,$B$47,_xlpm.PlanWD,AL513,_xlpm.PlanRoth,AM513,_xlpm.PlanConv,AN513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972795.50694223284</v>
      </c>
      <c r="AR513" cm="1">
        <f t="array" ref="AR513">_xlfn.LET(_xlpm.N,$B$49,_xlpm.R,$B$48,_xlpm.Start,$B$47,_xlpm.PlanWD,AL513,_xlpm.PlanRoth,AM513,_xlpm.PlanConv,AN513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1012069.3251485301</v>
      </c>
      <c r="AS513">
        <f>--AND(AK513&lt;=SUM('Retirement Gap'!$B$24:$B$25,'Retirement Gap'!$B$27),AL513+AN513&lt;=$B$47,AM513&lt;='Retirement Gap'!$B$29,ABS(AK513+AL513+AM513-$B$10)&lt;1)</f>
        <v>1</v>
      </c>
      <c r="AT513" cm="1">
        <f t="array" ref="AT513">IF(AS513=0,1E+99,_xlfn.SWITCH(LEFT($E$39,1),"1",AO513,"2",AP513*1000000000+AO513,"3",-AQ513,"4",AO513+AP513*25000+AR513*0.005-AQ513*0.0001,AO513))</f>
        <v>-972795.50694223284</v>
      </c>
    </row>
    <row r="514" spans="33:46" x14ac:dyDescent="0.55000000000000004">
      <c r="AG514">
        <f t="shared" si="54"/>
        <v>513</v>
      </c>
      <c r="AH514">
        <f t="shared" si="55"/>
        <v>0.7</v>
      </c>
      <c r="AI514">
        <f t="shared" si="56"/>
        <v>0.8</v>
      </c>
      <c r="AJ514">
        <f t="shared" si="57"/>
        <v>0.4</v>
      </c>
      <c r="AK514">
        <f t="shared" si="58"/>
        <v>7372.9216334164885</v>
      </c>
      <c r="AL514">
        <f t="shared" si="59"/>
        <v>42520.799999999996</v>
      </c>
      <c r="AM514">
        <f>MIN(MAX(0,$B$10-AL514)*AI514,'Retirement Gap'!$B$29)</f>
        <v>10850.278366583516</v>
      </c>
      <c r="AN514">
        <f>IF($E$40="B - Withdrawals + Roth conversions",AJ514*MAX(0,MIN($B$47-AL514,MIN($B$59,IRMAA!$C$16)-(AL514+$B$8*0.85+AK514*$B$46))),0)</f>
        <v>0</v>
      </c>
      <c r="AO514" cm="1">
        <f t="array" ref="AO514">_xlfn.LET(_xlpm.N,$B$49,_xlpm.R,$B$48,_xlpm.Start,$B$47,_xlpm.PlanWD,AL514,_xlpm.PlanRoth,AM514,_xlpm.PlanConv,AN514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33933.039999999994</v>
      </c>
      <c r="AP514" cm="1">
        <f t="array" ref="AP514">_xlfn.LET(_xlpm.N,$B$49,_xlpm.R,$B$48,_xlpm.Start,$B$47,_xlpm.PlanWD,AL514,_xlpm.PlanRoth,AM514,_xlpm.PlanConv,AN514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514" cm="1">
        <f t="array" ref="AQ514">_xlfn.LET(_xlpm.N,$B$49,_xlpm.R,$B$48,_xlpm.Start,$B$47,_xlpm.PlanWD,AL514,_xlpm.PlanRoth,AM514,_xlpm.PlanConv,AN514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972795.50694223284</v>
      </c>
      <c r="AR514" cm="1">
        <f t="array" ref="AR514">_xlfn.LET(_xlpm.N,$B$49,_xlpm.R,$B$48,_xlpm.Start,$B$47,_xlpm.PlanWD,AL514,_xlpm.PlanRoth,AM514,_xlpm.PlanConv,AN514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1012069.3251485301</v>
      </c>
      <c r="AS514">
        <f>--AND(AK514&lt;=SUM('Retirement Gap'!$B$24:$B$25,'Retirement Gap'!$B$27),AL514+AN514&lt;=$B$47,AM514&lt;='Retirement Gap'!$B$29,ABS(AK514+AL514+AM514-$B$10)&lt;1)</f>
        <v>1</v>
      </c>
      <c r="AT514" cm="1">
        <f t="array" ref="AT514">IF(AS514=0,1E+99,_xlfn.SWITCH(LEFT($E$39,1),"1",AO514,"2",AP514*1000000000+AO514,"3",-AQ514,"4",AO514+AP514*25000+AR514*0.005-AQ514*0.0001,AO514))</f>
        <v>-972795.50694223284</v>
      </c>
    </row>
    <row r="515" spans="33:46" x14ac:dyDescent="0.55000000000000004">
      <c r="AG515">
        <f t="shared" ref="AG515:AG578" si="60">ROW()-1</f>
        <v>514</v>
      </c>
      <c r="AH515">
        <f t="shared" ref="AH515:AH578" si="61">INT((AG515-1)/66)/10</f>
        <v>0.7</v>
      </c>
      <c r="AI515">
        <f t="shared" ref="AI515:AI578" si="62">MOD(INT((AG515-1)/6),11)/10</f>
        <v>0.8</v>
      </c>
      <c r="AJ515">
        <f t="shared" ref="AJ515:AJ578" si="63">MOD(AG515-1,6)/5</f>
        <v>0.6</v>
      </c>
      <c r="AK515">
        <f t="shared" ref="AK515:AK578" si="64">MAX(0,$B$10-AL515-AM515)</f>
        <v>7372.9216334164885</v>
      </c>
      <c r="AL515">
        <f t="shared" ref="AL515:AL578" si="65">MIN($B$10*AH515,$B$47)</f>
        <v>42520.799999999996</v>
      </c>
      <c r="AM515">
        <f>MIN(MAX(0,$B$10-AL515)*AI515,'Retirement Gap'!$B$29)</f>
        <v>10850.278366583516</v>
      </c>
      <c r="AN515">
        <f>IF($E$40="B - Withdrawals + Roth conversions",AJ515*MAX(0,MIN($B$47-AL515,MIN($B$59,IRMAA!$C$16)-(AL515+$B$8*0.85+AK515*$B$46))),0)</f>
        <v>0</v>
      </c>
      <c r="AO515" cm="1">
        <f t="array" ref="AO515">_xlfn.LET(_xlpm.N,$B$49,_xlpm.R,$B$48,_xlpm.Start,$B$47,_xlpm.PlanWD,AL515,_xlpm.PlanRoth,AM515,_xlpm.PlanConv,AN515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33933.039999999994</v>
      </c>
      <c r="AP515" cm="1">
        <f t="array" ref="AP515">_xlfn.LET(_xlpm.N,$B$49,_xlpm.R,$B$48,_xlpm.Start,$B$47,_xlpm.PlanWD,AL515,_xlpm.PlanRoth,AM515,_xlpm.PlanConv,AN515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515" cm="1">
        <f t="array" ref="AQ515">_xlfn.LET(_xlpm.N,$B$49,_xlpm.R,$B$48,_xlpm.Start,$B$47,_xlpm.PlanWD,AL515,_xlpm.PlanRoth,AM515,_xlpm.PlanConv,AN515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972795.50694223284</v>
      </c>
      <c r="AR515" cm="1">
        <f t="array" ref="AR515">_xlfn.LET(_xlpm.N,$B$49,_xlpm.R,$B$48,_xlpm.Start,$B$47,_xlpm.PlanWD,AL515,_xlpm.PlanRoth,AM515,_xlpm.PlanConv,AN515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1012069.3251485301</v>
      </c>
      <c r="AS515">
        <f>--AND(AK515&lt;=SUM('Retirement Gap'!$B$24:$B$25,'Retirement Gap'!$B$27),AL515+AN515&lt;=$B$47,AM515&lt;='Retirement Gap'!$B$29,ABS(AK515+AL515+AM515-$B$10)&lt;1)</f>
        <v>1</v>
      </c>
      <c r="AT515" cm="1">
        <f t="array" ref="AT515">IF(AS515=0,1E+99,_xlfn.SWITCH(LEFT($E$39,1),"1",AO515,"2",AP515*1000000000+AO515,"3",-AQ515,"4",AO515+AP515*25000+AR515*0.005-AQ515*0.0001,AO515))</f>
        <v>-972795.50694223284</v>
      </c>
    </row>
    <row r="516" spans="33:46" x14ac:dyDescent="0.55000000000000004">
      <c r="AG516">
        <f t="shared" si="60"/>
        <v>515</v>
      </c>
      <c r="AH516">
        <f t="shared" si="61"/>
        <v>0.7</v>
      </c>
      <c r="AI516">
        <f t="shared" si="62"/>
        <v>0.8</v>
      </c>
      <c r="AJ516">
        <f t="shared" si="63"/>
        <v>0.8</v>
      </c>
      <c r="AK516">
        <f t="shared" si="64"/>
        <v>7372.9216334164885</v>
      </c>
      <c r="AL516">
        <f t="shared" si="65"/>
        <v>42520.799999999996</v>
      </c>
      <c r="AM516">
        <f>MIN(MAX(0,$B$10-AL516)*AI516,'Retirement Gap'!$B$29)</f>
        <v>10850.278366583516</v>
      </c>
      <c r="AN516">
        <f>IF($E$40="B - Withdrawals + Roth conversions",AJ516*MAX(0,MIN($B$47-AL516,MIN($B$59,IRMAA!$C$16)-(AL516+$B$8*0.85+AK516*$B$46))),0)</f>
        <v>0</v>
      </c>
      <c r="AO516" cm="1">
        <f t="array" ref="AO516">_xlfn.LET(_xlpm.N,$B$49,_xlpm.R,$B$48,_xlpm.Start,$B$47,_xlpm.PlanWD,AL516,_xlpm.PlanRoth,AM516,_xlpm.PlanConv,AN516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33933.039999999994</v>
      </c>
      <c r="AP516" cm="1">
        <f t="array" ref="AP516">_xlfn.LET(_xlpm.N,$B$49,_xlpm.R,$B$48,_xlpm.Start,$B$47,_xlpm.PlanWD,AL516,_xlpm.PlanRoth,AM516,_xlpm.PlanConv,AN516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516" cm="1">
        <f t="array" ref="AQ516">_xlfn.LET(_xlpm.N,$B$49,_xlpm.R,$B$48,_xlpm.Start,$B$47,_xlpm.PlanWD,AL516,_xlpm.PlanRoth,AM516,_xlpm.PlanConv,AN516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972795.50694223284</v>
      </c>
      <c r="AR516" cm="1">
        <f t="array" ref="AR516">_xlfn.LET(_xlpm.N,$B$49,_xlpm.R,$B$48,_xlpm.Start,$B$47,_xlpm.PlanWD,AL516,_xlpm.PlanRoth,AM516,_xlpm.PlanConv,AN516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1012069.3251485301</v>
      </c>
      <c r="AS516">
        <f>--AND(AK516&lt;=SUM('Retirement Gap'!$B$24:$B$25,'Retirement Gap'!$B$27),AL516+AN516&lt;=$B$47,AM516&lt;='Retirement Gap'!$B$29,ABS(AK516+AL516+AM516-$B$10)&lt;1)</f>
        <v>1</v>
      </c>
      <c r="AT516" cm="1">
        <f t="array" ref="AT516">IF(AS516=0,1E+99,_xlfn.SWITCH(LEFT($E$39,1),"1",AO516,"2",AP516*1000000000+AO516,"3",-AQ516,"4",AO516+AP516*25000+AR516*0.005-AQ516*0.0001,AO516))</f>
        <v>-972795.50694223284</v>
      </c>
    </row>
    <row r="517" spans="33:46" x14ac:dyDescent="0.55000000000000004">
      <c r="AG517">
        <f t="shared" si="60"/>
        <v>516</v>
      </c>
      <c r="AH517">
        <f t="shared" si="61"/>
        <v>0.7</v>
      </c>
      <c r="AI517">
        <f t="shared" si="62"/>
        <v>0.8</v>
      </c>
      <c r="AJ517">
        <f t="shared" si="63"/>
        <v>1</v>
      </c>
      <c r="AK517">
        <f t="shared" si="64"/>
        <v>7372.9216334164885</v>
      </c>
      <c r="AL517">
        <f t="shared" si="65"/>
        <v>42520.799999999996</v>
      </c>
      <c r="AM517">
        <f>MIN(MAX(0,$B$10-AL517)*AI517,'Retirement Gap'!$B$29)</f>
        <v>10850.278366583516</v>
      </c>
      <c r="AN517">
        <f>IF($E$40="B - Withdrawals + Roth conversions",AJ517*MAX(0,MIN($B$47-AL517,MIN($B$59,IRMAA!$C$16)-(AL517+$B$8*0.85+AK517*$B$46))),0)</f>
        <v>0</v>
      </c>
      <c r="AO517" cm="1">
        <f t="array" ref="AO517">_xlfn.LET(_xlpm.N,$B$49,_xlpm.R,$B$48,_xlpm.Start,$B$47,_xlpm.PlanWD,AL517,_xlpm.PlanRoth,AM517,_xlpm.PlanConv,AN517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33933.039999999994</v>
      </c>
      <c r="AP517" cm="1">
        <f t="array" ref="AP517">_xlfn.LET(_xlpm.N,$B$49,_xlpm.R,$B$48,_xlpm.Start,$B$47,_xlpm.PlanWD,AL517,_xlpm.PlanRoth,AM517,_xlpm.PlanConv,AN517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517" cm="1">
        <f t="array" ref="AQ517">_xlfn.LET(_xlpm.N,$B$49,_xlpm.R,$B$48,_xlpm.Start,$B$47,_xlpm.PlanWD,AL517,_xlpm.PlanRoth,AM517,_xlpm.PlanConv,AN517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972795.50694223284</v>
      </c>
      <c r="AR517" cm="1">
        <f t="array" ref="AR517">_xlfn.LET(_xlpm.N,$B$49,_xlpm.R,$B$48,_xlpm.Start,$B$47,_xlpm.PlanWD,AL517,_xlpm.PlanRoth,AM517,_xlpm.PlanConv,AN517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1012069.3251485301</v>
      </c>
      <c r="AS517">
        <f>--AND(AK517&lt;=SUM('Retirement Gap'!$B$24:$B$25,'Retirement Gap'!$B$27),AL517+AN517&lt;=$B$47,AM517&lt;='Retirement Gap'!$B$29,ABS(AK517+AL517+AM517-$B$10)&lt;1)</f>
        <v>1</v>
      </c>
      <c r="AT517" cm="1">
        <f t="array" ref="AT517">IF(AS517=0,1E+99,_xlfn.SWITCH(LEFT($E$39,1),"1",AO517,"2",AP517*1000000000+AO517,"3",-AQ517,"4",AO517+AP517*25000+AR517*0.005-AQ517*0.0001,AO517))</f>
        <v>-972795.50694223284</v>
      </c>
    </row>
    <row r="518" spans="33:46" x14ac:dyDescent="0.55000000000000004">
      <c r="AG518">
        <f t="shared" si="60"/>
        <v>517</v>
      </c>
      <c r="AH518">
        <f t="shared" si="61"/>
        <v>0.7</v>
      </c>
      <c r="AI518">
        <f t="shared" si="62"/>
        <v>0.9</v>
      </c>
      <c r="AJ518">
        <f t="shared" si="63"/>
        <v>0</v>
      </c>
      <c r="AK518">
        <f t="shared" si="64"/>
        <v>7372.9216334164885</v>
      </c>
      <c r="AL518">
        <f t="shared" si="65"/>
        <v>42520.799999999996</v>
      </c>
      <c r="AM518">
        <f>MIN(MAX(0,$B$10-AL518)*AI518,'Retirement Gap'!$B$29)</f>
        <v>10850.278366583516</v>
      </c>
      <c r="AN518">
        <f>IF($E$40="B - Withdrawals + Roth conversions",AJ518*MAX(0,MIN($B$47-AL518,MIN($B$59,IRMAA!$C$16)-(AL518+$B$8*0.85+AK518*$B$46))),0)</f>
        <v>0</v>
      </c>
      <c r="AO518" cm="1">
        <f t="array" ref="AO518">_xlfn.LET(_xlpm.N,$B$49,_xlpm.R,$B$48,_xlpm.Start,$B$47,_xlpm.PlanWD,AL518,_xlpm.PlanRoth,AM518,_xlpm.PlanConv,AN518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33933.039999999994</v>
      </c>
      <c r="AP518" cm="1">
        <f t="array" ref="AP518">_xlfn.LET(_xlpm.N,$B$49,_xlpm.R,$B$48,_xlpm.Start,$B$47,_xlpm.PlanWD,AL518,_xlpm.PlanRoth,AM518,_xlpm.PlanConv,AN518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518" cm="1">
        <f t="array" ref="AQ518">_xlfn.LET(_xlpm.N,$B$49,_xlpm.R,$B$48,_xlpm.Start,$B$47,_xlpm.PlanWD,AL518,_xlpm.PlanRoth,AM518,_xlpm.PlanConv,AN518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972795.50694223284</v>
      </c>
      <c r="AR518" cm="1">
        <f t="array" ref="AR518">_xlfn.LET(_xlpm.N,$B$49,_xlpm.R,$B$48,_xlpm.Start,$B$47,_xlpm.PlanWD,AL518,_xlpm.PlanRoth,AM518,_xlpm.PlanConv,AN518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1012069.3251485301</v>
      </c>
      <c r="AS518">
        <f>--AND(AK518&lt;=SUM('Retirement Gap'!$B$24:$B$25,'Retirement Gap'!$B$27),AL518+AN518&lt;=$B$47,AM518&lt;='Retirement Gap'!$B$29,ABS(AK518+AL518+AM518-$B$10)&lt;1)</f>
        <v>1</v>
      </c>
      <c r="AT518" cm="1">
        <f t="array" ref="AT518">IF(AS518=0,1E+99,_xlfn.SWITCH(LEFT($E$39,1),"1",AO518,"2",AP518*1000000000+AO518,"3",-AQ518,"4",AO518+AP518*25000+AR518*0.005-AQ518*0.0001,AO518))</f>
        <v>-972795.50694223284</v>
      </c>
    </row>
    <row r="519" spans="33:46" x14ac:dyDescent="0.55000000000000004">
      <c r="AG519">
        <f t="shared" si="60"/>
        <v>518</v>
      </c>
      <c r="AH519">
        <f t="shared" si="61"/>
        <v>0.7</v>
      </c>
      <c r="AI519">
        <f t="shared" si="62"/>
        <v>0.9</v>
      </c>
      <c r="AJ519">
        <f t="shared" si="63"/>
        <v>0.2</v>
      </c>
      <c r="AK519">
        <f t="shared" si="64"/>
        <v>7372.9216334164885</v>
      </c>
      <c r="AL519">
        <f t="shared" si="65"/>
        <v>42520.799999999996</v>
      </c>
      <c r="AM519">
        <f>MIN(MAX(0,$B$10-AL519)*AI519,'Retirement Gap'!$B$29)</f>
        <v>10850.278366583516</v>
      </c>
      <c r="AN519">
        <f>IF($E$40="B - Withdrawals + Roth conversions",AJ519*MAX(0,MIN($B$47-AL519,MIN($B$59,IRMAA!$C$16)-(AL519+$B$8*0.85+AK519*$B$46))),0)</f>
        <v>0</v>
      </c>
      <c r="AO519" cm="1">
        <f t="array" ref="AO519">_xlfn.LET(_xlpm.N,$B$49,_xlpm.R,$B$48,_xlpm.Start,$B$47,_xlpm.PlanWD,AL519,_xlpm.PlanRoth,AM519,_xlpm.PlanConv,AN519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33933.039999999994</v>
      </c>
      <c r="AP519" cm="1">
        <f t="array" ref="AP519">_xlfn.LET(_xlpm.N,$B$49,_xlpm.R,$B$48,_xlpm.Start,$B$47,_xlpm.PlanWD,AL519,_xlpm.PlanRoth,AM519,_xlpm.PlanConv,AN519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519" cm="1">
        <f t="array" ref="AQ519">_xlfn.LET(_xlpm.N,$B$49,_xlpm.R,$B$48,_xlpm.Start,$B$47,_xlpm.PlanWD,AL519,_xlpm.PlanRoth,AM519,_xlpm.PlanConv,AN519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972795.50694223284</v>
      </c>
      <c r="AR519" cm="1">
        <f t="array" ref="AR519">_xlfn.LET(_xlpm.N,$B$49,_xlpm.R,$B$48,_xlpm.Start,$B$47,_xlpm.PlanWD,AL519,_xlpm.PlanRoth,AM519,_xlpm.PlanConv,AN519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1012069.3251485301</v>
      </c>
      <c r="AS519">
        <f>--AND(AK519&lt;=SUM('Retirement Gap'!$B$24:$B$25,'Retirement Gap'!$B$27),AL519+AN519&lt;=$B$47,AM519&lt;='Retirement Gap'!$B$29,ABS(AK519+AL519+AM519-$B$10)&lt;1)</f>
        <v>1</v>
      </c>
      <c r="AT519" cm="1">
        <f t="array" ref="AT519">IF(AS519=0,1E+99,_xlfn.SWITCH(LEFT($E$39,1),"1",AO519,"2",AP519*1000000000+AO519,"3",-AQ519,"4",AO519+AP519*25000+AR519*0.005-AQ519*0.0001,AO519))</f>
        <v>-972795.50694223284</v>
      </c>
    </row>
    <row r="520" spans="33:46" x14ac:dyDescent="0.55000000000000004">
      <c r="AG520">
        <f t="shared" si="60"/>
        <v>519</v>
      </c>
      <c r="AH520">
        <f t="shared" si="61"/>
        <v>0.7</v>
      </c>
      <c r="AI520">
        <f t="shared" si="62"/>
        <v>0.9</v>
      </c>
      <c r="AJ520">
        <f t="shared" si="63"/>
        <v>0.4</v>
      </c>
      <c r="AK520">
        <f t="shared" si="64"/>
        <v>7372.9216334164885</v>
      </c>
      <c r="AL520">
        <f t="shared" si="65"/>
        <v>42520.799999999996</v>
      </c>
      <c r="AM520">
        <f>MIN(MAX(0,$B$10-AL520)*AI520,'Retirement Gap'!$B$29)</f>
        <v>10850.278366583516</v>
      </c>
      <c r="AN520">
        <f>IF($E$40="B - Withdrawals + Roth conversions",AJ520*MAX(0,MIN($B$47-AL520,MIN($B$59,IRMAA!$C$16)-(AL520+$B$8*0.85+AK520*$B$46))),0)</f>
        <v>0</v>
      </c>
      <c r="AO520" cm="1">
        <f t="array" ref="AO520">_xlfn.LET(_xlpm.N,$B$49,_xlpm.R,$B$48,_xlpm.Start,$B$47,_xlpm.PlanWD,AL520,_xlpm.PlanRoth,AM520,_xlpm.PlanConv,AN520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33933.039999999994</v>
      </c>
      <c r="AP520" cm="1">
        <f t="array" ref="AP520">_xlfn.LET(_xlpm.N,$B$49,_xlpm.R,$B$48,_xlpm.Start,$B$47,_xlpm.PlanWD,AL520,_xlpm.PlanRoth,AM520,_xlpm.PlanConv,AN520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520" cm="1">
        <f t="array" ref="AQ520">_xlfn.LET(_xlpm.N,$B$49,_xlpm.R,$B$48,_xlpm.Start,$B$47,_xlpm.PlanWD,AL520,_xlpm.PlanRoth,AM520,_xlpm.PlanConv,AN520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972795.50694223284</v>
      </c>
      <c r="AR520" cm="1">
        <f t="array" ref="AR520">_xlfn.LET(_xlpm.N,$B$49,_xlpm.R,$B$48,_xlpm.Start,$B$47,_xlpm.PlanWD,AL520,_xlpm.PlanRoth,AM520,_xlpm.PlanConv,AN520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1012069.3251485301</v>
      </c>
      <c r="AS520">
        <f>--AND(AK520&lt;=SUM('Retirement Gap'!$B$24:$B$25,'Retirement Gap'!$B$27),AL520+AN520&lt;=$B$47,AM520&lt;='Retirement Gap'!$B$29,ABS(AK520+AL520+AM520-$B$10)&lt;1)</f>
        <v>1</v>
      </c>
      <c r="AT520" cm="1">
        <f t="array" ref="AT520">IF(AS520=0,1E+99,_xlfn.SWITCH(LEFT($E$39,1),"1",AO520,"2",AP520*1000000000+AO520,"3",-AQ520,"4",AO520+AP520*25000+AR520*0.005-AQ520*0.0001,AO520))</f>
        <v>-972795.50694223284</v>
      </c>
    </row>
    <row r="521" spans="33:46" x14ac:dyDescent="0.55000000000000004">
      <c r="AG521">
        <f t="shared" si="60"/>
        <v>520</v>
      </c>
      <c r="AH521">
        <f t="shared" si="61"/>
        <v>0.7</v>
      </c>
      <c r="AI521">
        <f t="shared" si="62"/>
        <v>0.9</v>
      </c>
      <c r="AJ521">
        <f t="shared" si="63"/>
        <v>0.6</v>
      </c>
      <c r="AK521">
        <f t="shared" si="64"/>
        <v>7372.9216334164885</v>
      </c>
      <c r="AL521">
        <f t="shared" si="65"/>
        <v>42520.799999999996</v>
      </c>
      <c r="AM521">
        <f>MIN(MAX(0,$B$10-AL521)*AI521,'Retirement Gap'!$B$29)</f>
        <v>10850.278366583516</v>
      </c>
      <c r="AN521">
        <f>IF($E$40="B - Withdrawals + Roth conversions",AJ521*MAX(0,MIN($B$47-AL521,MIN($B$59,IRMAA!$C$16)-(AL521+$B$8*0.85+AK521*$B$46))),0)</f>
        <v>0</v>
      </c>
      <c r="AO521" cm="1">
        <f t="array" ref="AO521">_xlfn.LET(_xlpm.N,$B$49,_xlpm.R,$B$48,_xlpm.Start,$B$47,_xlpm.PlanWD,AL521,_xlpm.PlanRoth,AM521,_xlpm.PlanConv,AN521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33933.039999999994</v>
      </c>
      <c r="AP521" cm="1">
        <f t="array" ref="AP521">_xlfn.LET(_xlpm.N,$B$49,_xlpm.R,$B$48,_xlpm.Start,$B$47,_xlpm.PlanWD,AL521,_xlpm.PlanRoth,AM521,_xlpm.PlanConv,AN521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521" cm="1">
        <f t="array" ref="AQ521">_xlfn.LET(_xlpm.N,$B$49,_xlpm.R,$B$48,_xlpm.Start,$B$47,_xlpm.PlanWD,AL521,_xlpm.PlanRoth,AM521,_xlpm.PlanConv,AN521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972795.50694223284</v>
      </c>
      <c r="AR521" cm="1">
        <f t="array" ref="AR521">_xlfn.LET(_xlpm.N,$B$49,_xlpm.R,$B$48,_xlpm.Start,$B$47,_xlpm.PlanWD,AL521,_xlpm.PlanRoth,AM521,_xlpm.PlanConv,AN521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1012069.3251485301</v>
      </c>
      <c r="AS521">
        <f>--AND(AK521&lt;=SUM('Retirement Gap'!$B$24:$B$25,'Retirement Gap'!$B$27),AL521+AN521&lt;=$B$47,AM521&lt;='Retirement Gap'!$B$29,ABS(AK521+AL521+AM521-$B$10)&lt;1)</f>
        <v>1</v>
      </c>
      <c r="AT521" cm="1">
        <f t="array" ref="AT521">IF(AS521=0,1E+99,_xlfn.SWITCH(LEFT($E$39,1),"1",AO521,"2",AP521*1000000000+AO521,"3",-AQ521,"4",AO521+AP521*25000+AR521*0.005-AQ521*0.0001,AO521))</f>
        <v>-972795.50694223284</v>
      </c>
    </row>
    <row r="522" spans="33:46" x14ac:dyDescent="0.55000000000000004">
      <c r="AG522">
        <f t="shared" si="60"/>
        <v>521</v>
      </c>
      <c r="AH522">
        <f t="shared" si="61"/>
        <v>0.7</v>
      </c>
      <c r="AI522">
        <f t="shared" si="62"/>
        <v>0.9</v>
      </c>
      <c r="AJ522">
        <f t="shared" si="63"/>
        <v>0.8</v>
      </c>
      <c r="AK522">
        <f t="shared" si="64"/>
        <v>7372.9216334164885</v>
      </c>
      <c r="AL522">
        <f t="shared" si="65"/>
        <v>42520.799999999996</v>
      </c>
      <c r="AM522">
        <f>MIN(MAX(0,$B$10-AL522)*AI522,'Retirement Gap'!$B$29)</f>
        <v>10850.278366583516</v>
      </c>
      <c r="AN522">
        <f>IF($E$40="B - Withdrawals + Roth conversions",AJ522*MAX(0,MIN($B$47-AL522,MIN($B$59,IRMAA!$C$16)-(AL522+$B$8*0.85+AK522*$B$46))),0)</f>
        <v>0</v>
      </c>
      <c r="AO522" cm="1">
        <f t="array" ref="AO522">_xlfn.LET(_xlpm.N,$B$49,_xlpm.R,$B$48,_xlpm.Start,$B$47,_xlpm.PlanWD,AL522,_xlpm.PlanRoth,AM522,_xlpm.PlanConv,AN522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33933.039999999994</v>
      </c>
      <c r="AP522" cm="1">
        <f t="array" ref="AP522">_xlfn.LET(_xlpm.N,$B$49,_xlpm.R,$B$48,_xlpm.Start,$B$47,_xlpm.PlanWD,AL522,_xlpm.PlanRoth,AM522,_xlpm.PlanConv,AN522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522" cm="1">
        <f t="array" ref="AQ522">_xlfn.LET(_xlpm.N,$B$49,_xlpm.R,$B$48,_xlpm.Start,$B$47,_xlpm.PlanWD,AL522,_xlpm.PlanRoth,AM522,_xlpm.PlanConv,AN522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972795.50694223284</v>
      </c>
      <c r="AR522" cm="1">
        <f t="array" ref="AR522">_xlfn.LET(_xlpm.N,$B$49,_xlpm.R,$B$48,_xlpm.Start,$B$47,_xlpm.PlanWD,AL522,_xlpm.PlanRoth,AM522,_xlpm.PlanConv,AN522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1012069.3251485301</v>
      </c>
      <c r="AS522">
        <f>--AND(AK522&lt;=SUM('Retirement Gap'!$B$24:$B$25,'Retirement Gap'!$B$27),AL522+AN522&lt;=$B$47,AM522&lt;='Retirement Gap'!$B$29,ABS(AK522+AL522+AM522-$B$10)&lt;1)</f>
        <v>1</v>
      </c>
      <c r="AT522" cm="1">
        <f t="array" ref="AT522">IF(AS522=0,1E+99,_xlfn.SWITCH(LEFT($E$39,1),"1",AO522,"2",AP522*1000000000+AO522,"3",-AQ522,"4",AO522+AP522*25000+AR522*0.005-AQ522*0.0001,AO522))</f>
        <v>-972795.50694223284</v>
      </c>
    </row>
    <row r="523" spans="33:46" x14ac:dyDescent="0.55000000000000004">
      <c r="AG523">
        <f t="shared" si="60"/>
        <v>522</v>
      </c>
      <c r="AH523">
        <f t="shared" si="61"/>
        <v>0.7</v>
      </c>
      <c r="AI523">
        <f t="shared" si="62"/>
        <v>0.9</v>
      </c>
      <c r="AJ523">
        <f t="shared" si="63"/>
        <v>1</v>
      </c>
      <c r="AK523">
        <f t="shared" si="64"/>
        <v>7372.9216334164885</v>
      </c>
      <c r="AL523">
        <f t="shared" si="65"/>
        <v>42520.799999999996</v>
      </c>
      <c r="AM523">
        <f>MIN(MAX(0,$B$10-AL523)*AI523,'Retirement Gap'!$B$29)</f>
        <v>10850.278366583516</v>
      </c>
      <c r="AN523">
        <f>IF($E$40="B - Withdrawals + Roth conversions",AJ523*MAX(0,MIN($B$47-AL523,MIN($B$59,IRMAA!$C$16)-(AL523+$B$8*0.85+AK523*$B$46))),0)</f>
        <v>0</v>
      </c>
      <c r="AO523" cm="1">
        <f t="array" ref="AO523">_xlfn.LET(_xlpm.N,$B$49,_xlpm.R,$B$48,_xlpm.Start,$B$47,_xlpm.PlanWD,AL523,_xlpm.PlanRoth,AM523,_xlpm.PlanConv,AN523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33933.039999999994</v>
      </c>
      <c r="AP523" cm="1">
        <f t="array" ref="AP523">_xlfn.LET(_xlpm.N,$B$49,_xlpm.R,$B$48,_xlpm.Start,$B$47,_xlpm.PlanWD,AL523,_xlpm.PlanRoth,AM523,_xlpm.PlanConv,AN523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523" cm="1">
        <f t="array" ref="AQ523">_xlfn.LET(_xlpm.N,$B$49,_xlpm.R,$B$48,_xlpm.Start,$B$47,_xlpm.PlanWD,AL523,_xlpm.PlanRoth,AM523,_xlpm.PlanConv,AN523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972795.50694223284</v>
      </c>
      <c r="AR523" cm="1">
        <f t="array" ref="AR523">_xlfn.LET(_xlpm.N,$B$49,_xlpm.R,$B$48,_xlpm.Start,$B$47,_xlpm.PlanWD,AL523,_xlpm.PlanRoth,AM523,_xlpm.PlanConv,AN523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1012069.3251485301</v>
      </c>
      <c r="AS523">
        <f>--AND(AK523&lt;=SUM('Retirement Gap'!$B$24:$B$25,'Retirement Gap'!$B$27),AL523+AN523&lt;=$B$47,AM523&lt;='Retirement Gap'!$B$29,ABS(AK523+AL523+AM523-$B$10)&lt;1)</f>
        <v>1</v>
      </c>
      <c r="AT523" cm="1">
        <f t="array" ref="AT523">IF(AS523=0,1E+99,_xlfn.SWITCH(LEFT($E$39,1),"1",AO523,"2",AP523*1000000000+AO523,"3",-AQ523,"4",AO523+AP523*25000+AR523*0.005-AQ523*0.0001,AO523))</f>
        <v>-972795.50694223284</v>
      </c>
    </row>
    <row r="524" spans="33:46" x14ac:dyDescent="0.55000000000000004">
      <c r="AG524">
        <f t="shared" si="60"/>
        <v>523</v>
      </c>
      <c r="AH524">
        <f t="shared" si="61"/>
        <v>0.7</v>
      </c>
      <c r="AI524">
        <f t="shared" si="62"/>
        <v>1</v>
      </c>
      <c r="AJ524">
        <f t="shared" si="63"/>
        <v>0</v>
      </c>
      <c r="AK524">
        <f t="shared" si="64"/>
        <v>7372.9216334164885</v>
      </c>
      <c r="AL524">
        <f t="shared" si="65"/>
        <v>42520.799999999996</v>
      </c>
      <c r="AM524">
        <f>MIN(MAX(0,$B$10-AL524)*AI524,'Retirement Gap'!$B$29)</f>
        <v>10850.278366583516</v>
      </c>
      <c r="AN524">
        <f>IF($E$40="B - Withdrawals + Roth conversions",AJ524*MAX(0,MIN($B$47-AL524,MIN($B$59,IRMAA!$C$16)-(AL524+$B$8*0.85+AK524*$B$46))),0)</f>
        <v>0</v>
      </c>
      <c r="AO524" cm="1">
        <f t="array" ref="AO524">_xlfn.LET(_xlpm.N,$B$49,_xlpm.R,$B$48,_xlpm.Start,$B$47,_xlpm.PlanWD,AL524,_xlpm.PlanRoth,AM524,_xlpm.PlanConv,AN524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33933.039999999994</v>
      </c>
      <c r="AP524" cm="1">
        <f t="array" ref="AP524">_xlfn.LET(_xlpm.N,$B$49,_xlpm.R,$B$48,_xlpm.Start,$B$47,_xlpm.PlanWD,AL524,_xlpm.PlanRoth,AM524,_xlpm.PlanConv,AN524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524" cm="1">
        <f t="array" ref="AQ524">_xlfn.LET(_xlpm.N,$B$49,_xlpm.R,$B$48,_xlpm.Start,$B$47,_xlpm.PlanWD,AL524,_xlpm.PlanRoth,AM524,_xlpm.PlanConv,AN524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972795.50694223284</v>
      </c>
      <c r="AR524" cm="1">
        <f t="array" ref="AR524">_xlfn.LET(_xlpm.N,$B$49,_xlpm.R,$B$48,_xlpm.Start,$B$47,_xlpm.PlanWD,AL524,_xlpm.PlanRoth,AM524,_xlpm.PlanConv,AN524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1012069.3251485301</v>
      </c>
      <c r="AS524">
        <f>--AND(AK524&lt;=SUM('Retirement Gap'!$B$24:$B$25,'Retirement Gap'!$B$27),AL524+AN524&lt;=$B$47,AM524&lt;='Retirement Gap'!$B$29,ABS(AK524+AL524+AM524-$B$10)&lt;1)</f>
        <v>1</v>
      </c>
      <c r="AT524" cm="1">
        <f t="array" ref="AT524">IF(AS524=0,1E+99,_xlfn.SWITCH(LEFT($E$39,1),"1",AO524,"2",AP524*1000000000+AO524,"3",-AQ524,"4",AO524+AP524*25000+AR524*0.005-AQ524*0.0001,AO524))</f>
        <v>-972795.50694223284</v>
      </c>
    </row>
    <row r="525" spans="33:46" x14ac:dyDescent="0.55000000000000004">
      <c r="AG525">
        <f t="shared" si="60"/>
        <v>524</v>
      </c>
      <c r="AH525">
        <f t="shared" si="61"/>
        <v>0.7</v>
      </c>
      <c r="AI525">
        <f t="shared" si="62"/>
        <v>1</v>
      </c>
      <c r="AJ525">
        <f t="shared" si="63"/>
        <v>0.2</v>
      </c>
      <c r="AK525">
        <f t="shared" si="64"/>
        <v>7372.9216334164885</v>
      </c>
      <c r="AL525">
        <f t="shared" si="65"/>
        <v>42520.799999999996</v>
      </c>
      <c r="AM525">
        <f>MIN(MAX(0,$B$10-AL525)*AI525,'Retirement Gap'!$B$29)</f>
        <v>10850.278366583516</v>
      </c>
      <c r="AN525">
        <f>IF($E$40="B - Withdrawals + Roth conversions",AJ525*MAX(0,MIN($B$47-AL525,MIN($B$59,IRMAA!$C$16)-(AL525+$B$8*0.85+AK525*$B$46))),0)</f>
        <v>0</v>
      </c>
      <c r="AO525" cm="1">
        <f t="array" ref="AO525">_xlfn.LET(_xlpm.N,$B$49,_xlpm.R,$B$48,_xlpm.Start,$B$47,_xlpm.PlanWD,AL525,_xlpm.PlanRoth,AM525,_xlpm.PlanConv,AN525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33933.039999999994</v>
      </c>
      <c r="AP525" cm="1">
        <f t="array" ref="AP525">_xlfn.LET(_xlpm.N,$B$49,_xlpm.R,$B$48,_xlpm.Start,$B$47,_xlpm.PlanWD,AL525,_xlpm.PlanRoth,AM525,_xlpm.PlanConv,AN525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525" cm="1">
        <f t="array" ref="AQ525">_xlfn.LET(_xlpm.N,$B$49,_xlpm.R,$B$48,_xlpm.Start,$B$47,_xlpm.PlanWD,AL525,_xlpm.PlanRoth,AM525,_xlpm.PlanConv,AN525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972795.50694223284</v>
      </c>
      <c r="AR525" cm="1">
        <f t="array" ref="AR525">_xlfn.LET(_xlpm.N,$B$49,_xlpm.R,$B$48,_xlpm.Start,$B$47,_xlpm.PlanWD,AL525,_xlpm.PlanRoth,AM525,_xlpm.PlanConv,AN525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1012069.3251485301</v>
      </c>
      <c r="AS525">
        <f>--AND(AK525&lt;=SUM('Retirement Gap'!$B$24:$B$25,'Retirement Gap'!$B$27),AL525+AN525&lt;=$B$47,AM525&lt;='Retirement Gap'!$B$29,ABS(AK525+AL525+AM525-$B$10)&lt;1)</f>
        <v>1</v>
      </c>
      <c r="AT525" cm="1">
        <f t="array" ref="AT525">IF(AS525=0,1E+99,_xlfn.SWITCH(LEFT($E$39,1),"1",AO525,"2",AP525*1000000000+AO525,"3",-AQ525,"4",AO525+AP525*25000+AR525*0.005-AQ525*0.0001,AO525))</f>
        <v>-972795.50694223284</v>
      </c>
    </row>
    <row r="526" spans="33:46" x14ac:dyDescent="0.55000000000000004">
      <c r="AG526">
        <f t="shared" si="60"/>
        <v>525</v>
      </c>
      <c r="AH526">
        <f t="shared" si="61"/>
        <v>0.7</v>
      </c>
      <c r="AI526">
        <f t="shared" si="62"/>
        <v>1</v>
      </c>
      <c r="AJ526">
        <f t="shared" si="63"/>
        <v>0.4</v>
      </c>
      <c r="AK526">
        <f t="shared" si="64"/>
        <v>7372.9216334164885</v>
      </c>
      <c r="AL526">
        <f t="shared" si="65"/>
        <v>42520.799999999996</v>
      </c>
      <c r="AM526">
        <f>MIN(MAX(0,$B$10-AL526)*AI526,'Retirement Gap'!$B$29)</f>
        <v>10850.278366583516</v>
      </c>
      <c r="AN526">
        <f>IF($E$40="B - Withdrawals + Roth conversions",AJ526*MAX(0,MIN($B$47-AL526,MIN($B$59,IRMAA!$C$16)-(AL526+$B$8*0.85+AK526*$B$46))),0)</f>
        <v>0</v>
      </c>
      <c r="AO526" cm="1">
        <f t="array" ref="AO526">_xlfn.LET(_xlpm.N,$B$49,_xlpm.R,$B$48,_xlpm.Start,$B$47,_xlpm.PlanWD,AL526,_xlpm.PlanRoth,AM526,_xlpm.PlanConv,AN526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33933.039999999994</v>
      </c>
      <c r="AP526" cm="1">
        <f t="array" ref="AP526">_xlfn.LET(_xlpm.N,$B$49,_xlpm.R,$B$48,_xlpm.Start,$B$47,_xlpm.PlanWD,AL526,_xlpm.PlanRoth,AM526,_xlpm.PlanConv,AN526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526" cm="1">
        <f t="array" ref="AQ526">_xlfn.LET(_xlpm.N,$B$49,_xlpm.R,$B$48,_xlpm.Start,$B$47,_xlpm.PlanWD,AL526,_xlpm.PlanRoth,AM526,_xlpm.PlanConv,AN526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972795.50694223284</v>
      </c>
      <c r="AR526" cm="1">
        <f t="array" ref="AR526">_xlfn.LET(_xlpm.N,$B$49,_xlpm.R,$B$48,_xlpm.Start,$B$47,_xlpm.PlanWD,AL526,_xlpm.PlanRoth,AM526,_xlpm.PlanConv,AN526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1012069.3251485301</v>
      </c>
      <c r="AS526">
        <f>--AND(AK526&lt;=SUM('Retirement Gap'!$B$24:$B$25,'Retirement Gap'!$B$27),AL526+AN526&lt;=$B$47,AM526&lt;='Retirement Gap'!$B$29,ABS(AK526+AL526+AM526-$B$10)&lt;1)</f>
        <v>1</v>
      </c>
      <c r="AT526" cm="1">
        <f t="array" ref="AT526">IF(AS526=0,1E+99,_xlfn.SWITCH(LEFT($E$39,1),"1",AO526,"2",AP526*1000000000+AO526,"3",-AQ526,"4",AO526+AP526*25000+AR526*0.005-AQ526*0.0001,AO526))</f>
        <v>-972795.50694223284</v>
      </c>
    </row>
    <row r="527" spans="33:46" x14ac:dyDescent="0.55000000000000004">
      <c r="AG527">
        <f t="shared" si="60"/>
        <v>526</v>
      </c>
      <c r="AH527">
        <f t="shared" si="61"/>
        <v>0.7</v>
      </c>
      <c r="AI527">
        <f t="shared" si="62"/>
        <v>1</v>
      </c>
      <c r="AJ527">
        <f t="shared" si="63"/>
        <v>0.6</v>
      </c>
      <c r="AK527">
        <f t="shared" si="64"/>
        <v>7372.9216334164885</v>
      </c>
      <c r="AL527">
        <f t="shared" si="65"/>
        <v>42520.799999999996</v>
      </c>
      <c r="AM527">
        <f>MIN(MAX(0,$B$10-AL527)*AI527,'Retirement Gap'!$B$29)</f>
        <v>10850.278366583516</v>
      </c>
      <c r="AN527">
        <f>IF($E$40="B - Withdrawals + Roth conversions",AJ527*MAX(0,MIN($B$47-AL527,MIN($B$59,IRMAA!$C$16)-(AL527+$B$8*0.85+AK527*$B$46))),0)</f>
        <v>0</v>
      </c>
      <c r="AO527" cm="1">
        <f t="array" ref="AO527">_xlfn.LET(_xlpm.N,$B$49,_xlpm.R,$B$48,_xlpm.Start,$B$47,_xlpm.PlanWD,AL527,_xlpm.PlanRoth,AM527,_xlpm.PlanConv,AN527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33933.039999999994</v>
      </c>
      <c r="AP527" cm="1">
        <f t="array" ref="AP527">_xlfn.LET(_xlpm.N,$B$49,_xlpm.R,$B$48,_xlpm.Start,$B$47,_xlpm.PlanWD,AL527,_xlpm.PlanRoth,AM527,_xlpm.PlanConv,AN527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527" cm="1">
        <f t="array" ref="AQ527">_xlfn.LET(_xlpm.N,$B$49,_xlpm.R,$B$48,_xlpm.Start,$B$47,_xlpm.PlanWD,AL527,_xlpm.PlanRoth,AM527,_xlpm.PlanConv,AN527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972795.50694223284</v>
      </c>
      <c r="AR527" cm="1">
        <f t="array" ref="AR527">_xlfn.LET(_xlpm.N,$B$49,_xlpm.R,$B$48,_xlpm.Start,$B$47,_xlpm.PlanWD,AL527,_xlpm.PlanRoth,AM527,_xlpm.PlanConv,AN527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1012069.3251485301</v>
      </c>
      <c r="AS527">
        <f>--AND(AK527&lt;=SUM('Retirement Gap'!$B$24:$B$25,'Retirement Gap'!$B$27),AL527+AN527&lt;=$B$47,AM527&lt;='Retirement Gap'!$B$29,ABS(AK527+AL527+AM527-$B$10)&lt;1)</f>
        <v>1</v>
      </c>
      <c r="AT527" cm="1">
        <f t="array" ref="AT527">IF(AS527=0,1E+99,_xlfn.SWITCH(LEFT($E$39,1),"1",AO527,"2",AP527*1000000000+AO527,"3",-AQ527,"4",AO527+AP527*25000+AR527*0.005-AQ527*0.0001,AO527))</f>
        <v>-972795.50694223284</v>
      </c>
    </row>
    <row r="528" spans="33:46" x14ac:dyDescent="0.55000000000000004">
      <c r="AG528">
        <f t="shared" si="60"/>
        <v>527</v>
      </c>
      <c r="AH528">
        <f t="shared" si="61"/>
        <v>0.7</v>
      </c>
      <c r="AI528">
        <f t="shared" si="62"/>
        <v>1</v>
      </c>
      <c r="AJ528">
        <f t="shared" si="63"/>
        <v>0.8</v>
      </c>
      <c r="AK528">
        <f t="shared" si="64"/>
        <v>7372.9216334164885</v>
      </c>
      <c r="AL528">
        <f t="shared" si="65"/>
        <v>42520.799999999996</v>
      </c>
      <c r="AM528">
        <f>MIN(MAX(0,$B$10-AL528)*AI528,'Retirement Gap'!$B$29)</f>
        <v>10850.278366583516</v>
      </c>
      <c r="AN528">
        <f>IF($E$40="B - Withdrawals + Roth conversions",AJ528*MAX(0,MIN($B$47-AL528,MIN($B$59,IRMAA!$C$16)-(AL528+$B$8*0.85+AK528*$B$46))),0)</f>
        <v>0</v>
      </c>
      <c r="AO528" cm="1">
        <f t="array" ref="AO528">_xlfn.LET(_xlpm.N,$B$49,_xlpm.R,$B$48,_xlpm.Start,$B$47,_xlpm.PlanWD,AL528,_xlpm.PlanRoth,AM528,_xlpm.PlanConv,AN528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33933.039999999994</v>
      </c>
      <c r="AP528" cm="1">
        <f t="array" ref="AP528">_xlfn.LET(_xlpm.N,$B$49,_xlpm.R,$B$48,_xlpm.Start,$B$47,_xlpm.PlanWD,AL528,_xlpm.PlanRoth,AM528,_xlpm.PlanConv,AN528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528" cm="1">
        <f t="array" ref="AQ528">_xlfn.LET(_xlpm.N,$B$49,_xlpm.R,$B$48,_xlpm.Start,$B$47,_xlpm.PlanWD,AL528,_xlpm.PlanRoth,AM528,_xlpm.PlanConv,AN528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972795.50694223284</v>
      </c>
      <c r="AR528" cm="1">
        <f t="array" ref="AR528">_xlfn.LET(_xlpm.N,$B$49,_xlpm.R,$B$48,_xlpm.Start,$B$47,_xlpm.PlanWD,AL528,_xlpm.PlanRoth,AM528,_xlpm.PlanConv,AN528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1012069.3251485301</v>
      </c>
      <c r="AS528">
        <f>--AND(AK528&lt;=SUM('Retirement Gap'!$B$24:$B$25,'Retirement Gap'!$B$27),AL528+AN528&lt;=$B$47,AM528&lt;='Retirement Gap'!$B$29,ABS(AK528+AL528+AM528-$B$10)&lt;1)</f>
        <v>1</v>
      </c>
      <c r="AT528" cm="1">
        <f t="array" ref="AT528">IF(AS528=0,1E+99,_xlfn.SWITCH(LEFT($E$39,1),"1",AO528,"2",AP528*1000000000+AO528,"3",-AQ528,"4",AO528+AP528*25000+AR528*0.005-AQ528*0.0001,AO528))</f>
        <v>-972795.50694223284</v>
      </c>
    </row>
    <row r="529" spans="33:46" x14ac:dyDescent="0.55000000000000004">
      <c r="AG529">
        <f t="shared" si="60"/>
        <v>528</v>
      </c>
      <c r="AH529">
        <f t="shared" si="61"/>
        <v>0.7</v>
      </c>
      <c r="AI529">
        <f t="shared" si="62"/>
        <v>1</v>
      </c>
      <c r="AJ529">
        <f t="shared" si="63"/>
        <v>1</v>
      </c>
      <c r="AK529">
        <f t="shared" si="64"/>
        <v>7372.9216334164885</v>
      </c>
      <c r="AL529">
        <f t="shared" si="65"/>
        <v>42520.799999999996</v>
      </c>
      <c r="AM529">
        <f>MIN(MAX(0,$B$10-AL529)*AI529,'Retirement Gap'!$B$29)</f>
        <v>10850.278366583516</v>
      </c>
      <c r="AN529">
        <f>IF($E$40="B - Withdrawals + Roth conversions",AJ529*MAX(0,MIN($B$47-AL529,MIN($B$59,IRMAA!$C$16)-(AL529+$B$8*0.85+AK529*$B$46))),0)</f>
        <v>0</v>
      </c>
      <c r="AO529" cm="1">
        <f t="array" ref="AO529">_xlfn.LET(_xlpm.N,$B$49,_xlpm.R,$B$48,_xlpm.Start,$B$47,_xlpm.PlanWD,AL529,_xlpm.PlanRoth,AM529,_xlpm.PlanConv,AN529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33933.039999999994</v>
      </c>
      <c r="AP529" cm="1">
        <f t="array" ref="AP529">_xlfn.LET(_xlpm.N,$B$49,_xlpm.R,$B$48,_xlpm.Start,$B$47,_xlpm.PlanWD,AL529,_xlpm.PlanRoth,AM529,_xlpm.PlanConv,AN529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529" cm="1">
        <f t="array" ref="AQ529">_xlfn.LET(_xlpm.N,$B$49,_xlpm.R,$B$48,_xlpm.Start,$B$47,_xlpm.PlanWD,AL529,_xlpm.PlanRoth,AM529,_xlpm.PlanConv,AN529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972795.50694223284</v>
      </c>
      <c r="AR529" cm="1">
        <f t="array" ref="AR529">_xlfn.LET(_xlpm.N,$B$49,_xlpm.R,$B$48,_xlpm.Start,$B$47,_xlpm.PlanWD,AL529,_xlpm.PlanRoth,AM529,_xlpm.PlanConv,AN529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1012069.3251485301</v>
      </c>
      <c r="AS529">
        <f>--AND(AK529&lt;=SUM('Retirement Gap'!$B$24:$B$25,'Retirement Gap'!$B$27),AL529+AN529&lt;=$B$47,AM529&lt;='Retirement Gap'!$B$29,ABS(AK529+AL529+AM529-$B$10)&lt;1)</f>
        <v>1</v>
      </c>
      <c r="AT529" cm="1">
        <f t="array" ref="AT529">IF(AS529=0,1E+99,_xlfn.SWITCH(LEFT($E$39,1),"1",AO529,"2",AP529*1000000000+AO529,"3",-AQ529,"4",AO529+AP529*25000+AR529*0.005-AQ529*0.0001,AO529))</f>
        <v>-972795.50694223284</v>
      </c>
    </row>
    <row r="530" spans="33:46" x14ac:dyDescent="0.55000000000000004">
      <c r="AG530">
        <f t="shared" si="60"/>
        <v>529</v>
      </c>
      <c r="AH530">
        <f t="shared" si="61"/>
        <v>0.8</v>
      </c>
      <c r="AI530">
        <f t="shared" si="62"/>
        <v>0</v>
      </c>
      <c r="AJ530">
        <f t="shared" si="63"/>
        <v>0</v>
      </c>
      <c r="AK530">
        <f t="shared" si="64"/>
        <v>12148.799999999996</v>
      </c>
      <c r="AL530">
        <f t="shared" si="65"/>
        <v>48595.200000000004</v>
      </c>
      <c r="AM530">
        <f>MIN(MAX(0,$B$10-AL530)*AI530,'Retirement Gap'!$B$29)</f>
        <v>0</v>
      </c>
      <c r="AN530">
        <f>IF($E$40="B - Withdrawals + Roth conversions",AJ530*MAX(0,MIN($B$47-AL530,MIN($B$59,IRMAA!$C$16)-(AL530+$B$8*0.85+AK530*$B$46))),0)</f>
        <v>0</v>
      </c>
      <c r="AO530" cm="1">
        <f t="array" ref="AO530">_xlfn.LET(_xlpm.N,$B$49,_xlpm.R,$B$48,_xlpm.Start,$B$47,_xlpm.PlanWD,AL530,_xlpm.PlanRoth,AM530,_xlpm.PlanConv,AN530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37577.68</v>
      </c>
      <c r="AP530" cm="1">
        <f t="array" ref="AP530">_xlfn.LET(_xlpm.N,$B$49,_xlpm.R,$B$48,_xlpm.Start,$B$47,_xlpm.PlanWD,AL530,_xlpm.PlanRoth,AM530,_xlpm.PlanConv,AN530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530" cm="1">
        <f t="array" ref="AQ530">_xlfn.LET(_xlpm.N,$B$49,_xlpm.R,$B$48,_xlpm.Start,$B$47,_xlpm.PlanWD,AL530,_xlpm.PlanRoth,AM530,_xlpm.PlanConv,AN530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968686.47204508656</v>
      </c>
      <c r="AR530" cm="1">
        <f t="array" ref="AR530">_xlfn.LET(_xlpm.N,$B$49,_xlpm.R,$B$48,_xlpm.Start,$B$47,_xlpm.PlanWD,AL530,_xlpm.PlanRoth,AM530,_xlpm.PlanConv,AN530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977827.36767230637</v>
      </c>
      <c r="AS530">
        <f>--AND(AK530&lt;=SUM('Retirement Gap'!$B$24:$B$25,'Retirement Gap'!$B$27),AL530+AN530&lt;=$B$47,AM530&lt;='Retirement Gap'!$B$29,ABS(AK530+AL530+AM530-$B$10)&lt;1)</f>
        <v>1</v>
      </c>
      <c r="AT530" cm="1">
        <f t="array" ref="AT530">IF(AS530=0,1E+99,_xlfn.SWITCH(LEFT($E$39,1),"1",AO530,"2",AP530*1000000000+AO530,"3",-AQ530,"4",AO530+AP530*25000+AR530*0.005-AQ530*0.0001,AO530))</f>
        <v>-968686.47204508656</v>
      </c>
    </row>
    <row r="531" spans="33:46" x14ac:dyDescent="0.55000000000000004">
      <c r="AG531">
        <f t="shared" si="60"/>
        <v>530</v>
      </c>
      <c r="AH531">
        <f t="shared" si="61"/>
        <v>0.8</v>
      </c>
      <c r="AI531">
        <f t="shared" si="62"/>
        <v>0</v>
      </c>
      <c r="AJ531">
        <f t="shared" si="63"/>
        <v>0.2</v>
      </c>
      <c r="AK531">
        <f t="shared" si="64"/>
        <v>12148.799999999996</v>
      </c>
      <c r="AL531">
        <f t="shared" si="65"/>
        <v>48595.200000000004</v>
      </c>
      <c r="AM531">
        <f>MIN(MAX(0,$B$10-AL531)*AI531,'Retirement Gap'!$B$29)</f>
        <v>0</v>
      </c>
      <c r="AN531">
        <f>IF($E$40="B - Withdrawals + Roth conversions",AJ531*MAX(0,MIN($B$47-AL531,MIN($B$59,IRMAA!$C$16)-(AL531+$B$8*0.85+AK531*$B$46))),0)</f>
        <v>0</v>
      </c>
      <c r="AO531" cm="1">
        <f t="array" ref="AO531">_xlfn.LET(_xlpm.N,$B$49,_xlpm.R,$B$48,_xlpm.Start,$B$47,_xlpm.PlanWD,AL531,_xlpm.PlanRoth,AM531,_xlpm.PlanConv,AN531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37577.68</v>
      </c>
      <c r="AP531" cm="1">
        <f t="array" ref="AP531">_xlfn.LET(_xlpm.N,$B$49,_xlpm.R,$B$48,_xlpm.Start,$B$47,_xlpm.PlanWD,AL531,_xlpm.PlanRoth,AM531,_xlpm.PlanConv,AN531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531" cm="1">
        <f t="array" ref="AQ531">_xlfn.LET(_xlpm.N,$B$49,_xlpm.R,$B$48,_xlpm.Start,$B$47,_xlpm.PlanWD,AL531,_xlpm.PlanRoth,AM531,_xlpm.PlanConv,AN531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968686.47204508656</v>
      </c>
      <c r="AR531" cm="1">
        <f t="array" ref="AR531">_xlfn.LET(_xlpm.N,$B$49,_xlpm.R,$B$48,_xlpm.Start,$B$47,_xlpm.PlanWD,AL531,_xlpm.PlanRoth,AM531,_xlpm.PlanConv,AN531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977827.36767230637</v>
      </c>
      <c r="AS531">
        <f>--AND(AK531&lt;=SUM('Retirement Gap'!$B$24:$B$25,'Retirement Gap'!$B$27),AL531+AN531&lt;=$B$47,AM531&lt;='Retirement Gap'!$B$29,ABS(AK531+AL531+AM531-$B$10)&lt;1)</f>
        <v>1</v>
      </c>
      <c r="AT531" cm="1">
        <f t="array" ref="AT531">IF(AS531=0,1E+99,_xlfn.SWITCH(LEFT($E$39,1),"1",AO531,"2",AP531*1000000000+AO531,"3",-AQ531,"4",AO531+AP531*25000+AR531*0.005-AQ531*0.0001,AO531))</f>
        <v>-968686.47204508656</v>
      </c>
    </row>
    <row r="532" spans="33:46" x14ac:dyDescent="0.55000000000000004">
      <c r="AG532">
        <f t="shared" si="60"/>
        <v>531</v>
      </c>
      <c r="AH532">
        <f t="shared" si="61"/>
        <v>0.8</v>
      </c>
      <c r="AI532">
        <f t="shared" si="62"/>
        <v>0</v>
      </c>
      <c r="AJ532">
        <f t="shared" si="63"/>
        <v>0.4</v>
      </c>
      <c r="AK532">
        <f t="shared" si="64"/>
        <v>12148.799999999996</v>
      </c>
      <c r="AL532">
        <f t="shared" si="65"/>
        <v>48595.200000000004</v>
      </c>
      <c r="AM532">
        <f>MIN(MAX(0,$B$10-AL532)*AI532,'Retirement Gap'!$B$29)</f>
        <v>0</v>
      </c>
      <c r="AN532">
        <f>IF($E$40="B - Withdrawals + Roth conversions",AJ532*MAX(0,MIN($B$47-AL532,MIN($B$59,IRMAA!$C$16)-(AL532+$B$8*0.85+AK532*$B$46))),0)</f>
        <v>0</v>
      </c>
      <c r="AO532" cm="1">
        <f t="array" ref="AO532">_xlfn.LET(_xlpm.N,$B$49,_xlpm.R,$B$48,_xlpm.Start,$B$47,_xlpm.PlanWD,AL532,_xlpm.PlanRoth,AM532,_xlpm.PlanConv,AN532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37577.68</v>
      </c>
      <c r="AP532" cm="1">
        <f t="array" ref="AP532">_xlfn.LET(_xlpm.N,$B$49,_xlpm.R,$B$48,_xlpm.Start,$B$47,_xlpm.PlanWD,AL532,_xlpm.PlanRoth,AM532,_xlpm.PlanConv,AN532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532" cm="1">
        <f t="array" ref="AQ532">_xlfn.LET(_xlpm.N,$B$49,_xlpm.R,$B$48,_xlpm.Start,$B$47,_xlpm.PlanWD,AL532,_xlpm.PlanRoth,AM532,_xlpm.PlanConv,AN532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968686.47204508656</v>
      </c>
      <c r="AR532" cm="1">
        <f t="array" ref="AR532">_xlfn.LET(_xlpm.N,$B$49,_xlpm.R,$B$48,_xlpm.Start,$B$47,_xlpm.PlanWD,AL532,_xlpm.PlanRoth,AM532,_xlpm.PlanConv,AN532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977827.36767230637</v>
      </c>
      <c r="AS532">
        <f>--AND(AK532&lt;=SUM('Retirement Gap'!$B$24:$B$25,'Retirement Gap'!$B$27),AL532+AN532&lt;=$B$47,AM532&lt;='Retirement Gap'!$B$29,ABS(AK532+AL532+AM532-$B$10)&lt;1)</f>
        <v>1</v>
      </c>
      <c r="AT532" cm="1">
        <f t="array" ref="AT532">IF(AS532=0,1E+99,_xlfn.SWITCH(LEFT($E$39,1),"1",AO532,"2",AP532*1000000000+AO532,"3",-AQ532,"4",AO532+AP532*25000+AR532*0.005-AQ532*0.0001,AO532))</f>
        <v>-968686.47204508656</v>
      </c>
    </row>
    <row r="533" spans="33:46" x14ac:dyDescent="0.55000000000000004">
      <c r="AG533">
        <f t="shared" si="60"/>
        <v>532</v>
      </c>
      <c r="AH533">
        <f t="shared" si="61"/>
        <v>0.8</v>
      </c>
      <c r="AI533">
        <f t="shared" si="62"/>
        <v>0</v>
      </c>
      <c r="AJ533">
        <f t="shared" si="63"/>
        <v>0.6</v>
      </c>
      <c r="AK533">
        <f t="shared" si="64"/>
        <v>12148.799999999996</v>
      </c>
      <c r="AL533">
        <f t="shared" si="65"/>
        <v>48595.200000000004</v>
      </c>
      <c r="AM533">
        <f>MIN(MAX(0,$B$10-AL533)*AI533,'Retirement Gap'!$B$29)</f>
        <v>0</v>
      </c>
      <c r="AN533">
        <f>IF($E$40="B - Withdrawals + Roth conversions",AJ533*MAX(0,MIN($B$47-AL533,MIN($B$59,IRMAA!$C$16)-(AL533+$B$8*0.85+AK533*$B$46))),0)</f>
        <v>0</v>
      </c>
      <c r="AO533" cm="1">
        <f t="array" ref="AO533">_xlfn.LET(_xlpm.N,$B$49,_xlpm.R,$B$48,_xlpm.Start,$B$47,_xlpm.PlanWD,AL533,_xlpm.PlanRoth,AM533,_xlpm.PlanConv,AN533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37577.68</v>
      </c>
      <c r="AP533" cm="1">
        <f t="array" ref="AP533">_xlfn.LET(_xlpm.N,$B$49,_xlpm.R,$B$48,_xlpm.Start,$B$47,_xlpm.PlanWD,AL533,_xlpm.PlanRoth,AM533,_xlpm.PlanConv,AN533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533" cm="1">
        <f t="array" ref="AQ533">_xlfn.LET(_xlpm.N,$B$49,_xlpm.R,$B$48,_xlpm.Start,$B$47,_xlpm.PlanWD,AL533,_xlpm.PlanRoth,AM533,_xlpm.PlanConv,AN533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968686.47204508656</v>
      </c>
      <c r="AR533" cm="1">
        <f t="array" ref="AR533">_xlfn.LET(_xlpm.N,$B$49,_xlpm.R,$B$48,_xlpm.Start,$B$47,_xlpm.PlanWD,AL533,_xlpm.PlanRoth,AM533,_xlpm.PlanConv,AN533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977827.36767230637</v>
      </c>
      <c r="AS533">
        <f>--AND(AK533&lt;=SUM('Retirement Gap'!$B$24:$B$25,'Retirement Gap'!$B$27),AL533+AN533&lt;=$B$47,AM533&lt;='Retirement Gap'!$B$29,ABS(AK533+AL533+AM533-$B$10)&lt;1)</f>
        <v>1</v>
      </c>
      <c r="AT533" cm="1">
        <f t="array" ref="AT533">IF(AS533=0,1E+99,_xlfn.SWITCH(LEFT($E$39,1),"1",AO533,"2",AP533*1000000000+AO533,"3",-AQ533,"4",AO533+AP533*25000+AR533*0.005-AQ533*0.0001,AO533))</f>
        <v>-968686.47204508656</v>
      </c>
    </row>
    <row r="534" spans="33:46" x14ac:dyDescent="0.55000000000000004">
      <c r="AG534">
        <f t="shared" si="60"/>
        <v>533</v>
      </c>
      <c r="AH534">
        <f t="shared" si="61"/>
        <v>0.8</v>
      </c>
      <c r="AI534">
        <f t="shared" si="62"/>
        <v>0</v>
      </c>
      <c r="AJ534">
        <f t="shared" si="63"/>
        <v>0.8</v>
      </c>
      <c r="AK534">
        <f t="shared" si="64"/>
        <v>12148.799999999996</v>
      </c>
      <c r="AL534">
        <f t="shared" si="65"/>
        <v>48595.200000000004</v>
      </c>
      <c r="AM534">
        <f>MIN(MAX(0,$B$10-AL534)*AI534,'Retirement Gap'!$B$29)</f>
        <v>0</v>
      </c>
      <c r="AN534">
        <f>IF($E$40="B - Withdrawals + Roth conversions",AJ534*MAX(0,MIN($B$47-AL534,MIN($B$59,IRMAA!$C$16)-(AL534+$B$8*0.85+AK534*$B$46))),0)</f>
        <v>0</v>
      </c>
      <c r="AO534" cm="1">
        <f t="array" ref="AO534">_xlfn.LET(_xlpm.N,$B$49,_xlpm.R,$B$48,_xlpm.Start,$B$47,_xlpm.PlanWD,AL534,_xlpm.PlanRoth,AM534,_xlpm.PlanConv,AN534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37577.68</v>
      </c>
      <c r="AP534" cm="1">
        <f t="array" ref="AP534">_xlfn.LET(_xlpm.N,$B$49,_xlpm.R,$B$48,_xlpm.Start,$B$47,_xlpm.PlanWD,AL534,_xlpm.PlanRoth,AM534,_xlpm.PlanConv,AN534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534" cm="1">
        <f t="array" ref="AQ534">_xlfn.LET(_xlpm.N,$B$49,_xlpm.R,$B$48,_xlpm.Start,$B$47,_xlpm.PlanWD,AL534,_xlpm.PlanRoth,AM534,_xlpm.PlanConv,AN534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968686.47204508656</v>
      </c>
      <c r="AR534" cm="1">
        <f t="array" ref="AR534">_xlfn.LET(_xlpm.N,$B$49,_xlpm.R,$B$48,_xlpm.Start,$B$47,_xlpm.PlanWD,AL534,_xlpm.PlanRoth,AM534,_xlpm.PlanConv,AN534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977827.36767230637</v>
      </c>
      <c r="AS534">
        <f>--AND(AK534&lt;=SUM('Retirement Gap'!$B$24:$B$25,'Retirement Gap'!$B$27),AL534+AN534&lt;=$B$47,AM534&lt;='Retirement Gap'!$B$29,ABS(AK534+AL534+AM534-$B$10)&lt;1)</f>
        <v>1</v>
      </c>
      <c r="AT534" cm="1">
        <f t="array" ref="AT534">IF(AS534=0,1E+99,_xlfn.SWITCH(LEFT($E$39,1),"1",AO534,"2",AP534*1000000000+AO534,"3",-AQ534,"4",AO534+AP534*25000+AR534*0.005-AQ534*0.0001,AO534))</f>
        <v>-968686.47204508656</v>
      </c>
    </row>
    <row r="535" spans="33:46" x14ac:dyDescent="0.55000000000000004">
      <c r="AG535">
        <f t="shared" si="60"/>
        <v>534</v>
      </c>
      <c r="AH535">
        <f t="shared" si="61"/>
        <v>0.8</v>
      </c>
      <c r="AI535">
        <f t="shared" si="62"/>
        <v>0</v>
      </c>
      <c r="AJ535">
        <f t="shared" si="63"/>
        <v>1</v>
      </c>
      <c r="AK535">
        <f t="shared" si="64"/>
        <v>12148.799999999996</v>
      </c>
      <c r="AL535">
        <f t="shared" si="65"/>
        <v>48595.200000000004</v>
      </c>
      <c r="AM535">
        <f>MIN(MAX(0,$B$10-AL535)*AI535,'Retirement Gap'!$B$29)</f>
        <v>0</v>
      </c>
      <c r="AN535">
        <f>IF($E$40="B - Withdrawals + Roth conversions",AJ535*MAX(0,MIN($B$47-AL535,MIN($B$59,IRMAA!$C$16)-(AL535+$B$8*0.85+AK535*$B$46))),0)</f>
        <v>0</v>
      </c>
      <c r="AO535" cm="1">
        <f t="array" ref="AO535">_xlfn.LET(_xlpm.N,$B$49,_xlpm.R,$B$48,_xlpm.Start,$B$47,_xlpm.PlanWD,AL535,_xlpm.PlanRoth,AM535,_xlpm.PlanConv,AN535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37577.68</v>
      </c>
      <c r="AP535" cm="1">
        <f t="array" ref="AP535">_xlfn.LET(_xlpm.N,$B$49,_xlpm.R,$B$48,_xlpm.Start,$B$47,_xlpm.PlanWD,AL535,_xlpm.PlanRoth,AM535,_xlpm.PlanConv,AN535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535" cm="1">
        <f t="array" ref="AQ535">_xlfn.LET(_xlpm.N,$B$49,_xlpm.R,$B$48,_xlpm.Start,$B$47,_xlpm.PlanWD,AL535,_xlpm.PlanRoth,AM535,_xlpm.PlanConv,AN535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968686.47204508656</v>
      </c>
      <c r="AR535" cm="1">
        <f t="array" ref="AR535">_xlfn.LET(_xlpm.N,$B$49,_xlpm.R,$B$48,_xlpm.Start,$B$47,_xlpm.PlanWD,AL535,_xlpm.PlanRoth,AM535,_xlpm.PlanConv,AN535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977827.36767230637</v>
      </c>
      <c r="AS535">
        <f>--AND(AK535&lt;=SUM('Retirement Gap'!$B$24:$B$25,'Retirement Gap'!$B$27),AL535+AN535&lt;=$B$47,AM535&lt;='Retirement Gap'!$B$29,ABS(AK535+AL535+AM535-$B$10)&lt;1)</f>
        <v>1</v>
      </c>
      <c r="AT535" cm="1">
        <f t="array" ref="AT535">IF(AS535=0,1E+99,_xlfn.SWITCH(LEFT($E$39,1),"1",AO535,"2",AP535*1000000000+AO535,"3",-AQ535,"4",AO535+AP535*25000+AR535*0.005-AQ535*0.0001,AO535))</f>
        <v>-968686.47204508656</v>
      </c>
    </row>
    <row r="536" spans="33:46" x14ac:dyDescent="0.55000000000000004">
      <c r="AG536">
        <f t="shared" si="60"/>
        <v>535</v>
      </c>
      <c r="AH536">
        <f t="shared" si="61"/>
        <v>0.8</v>
      </c>
      <c r="AI536">
        <f t="shared" si="62"/>
        <v>0.1</v>
      </c>
      <c r="AJ536">
        <f t="shared" si="63"/>
        <v>0</v>
      </c>
      <c r="AK536">
        <f t="shared" si="64"/>
        <v>10933.919999999996</v>
      </c>
      <c r="AL536">
        <f t="shared" si="65"/>
        <v>48595.200000000004</v>
      </c>
      <c r="AM536">
        <f>MIN(MAX(0,$B$10-AL536)*AI536,'Retirement Gap'!$B$29)</f>
        <v>1214.8799999999997</v>
      </c>
      <c r="AN536">
        <f>IF($E$40="B - Withdrawals + Roth conversions",AJ536*MAX(0,MIN($B$47-AL536,MIN($B$59,IRMAA!$C$16)-(AL536+$B$8*0.85+AK536*$B$46))),0)</f>
        <v>0</v>
      </c>
      <c r="AO536" cm="1">
        <f t="array" ref="AO536">_xlfn.LET(_xlpm.N,$B$49,_xlpm.R,$B$48,_xlpm.Start,$B$47,_xlpm.PlanWD,AL536,_xlpm.PlanRoth,AM536,_xlpm.PlanConv,AN536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37577.68</v>
      </c>
      <c r="AP536" cm="1">
        <f t="array" ref="AP536">_xlfn.LET(_xlpm.N,$B$49,_xlpm.R,$B$48,_xlpm.Start,$B$47,_xlpm.PlanWD,AL536,_xlpm.PlanRoth,AM536,_xlpm.PlanConv,AN536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536" cm="1">
        <f t="array" ref="AQ536">_xlfn.LET(_xlpm.N,$B$49,_xlpm.R,$B$48,_xlpm.Start,$B$47,_xlpm.PlanWD,AL536,_xlpm.PlanRoth,AM536,_xlpm.PlanConv,AN536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968686.47204508656</v>
      </c>
      <c r="AR536" cm="1">
        <f t="array" ref="AR536">_xlfn.LET(_xlpm.N,$B$49,_xlpm.R,$B$48,_xlpm.Start,$B$47,_xlpm.PlanWD,AL536,_xlpm.PlanRoth,AM536,_xlpm.PlanConv,AN536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977827.36767230637</v>
      </c>
      <c r="AS536">
        <f>--AND(AK536&lt;=SUM('Retirement Gap'!$B$24:$B$25,'Retirement Gap'!$B$27),AL536+AN536&lt;=$B$47,AM536&lt;='Retirement Gap'!$B$29,ABS(AK536+AL536+AM536-$B$10)&lt;1)</f>
        <v>1</v>
      </c>
      <c r="AT536" cm="1">
        <f t="array" ref="AT536">IF(AS536=0,1E+99,_xlfn.SWITCH(LEFT($E$39,1),"1",AO536,"2",AP536*1000000000+AO536,"3",-AQ536,"4",AO536+AP536*25000+AR536*0.005-AQ536*0.0001,AO536))</f>
        <v>-968686.47204508656</v>
      </c>
    </row>
    <row r="537" spans="33:46" x14ac:dyDescent="0.55000000000000004">
      <c r="AG537">
        <f t="shared" si="60"/>
        <v>536</v>
      </c>
      <c r="AH537">
        <f t="shared" si="61"/>
        <v>0.8</v>
      </c>
      <c r="AI537">
        <f t="shared" si="62"/>
        <v>0.1</v>
      </c>
      <c r="AJ537">
        <f t="shared" si="63"/>
        <v>0.2</v>
      </c>
      <c r="AK537">
        <f t="shared" si="64"/>
        <v>10933.919999999996</v>
      </c>
      <c r="AL537">
        <f t="shared" si="65"/>
        <v>48595.200000000004</v>
      </c>
      <c r="AM537">
        <f>MIN(MAX(0,$B$10-AL537)*AI537,'Retirement Gap'!$B$29)</f>
        <v>1214.8799999999997</v>
      </c>
      <c r="AN537">
        <f>IF($E$40="B - Withdrawals + Roth conversions",AJ537*MAX(0,MIN($B$47-AL537,MIN($B$59,IRMAA!$C$16)-(AL537+$B$8*0.85+AK537*$B$46))),0)</f>
        <v>0</v>
      </c>
      <c r="AO537" cm="1">
        <f t="array" ref="AO537">_xlfn.LET(_xlpm.N,$B$49,_xlpm.R,$B$48,_xlpm.Start,$B$47,_xlpm.PlanWD,AL537,_xlpm.PlanRoth,AM537,_xlpm.PlanConv,AN537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37577.68</v>
      </c>
      <c r="AP537" cm="1">
        <f t="array" ref="AP537">_xlfn.LET(_xlpm.N,$B$49,_xlpm.R,$B$48,_xlpm.Start,$B$47,_xlpm.PlanWD,AL537,_xlpm.PlanRoth,AM537,_xlpm.PlanConv,AN537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537" cm="1">
        <f t="array" ref="AQ537">_xlfn.LET(_xlpm.N,$B$49,_xlpm.R,$B$48,_xlpm.Start,$B$47,_xlpm.PlanWD,AL537,_xlpm.PlanRoth,AM537,_xlpm.PlanConv,AN537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968686.47204508656</v>
      </c>
      <c r="AR537" cm="1">
        <f t="array" ref="AR537">_xlfn.LET(_xlpm.N,$B$49,_xlpm.R,$B$48,_xlpm.Start,$B$47,_xlpm.PlanWD,AL537,_xlpm.PlanRoth,AM537,_xlpm.PlanConv,AN537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977827.36767230637</v>
      </c>
      <c r="AS537">
        <f>--AND(AK537&lt;=SUM('Retirement Gap'!$B$24:$B$25,'Retirement Gap'!$B$27),AL537+AN537&lt;=$B$47,AM537&lt;='Retirement Gap'!$B$29,ABS(AK537+AL537+AM537-$B$10)&lt;1)</f>
        <v>1</v>
      </c>
      <c r="AT537" cm="1">
        <f t="array" ref="AT537">IF(AS537=0,1E+99,_xlfn.SWITCH(LEFT($E$39,1),"1",AO537,"2",AP537*1000000000+AO537,"3",-AQ537,"4",AO537+AP537*25000+AR537*0.005-AQ537*0.0001,AO537))</f>
        <v>-968686.47204508656</v>
      </c>
    </row>
    <row r="538" spans="33:46" x14ac:dyDescent="0.55000000000000004">
      <c r="AG538">
        <f t="shared" si="60"/>
        <v>537</v>
      </c>
      <c r="AH538">
        <f t="shared" si="61"/>
        <v>0.8</v>
      </c>
      <c r="AI538">
        <f t="shared" si="62"/>
        <v>0.1</v>
      </c>
      <c r="AJ538">
        <f t="shared" si="63"/>
        <v>0.4</v>
      </c>
      <c r="AK538">
        <f t="shared" si="64"/>
        <v>10933.919999999996</v>
      </c>
      <c r="AL538">
        <f t="shared" si="65"/>
        <v>48595.200000000004</v>
      </c>
      <c r="AM538">
        <f>MIN(MAX(0,$B$10-AL538)*AI538,'Retirement Gap'!$B$29)</f>
        <v>1214.8799999999997</v>
      </c>
      <c r="AN538">
        <f>IF($E$40="B - Withdrawals + Roth conversions",AJ538*MAX(0,MIN($B$47-AL538,MIN($B$59,IRMAA!$C$16)-(AL538+$B$8*0.85+AK538*$B$46))),0)</f>
        <v>0</v>
      </c>
      <c r="AO538" cm="1">
        <f t="array" ref="AO538">_xlfn.LET(_xlpm.N,$B$49,_xlpm.R,$B$48,_xlpm.Start,$B$47,_xlpm.PlanWD,AL538,_xlpm.PlanRoth,AM538,_xlpm.PlanConv,AN538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37577.68</v>
      </c>
      <c r="AP538" cm="1">
        <f t="array" ref="AP538">_xlfn.LET(_xlpm.N,$B$49,_xlpm.R,$B$48,_xlpm.Start,$B$47,_xlpm.PlanWD,AL538,_xlpm.PlanRoth,AM538,_xlpm.PlanConv,AN538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538" cm="1">
        <f t="array" ref="AQ538">_xlfn.LET(_xlpm.N,$B$49,_xlpm.R,$B$48,_xlpm.Start,$B$47,_xlpm.PlanWD,AL538,_xlpm.PlanRoth,AM538,_xlpm.PlanConv,AN538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968686.47204508656</v>
      </c>
      <c r="AR538" cm="1">
        <f t="array" ref="AR538">_xlfn.LET(_xlpm.N,$B$49,_xlpm.R,$B$48,_xlpm.Start,$B$47,_xlpm.PlanWD,AL538,_xlpm.PlanRoth,AM538,_xlpm.PlanConv,AN538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977827.36767230637</v>
      </c>
      <c r="AS538">
        <f>--AND(AK538&lt;=SUM('Retirement Gap'!$B$24:$B$25,'Retirement Gap'!$B$27),AL538+AN538&lt;=$B$47,AM538&lt;='Retirement Gap'!$B$29,ABS(AK538+AL538+AM538-$B$10)&lt;1)</f>
        <v>1</v>
      </c>
      <c r="AT538" cm="1">
        <f t="array" ref="AT538">IF(AS538=0,1E+99,_xlfn.SWITCH(LEFT($E$39,1),"1",AO538,"2",AP538*1000000000+AO538,"3",-AQ538,"4",AO538+AP538*25000+AR538*0.005-AQ538*0.0001,AO538))</f>
        <v>-968686.47204508656</v>
      </c>
    </row>
    <row r="539" spans="33:46" x14ac:dyDescent="0.55000000000000004">
      <c r="AG539">
        <f t="shared" si="60"/>
        <v>538</v>
      </c>
      <c r="AH539">
        <f t="shared" si="61"/>
        <v>0.8</v>
      </c>
      <c r="AI539">
        <f t="shared" si="62"/>
        <v>0.1</v>
      </c>
      <c r="AJ539">
        <f t="shared" si="63"/>
        <v>0.6</v>
      </c>
      <c r="AK539">
        <f t="shared" si="64"/>
        <v>10933.919999999996</v>
      </c>
      <c r="AL539">
        <f t="shared" si="65"/>
        <v>48595.200000000004</v>
      </c>
      <c r="AM539">
        <f>MIN(MAX(0,$B$10-AL539)*AI539,'Retirement Gap'!$B$29)</f>
        <v>1214.8799999999997</v>
      </c>
      <c r="AN539">
        <f>IF($E$40="B - Withdrawals + Roth conversions",AJ539*MAX(0,MIN($B$47-AL539,MIN($B$59,IRMAA!$C$16)-(AL539+$B$8*0.85+AK539*$B$46))),0)</f>
        <v>0</v>
      </c>
      <c r="AO539" cm="1">
        <f t="array" ref="AO539">_xlfn.LET(_xlpm.N,$B$49,_xlpm.R,$B$48,_xlpm.Start,$B$47,_xlpm.PlanWD,AL539,_xlpm.PlanRoth,AM539,_xlpm.PlanConv,AN539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37577.68</v>
      </c>
      <c r="AP539" cm="1">
        <f t="array" ref="AP539">_xlfn.LET(_xlpm.N,$B$49,_xlpm.R,$B$48,_xlpm.Start,$B$47,_xlpm.PlanWD,AL539,_xlpm.PlanRoth,AM539,_xlpm.PlanConv,AN539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539" cm="1">
        <f t="array" ref="AQ539">_xlfn.LET(_xlpm.N,$B$49,_xlpm.R,$B$48,_xlpm.Start,$B$47,_xlpm.PlanWD,AL539,_xlpm.PlanRoth,AM539,_xlpm.PlanConv,AN539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968686.47204508656</v>
      </c>
      <c r="AR539" cm="1">
        <f t="array" ref="AR539">_xlfn.LET(_xlpm.N,$B$49,_xlpm.R,$B$48,_xlpm.Start,$B$47,_xlpm.PlanWD,AL539,_xlpm.PlanRoth,AM539,_xlpm.PlanConv,AN539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977827.36767230637</v>
      </c>
      <c r="AS539">
        <f>--AND(AK539&lt;=SUM('Retirement Gap'!$B$24:$B$25,'Retirement Gap'!$B$27),AL539+AN539&lt;=$B$47,AM539&lt;='Retirement Gap'!$B$29,ABS(AK539+AL539+AM539-$B$10)&lt;1)</f>
        <v>1</v>
      </c>
      <c r="AT539" cm="1">
        <f t="array" ref="AT539">IF(AS539=0,1E+99,_xlfn.SWITCH(LEFT($E$39,1),"1",AO539,"2",AP539*1000000000+AO539,"3",-AQ539,"4",AO539+AP539*25000+AR539*0.005-AQ539*0.0001,AO539))</f>
        <v>-968686.47204508656</v>
      </c>
    </row>
    <row r="540" spans="33:46" x14ac:dyDescent="0.55000000000000004">
      <c r="AG540">
        <f t="shared" si="60"/>
        <v>539</v>
      </c>
      <c r="AH540">
        <f t="shared" si="61"/>
        <v>0.8</v>
      </c>
      <c r="AI540">
        <f t="shared" si="62"/>
        <v>0.1</v>
      </c>
      <c r="AJ540">
        <f t="shared" si="63"/>
        <v>0.8</v>
      </c>
      <c r="AK540">
        <f t="shared" si="64"/>
        <v>10933.919999999996</v>
      </c>
      <c r="AL540">
        <f t="shared" si="65"/>
        <v>48595.200000000004</v>
      </c>
      <c r="AM540">
        <f>MIN(MAX(0,$B$10-AL540)*AI540,'Retirement Gap'!$B$29)</f>
        <v>1214.8799999999997</v>
      </c>
      <c r="AN540">
        <f>IF($E$40="B - Withdrawals + Roth conversions",AJ540*MAX(0,MIN($B$47-AL540,MIN($B$59,IRMAA!$C$16)-(AL540+$B$8*0.85+AK540*$B$46))),0)</f>
        <v>0</v>
      </c>
      <c r="AO540" cm="1">
        <f t="array" ref="AO540">_xlfn.LET(_xlpm.N,$B$49,_xlpm.R,$B$48,_xlpm.Start,$B$47,_xlpm.PlanWD,AL540,_xlpm.PlanRoth,AM540,_xlpm.PlanConv,AN540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37577.68</v>
      </c>
      <c r="AP540" cm="1">
        <f t="array" ref="AP540">_xlfn.LET(_xlpm.N,$B$49,_xlpm.R,$B$48,_xlpm.Start,$B$47,_xlpm.PlanWD,AL540,_xlpm.PlanRoth,AM540,_xlpm.PlanConv,AN540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540" cm="1">
        <f t="array" ref="AQ540">_xlfn.LET(_xlpm.N,$B$49,_xlpm.R,$B$48,_xlpm.Start,$B$47,_xlpm.PlanWD,AL540,_xlpm.PlanRoth,AM540,_xlpm.PlanConv,AN540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968686.47204508656</v>
      </c>
      <c r="AR540" cm="1">
        <f t="array" ref="AR540">_xlfn.LET(_xlpm.N,$B$49,_xlpm.R,$B$48,_xlpm.Start,$B$47,_xlpm.PlanWD,AL540,_xlpm.PlanRoth,AM540,_xlpm.PlanConv,AN540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977827.36767230637</v>
      </c>
      <c r="AS540">
        <f>--AND(AK540&lt;=SUM('Retirement Gap'!$B$24:$B$25,'Retirement Gap'!$B$27),AL540+AN540&lt;=$B$47,AM540&lt;='Retirement Gap'!$B$29,ABS(AK540+AL540+AM540-$B$10)&lt;1)</f>
        <v>1</v>
      </c>
      <c r="AT540" cm="1">
        <f t="array" ref="AT540">IF(AS540=0,1E+99,_xlfn.SWITCH(LEFT($E$39,1),"1",AO540,"2",AP540*1000000000+AO540,"3",-AQ540,"4",AO540+AP540*25000+AR540*0.005-AQ540*0.0001,AO540))</f>
        <v>-968686.47204508656</v>
      </c>
    </row>
    <row r="541" spans="33:46" x14ac:dyDescent="0.55000000000000004">
      <c r="AG541">
        <f t="shared" si="60"/>
        <v>540</v>
      </c>
      <c r="AH541">
        <f t="shared" si="61"/>
        <v>0.8</v>
      </c>
      <c r="AI541">
        <f t="shared" si="62"/>
        <v>0.1</v>
      </c>
      <c r="AJ541">
        <f t="shared" si="63"/>
        <v>1</v>
      </c>
      <c r="AK541">
        <f t="shared" si="64"/>
        <v>10933.919999999996</v>
      </c>
      <c r="AL541">
        <f t="shared" si="65"/>
        <v>48595.200000000004</v>
      </c>
      <c r="AM541">
        <f>MIN(MAX(0,$B$10-AL541)*AI541,'Retirement Gap'!$B$29)</f>
        <v>1214.8799999999997</v>
      </c>
      <c r="AN541">
        <f>IF($E$40="B - Withdrawals + Roth conversions",AJ541*MAX(0,MIN($B$47-AL541,MIN($B$59,IRMAA!$C$16)-(AL541+$B$8*0.85+AK541*$B$46))),0)</f>
        <v>0</v>
      </c>
      <c r="AO541" cm="1">
        <f t="array" ref="AO541">_xlfn.LET(_xlpm.N,$B$49,_xlpm.R,$B$48,_xlpm.Start,$B$47,_xlpm.PlanWD,AL541,_xlpm.PlanRoth,AM541,_xlpm.PlanConv,AN541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37577.68</v>
      </c>
      <c r="AP541" cm="1">
        <f t="array" ref="AP541">_xlfn.LET(_xlpm.N,$B$49,_xlpm.R,$B$48,_xlpm.Start,$B$47,_xlpm.PlanWD,AL541,_xlpm.PlanRoth,AM541,_xlpm.PlanConv,AN541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541" cm="1">
        <f t="array" ref="AQ541">_xlfn.LET(_xlpm.N,$B$49,_xlpm.R,$B$48,_xlpm.Start,$B$47,_xlpm.PlanWD,AL541,_xlpm.PlanRoth,AM541,_xlpm.PlanConv,AN541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968686.47204508656</v>
      </c>
      <c r="AR541" cm="1">
        <f t="array" ref="AR541">_xlfn.LET(_xlpm.N,$B$49,_xlpm.R,$B$48,_xlpm.Start,$B$47,_xlpm.PlanWD,AL541,_xlpm.PlanRoth,AM541,_xlpm.PlanConv,AN541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977827.36767230637</v>
      </c>
      <c r="AS541">
        <f>--AND(AK541&lt;=SUM('Retirement Gap'!$B$24:$B$25,'Retirement Gap'!$B$27),AL541+AN541&lt;=$B$47,AM541&lt;='Retirement Gap'!$B$29,ABS(AK541+AL541+AM541-$B$10)&lt;1)</f>
        <v>1</v>
      </c>
      <c r="AT541" cm="1">
        <f t="array" ref="AT541">IF(AS541=0,1E+99,_xlfn.SWITCH(LEFT($E$39,1),"1",AO541,"2",AP541*1000000000+AO541,"3",-AQ541,"4",AO541+AP541*25000+AR541*0.005-AQ541*0.0001,AO541))</f>
        <v>-968686.47204508656</v>
      </c>
    </row>
    <row r="542" spans="33:46" x14ac:dyDescent="0.55000000000000004">
      <c r="AG542">
        <f t="shared" si="60"/>
        <v>541</v>
      </c>
      <c r="AH542">
        <f t="shared" si="61"/>
        <v>0.8</v>
      </c>
      <c r="AI542">
        <f t="shared" si="62"/>
        <v>0.2</v>
      </c>
      <c r="AJ542">
        <f t="shared" si="63"/>
        <v>0</v>
      </c>
      <c r="AK542">
        <f t="shared" si="64"/>
        <v>9719.0399999999972</v>
      </c>
      <c r="AL542">
        <f t="shared" si="65"/>
        <v>48595.200000000004</v>
      </c>
      <c r="AM542">
        <f>MIN(MAX(0,$B$10-AL542)*AI542,'Retirement Gap'!$B$29)</f>
        <v>2429.7599999999993</v>
      </c>
      <c r="AN542">
        <f>IF($E$40="B - Withdrawals + Roth conversions",AJ542*MAX(0,MIN($B$47-AL542,MIN($B$59,IRMAA!$C$16)-(AL542+$B$8*0.85+AK542*$B$46))),0)</f>
        <v>0</v>
      </c>
      <c r="AO542" cm="1">
        <f t="array" ref="AO542">_xlfn.LET(_xlpm.N,$B$49,_xlpm.R,$B$48,_xlpm.Start,$B$47,_xlpm.PlanWD,AL542,_xlpm.PlanRoth,AM542,_xlpm.PlanConv,AN542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37577.68</v>
      </c>
      <c r="AP542" cm="1">
        <f t="array" ref="AP542">_xlfn.LET(_xlpm.N,$B$49,_xlpm.R,$B$48,_xlpm.Start,$B$47,_xlpm.PlanWD,AL542,_xlpm.PlanRoth,AM542,_xlpm.PlanConv,AN542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542" cm="1">
        <f t="array" ref="AQ542">_xlfn.LET(_xlpm.N,$B$49,_xlpm.R,$B$48,_xlpm.Start,$B$47,_xlpm.PlanWD,AL542,_xlpm.PlanRoth,AM542,_xlpm.PlanConv,AN542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968686.47204508656</v>
      </c>
      <c r="AR542" cm="1">
        <f t="array" ref="AR542">_xlfn.LET(_xlpm.N,$B$49,_xlpm.R,$B$48,_xlpm.Start,$B$47,_xlpm.PlanWD,AL542,_xlpm.PlanRoth,AM542,_xlpm.PlanConv,AN542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977827.36767230637</v>
      </c>
      <c r="AS542">
        <f>--AND(AK542&lt;=SUM('Retirement Gap'!$B$24:$B$25,'Retirement Gap'!$B$27),AL542+AN542&lt;=$B$47,AM542&lt;='Retirement Gap'!$B$29,ABS(AK542+AL542+AM542-$B$10)&lt;1)</f>
        <v>1</v>
      </c>
      <c r="AT542" cm="1">
        <f t="array" ref="AT542">IF(AS542=0,1E+99,_xlfn.SWITCH(LEFT($E$39,1),"1",AO542,"2",AP542*1000000000+AO542,"3",-AQ542,"4",AO542+AP542*25000+AR542*0.005-AQ542*0.0001,AO542))</f>
        <v>-968686.47204508656</v>
      </c>
    </row>
    <row r="543" spans="33:46" x14ac:dyDescent="0.55000000000000004">
      <c r="AG543">
        <f t="shared" si="60"/>
        <v>542</v>
      </c>
      <c r="AH543">
        <f t="shared" si="61"/>
        <v>0.8</v>
      </c>
      <c r="AI543">
        <f t="shared" si="62"/>
        <v>0.2</v>
      </c>
      <c r="AJ543">
        <f t="shared" si="63"/>
        <v>0.2</v>
      </c>
      <c r="AK543">
        <f t="shared" si="64"/>
        <v>9719.0399999999972</v>
      </c>
      <c r="AL543">
        <f t="shared" si="65"/>
        <v>48595.200000000004</v>
      </c>
      <c r="AM543">
        <f>MIN(MAX(0,$B$10-AL543)*AI543,'Retirement Gap'!$B$29)</f>
        <v>2429.7599999999993</v>
      </c>
      <c r="AN543">
        <f>IF($E$40="B - Withdrawals + Roth conversions",AJ543*MAX(0,MIN($B$47-AL543,MIN($B$59,IRMAA!$C$16)-(AL543+$B$8*0.85+AK543*$B$46))),0)</f>
        <v>0</v>
      </c>
      <c r="AO543" cm="1">
        <f t="array" ref="AO543">_xlfn.LET(_xlpm.N,$B$49,_xlpm.R,$B$48,_xlpm.Start,$B$47,_xlpm.PlanWD,AL543,_xlpm.PlanRoth,AM543,_xlpm.PlanConv,AN543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37577.68</v>
      </c>
      <c r="AP543" cm="1">
        <f t="array" ref="AP543">_xlfn.LET(_xlpm.N,$B$49,_xlpm.R,$B$48,_xlpm.Start,$B$47,_xlpm.PlanWD,AL543,_xlpm.PlanRoth,AM543,_xlpm.PlanConv,AN543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543" cm="1">
        <f t="array" ref="AQ543">_xlfn.LET(_xlpm.N,$B$49,_xlpm.R,$B$48,_xlpm.Start,$B$47,_xlpm.PlanWD,AL543,_xlpm.PlanRoth,AM543,_xlpm.PlanConv,AN543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968686.47204508656</v>
      </c>
      <c r="AR543" cm="1">
        <f t="array" ref="AR543">_xlfn.LET(_xlpm.N,$B$49,_xlpm.R,$B$48,_xlpm.Start,$B$47,_xlpm.PlanWD,AL543,_xlpm.PlanRoth,AM543,_xlpm.PlanConv,AN543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977827.36767230637</v>
      </c>
      <c r="AS543">
        <f>--AND(AK543&lt;=SUM('Retirement Gap'!$B$24:$B$25,'Retirement Gap'!$B$27),AL543+AN543&lt;=$B$47,AM543&lt;='Retirement Gap'!$B$29,ABS(AK543+AL543+AM543-$B$10)&lt;1)</f>
        <v>1</v>
      </c>
      <c r="AT543" cm="1">
        <f t="array" ref="AT543">IF(AS543=0,1E+99,_xlfn.SWITCH(LEFT($E$39,1),"1",AO543,"2",AP543*1000000000+AO543,"3",-AQ543,"4",AO543+AP543*25000+AR543*0.005-AQ543*0.0001,AO543))</f>
        <v>-968686.47204508656</v>
      </c>
    </row>
    <row r="544" spans="33:46" x14ac:dyDescent="0.55000000000000004">
      <c r="AG544">
        <f t="shared" si="60"/>
        <v>543</v>
      </c>
      <c r="AH544">
        <f t="shared" si="61"/>
        <v>0.8</v>
      </c>
      <c r="AI544">
        <f t="shared" si="62"/>
        <v>0.2</v>
      </c>
      <c r="AJ544">
        <f t="shared" si="63"/>
        <v>0.4</v>
      </c>
      <c r="AK544">
        <f t="shared" si="64"/>
        <v>9719.0399999999972</v>
      </c>
      <c r="AL544">
        <f t="shared" si="65"/>
        <v>48595.200000000004</v>
      </c>
      <c r="AM544">
        <f>MIN(MAX(0,$B$10-AL544)*AI544,'Retirement Gap'!$B$29)</f>
        <v>2429.7599999999993</v>
      </c>
      <c r="AN544">
        <f>IF($E$40="B - Withdrawals + Roth conversions",AJ544*MAX(0,MIN($B$47-AL544,MIN($B$59,IRMAA!$C$16)-(AL544+$B$8*0.85+AK544*$B$46))),0)</f>
        <v>0</v>
      </c>
      <c r="AO544" cm="1">
        <f t="array" ref="AO544">_xlfn.LET(_xlpm.N,$B$49,_xlpm.R,$B$48,_xlpm.Start,$B$47,_xlpm.PlanWD,AL544,_xlpm.PlanRoth,AM544,_xlpm.PlanConv,AN544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37577.68</v>
      </c>
      <c r="AP544" cm="1">
        <f t="array" ref="AP544">_xlfn.LET(_xlpm.N,$B$49,_xlpm.R,$B$48,_xlpm.Start,$B$47,_xlpm.PlanWD,AL544,_xlpm.PlanRoth,AM544,_xlpm.PlanConv,AN544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544" cm="1">
        <f t="array" ref="AQ544">_xlfn.LET(_xlpm.N,$B$49,_xlpm.R,$B$48,_xlpm.Start,$B$47,_xlpm.PlanWD,AL544,_xlpm.PlanRoth,AM544,_xlpm.PlanConv,AN544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968686.47204508656</v>
      </c>
      <c r="AR544" cm="1">
        <f t="array" ref="AR544">_xlfn.LET(_xlpm.N,$B$49,_xlpm.R,$B$48,_xlpm.Start,$B$47,_xlpm.PlanWD,AL544,_xlpm.PlanRoth,AM544,_xlpm.PlanConv,AN544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977827.36767230637</v>
      </c>
      <c r="AS544">
        <f>--AND(AK544&lt;=SUM('Retirement Gap'!$B$24:$B$25,'Retirement Gap'!$B$27),AL544+AN544&lt;=$B$47,AM544&lt;='Retirement Gap'!$B$29,ABS(AK544+AL544+AM544-$B$10)&lt;1)</f>
        <v>1</v>
      </c>
      <c r="AT544" cm="1">
        <f t="array" ref="AT544">IF(AS544=0,1E+99,_xlfn.SWITCH(LEFT($E$39,1),"1",AO544,"2",AP544*1000000000+AO544,"3",-AQ544,"4",AO544+AP544*25000+AR544*0.005-AQ544*0.0001,AO544))</f>
        <v>-968686.47204508656</v>
      </c>
    </row>
    <row r="545" spans="33:46" x14ac:dyDescent="0.55000000000000004">
      <c r="AG545">
        <f t="shared" si="60"/>
        <v>544</v>
      </c>
      <c r="AH545">
        <f t="shared" si="61"/>
        <v>0.8</v>
      </c>
      <c r="AI545">
        <f t="shared" si="62"/>
        <v>0.2</v>
      </c>
      <c r="AJ545">
        <f t="shared" si="63"/>
        <v>0.6</v>
      </c>
      <c r="AK545">
        <f t="shared" si="64"/>
        <v>9719.0399999999972</v>
      </c>
      <c r="AL545">
        <f t="shared" si="65"/>
        <v>48595.200000000004</v>
      </c>
      <c r="AM545">
        <f>MIN(MAX(0,$B$10-AL545)*AI545,'Retirement Gap'!$B$29)</f>
        <v>2429.7599999999993</v>
      </c>
      <c r="AN545">
        <f>IF($E$40="B - Withdrawals + Roth conversions",AJ545*MAX(0,MIN($B$47-AL545,MIN($B$59,IRMAA!$C$16)-(AL545+$B$8*0.85+AK545*$B$46))),0)</f>
        <v>0</v>
      </c>
      <c r="AO545" cm="1">
        <f t="array" ref="AO545">_xlfn.LET(_xlpm.N,$B$49,_xlpm.R,$B$48,_xlpm.Start,$B$47,_xlpm.PlanWD,AL545,_xlpm.PlanRoth,AM545,_xlpm.PlanConv,AN545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37577.68</v>
      </c>
      <c r="AP545" cm="1">
        <f t="array" ref="AP545">_xlfn.LET(_xlpm.N,$B$49,_xlpm.R,$B$48,_xlpm.Start,$B$47,_xlpm.PlanWD,AL545,_xlpm.PlanRoth,AM545,_xlpm.PlanConv,AN545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545" cm="1">
        <f t="array" ref="AQ545">_xlfn.LET(_xlpm.N,$B$49,_xlpm.R,$B$48,_xlpm.Start,$B$47,_xlpm.PlanWD,AL545,_xlpm.PlanRoth,AM545,_xlpm.PlanConv,AN545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968686.47204508656</v>
      </c>
      <c r="AR545" cm="1">
        <f t="array" ref="AR545">_xlfn.LET(_xlpm.N,$B$49,_xlpm.R,$B$48,_xlpm.Start,$B$47,_xlpm.PlanWD,AL545,_xlpm.PlanRoth,AM545,_xlpm.PlanConv,AN545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977827.36767230637</v>
      </c>
      <c r="AS545">
        <f>--AND(AK545&lt;=SUM('Retirement Gap'!$B$24:$B$25,'Retirement Gap'!$B$27),AL545+AN545&lt;=$B$47,AM545&lt;='Retirement Gap'!$B$29,ABS(AK545+AL545+AM545-$B$10)&lt;1)</f>
        <v>1</v>
      </c>
      <c r="AT545" cm="1">
        <f t="array" ref="AT545">IF(AS545=0,1E+99,_xlfn.SWITCH(LEFT($E$39,1),"1",AO545,"2",AP545*1000000000+AO545,"3",-AQ545,"4",AO545+AP545*25000+AR545*0.005-AQ545*0.0001,AO545))</f>
        <v>-968686.47204508656</v>
      </c>
    </row>
    <row r="546" spans="33:46" x14ac:dyDescent="0.55000000000000004">
      <c r="AG546">
        <f t="shared" si="60"/>
        <v>545</v>
      </c>
      <c r="AH546">
        <f t="shared" si="61"/>
        <v>0.8</v>
      </c>
      <c r="AI546">
        <f t="shared" si="62"/>
        <v>0.2</v>
      </c>
      <c r="AJ546">
        <f t="shared" si="63"/>
        <v>0.8</v>
      </c>
      <c r="AK546">
        <f t="shared" si="64"/>
        <v>9719.0399999999972</v>
      </c>
      <c r="AL546">
        <f t="shared" si="65"/>
        <v>48595.200000000004</v>
      </c>
      <c r="AM546">
        <f>MIN(MAX(0,$B$10-AL546)*AI546,'Retirement Gap'!$B$29)</f>
        <v>2429.7599999999993</v>
      </c>
      <c r="AN546">
        <f>IF($E$40="B - Withdrawals + Roth conversions",AJ546*MAX(0,MIN($B$47-AL546,MIN($B$59,IRMAA!$C$16)-(AL546+$B$8*0.85+AK546*$B$46))),0)</f>
        <v>0</v>
      </c>
      <c r="AO546" cm="1">
        <f t="array" ref="AO546">_xlfn.LET(_xlpm.N,$B$49,_xlpm.R,$B$48,_xlpm.Start,$B$47,_xlpm.PlanWD,AL546,_xlpm.PlanRoth,AM546,_xlpm.PlanConv,AN546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37577.68</v>
      </c>
      <c r="AP546" cm="1">
        <f t="array" ref="AP546">_xlfn.LET(_xlpm.N,$B$49,_xlpm.R,$B$48,_xlpm.Start,$B$47,_xlpm.PlanWD,AL546,_xlpm.PlanRoth,AM546,_xlpm.PlanConv,AN546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546" cm="1">
        <f t="array" ref="AQ546">_xlfn.LET(_xlpm.N,$B$49,_xlpm.R,$B$48,_xlpm.Start,$B$47,_xlpm.PlanWD,AL546,_xlpm.PlanRoth,AM546,_xlpm.PlanConv,AN546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968686.47204508656</v>
      </c>
      <c r="AR546" cm="1">
        <f t="array" ref="AR546">_xlfn.LET(_xlpm.N,$B$49,_xlpm.R,$B$48,_xlpm.Start,$B$47,_xlpm.PlanWD,AL546,_xlpm.PlanRoth,AM546,_xlpm.PlanConv,AN546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977827.36767230637</v>
      </c>
      <c r="AS546">
        <f>--AND(AK546&lt;=SUM('Retirement Gap'!$B$24:$B$25,'Retirement Gap'!$B$27),AL546+AN546&lt;=$B$47,AM546&lt;='Retirement Gap'!$B$29,ABS(AK546+AL546+AM546-$B$10)&lt;1)</f>
        <v>1</v>
      </c>
      <c r="AT546" cm="1">
        <f t="array" ref="AT546">IF(AS546=0,1E+99,_xlfn.SWITCH(LEFT($E$39,1),"1",AO546,"2",AP546*1000000000+AO546,"3",-AQ546,"4",AO546+AP546*25000+AR546*0.005-AQ546*0.0001,AO546))</f>
        <v>-968686.47204508656</v>
      </c>
    </row>
    <row r="547" spans="33:46" x14ac:dyDescent="0.55000000000000004">
      <c r="AG547">
        <f t="shared" si="60"/>
        <v>546</v>
      </c>
      <c r="AH547">
        <f t="shared" si="61"/>
        <v>0.8</v>
      </c>
      <c r="AI547">
        <f t="shared" si="62"/>
        <v>0.2</v>
      </c>
      <c r="AJ547">
        <f t="shared" si="63"/>
        <v>1</v>
      </c>
      <c r="AK547">
        <f t="shared" si="64"/>
        <v>9719.0399999999972</v>
      </c>
      <c r="AL547">
        <f t="shared" si="65"/>
        <v>48595.200000000004</v>
      </c>
      <c r="AM547">
        <f>MIN(MAX(0,$B$10-AL547)*AI547,'Retirement Gap'!$B$29)</f>
        <v>2429.7599999999993</v>
      </c>
      <c r="AN547">
        <f>IF($E$40="B - Withdrawals + Roth conversions",AJ547*MAX(0,MIN($B$47-AL547,MIN($B$59,IRMAA!$C$16)-(AL547+$B$8*0.85+AK547*$B$46))),0)</f>
        <v>0</v>
      </c>
      <c r="AO547" cm="1">
        <f t="array" ref="AO547">_xlfn.LET(_xlpm.N,$B$49,_xlpm.R,$B$48,_xlpm.Start,$B$47,_xlpm.PlanWD,AL547,_xlpm.PlanRoth,AM547,_xlpm.PlanConv,AN547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37577.68</v>
      </c>
      <c r="AP547" cm="1">
        <f t="array" ref="AP547">_xlfn.LET(_xlpm.N,$B$49,_xlpm.R,$B$48,_xlpm.Start,$B$47,_xlpm.PlanWD,AL547,_xlpm.PlanRoth,AM547,_xlpm.PlanConv,AN547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547" cm="1">
        <f t="array" ref="AQ547">_xlfn.LET(_xlpm.N,$B$49,_xlpm.R,$B$48,_xlpm.Start,$B$47,_xlpm.PlanWD,AL547,_xlpm.PlanRoth,AM547,_xlpm.PlanConv,AN547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968686.47204508656</v>
      </c>
      <c r="AR547" cm="1">
        <f t="array" ref="AR547">_xlfn.LET(_xlpm.N,$B$49,_xlpm.R,$B$48,_xlpm.Start,$B$47,_xlpm.PlanWD,AL547,_xlpm.PlanRoth,AM547,_xlpm.PlanConv,AN547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977827.36767230637</v>
      </c>
      <c r="AS547">
        <f>--AND(AK547&lt;=SUM('Retirement Gap'!$B$24:$B$25,'Retirement Gap'!$B$27),AL547+AN547&lt;=$B$47,AM547&lt;='Retirement Gap'!$B$29,ABS(AK547+AL547+AM547-$B$10)&lt;1)</f>
        <v>1</v>
      </c>
      <c r="AT547" cm="1">
        <f t="array" ref="AT547">IF(AS547=0,1E+99,_xlfn.SWITCH(LEFT($E$39,1),"1",AO547,"2",AP547*1000000000+AO547,"3",-AQ547,"4",AO547+AP547*25000+AR547*0.005-AQ547*0.0001,AO547))</f>
        <v>-968686.47204508656</v>
      </c>
    </row>
    <row r="548" spans="33:46" x14ac:dyDescent="0.55000000000000004">
      <c r="AG548">
        <f t="shared" si="60"/>
        <v>547</v>
      </c>
      <c r="AH548">
        <f t="shared" si="61"/>
        <v>0.8</v>
      </c>
      <c r="AI548">
        <f t="shared" si="62"/>
        <v>0.3</v>
      </c>
      <c r="AJ548">
        <f t="shared" si="63"/>
        <v>0</v>
      </c>
      <c r="AK548">
        <f t="shared" si="64"/>
        <v>8504.1599999999962</v>
      </c>
      <c r="AL548">
        <f t="shared" si="65"/>
        <v>48595.200000000004</v>
      </c>
      <c r="AM548">
        <f>MIN(MAX(0,$B$10-AL548)*AI548,'Retirement Gap'!$B$29)</f>
        <v>3644.6399999999985</v>
      </c>
      <c r="AN548">
        <f>IF($E$40="B - Withdrawals + Roth conversions",AJ548*MAX(0,MIN($B$47-AL548,MIN($B$59,IRMAA!$C$16)-(AL548+$B$8*0.85+AK548*$B$46))),0)</f>
        <v>0</v>
      </c>
      <c r="AO548" cm="1">
        <f t="array" ref="AO548">_xlfn.LET(_xlpm.N,$B$49,_xlpm.R,$B$48,_xlpm.Start,$B$47,_xlpm.PlanWD,AL548,_xlpm.PlanRoth,AM548,_xlpm.PlanConv,AN548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37577.68</v>
      </c>
      <c r="AP548" cm="1">
        <f t="array" ref="AP548">_xlfn.LET(_xlpm.N,$B$49,_xlpm.R,$B$48,_xlpm.Start,$B$47,_xlpm.PlanWD,AL548,_xlpm.PlanRoth,AM548,_xlpm.PlanConv,AN548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548" cm="1">
        <f t="array" ref="AQ548">_xlfn.LET(_xlpm.N,$B$49,_xlpm.R,$B$48,_xlpm.Start,$B$47,_xlpm.PlanWD,AL548,_xlpm.PlanRoth,AM548,_xlpm.PlanConv,AN548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968686.47204508656</v>
      </c>
      <c r="AR548" cm="1">
        <f t="array" ref="AR548">_xlfn.LET(_xlpm.N,$B$49,_xlpm.R,$B$48,_xlpm.Start,$B$47,_xlpm.PlanWD,AL548,_xlpm.PlanRoth,AM548,_xlpm.PlanConv,AN548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977827.36767230637</v>
      </c>
      <c r="AS548">
        <f>--AND(AK548&lt;=SUM('Retirement Gap'!$B$24:$B$25,'Retirement Gap'!$B$27),AL548+AN548&lt;=$B$47,AM548&lt;='Retirement Gap'!$B$29,ABS(AK548+AL548+AM548-$B$10)&lt;1)</f>
        <v>1</v>
      </c>
      <c r="AT548" cm="1">
        <f t="array" ref="AT548">IF(AS548=0,1E+99,_xlfn.SWITCH(LEFT($E$39,1),"1",AO548,"2",AP548*1000000000+AO548,"3",-AQ548,"4",AO548+AP548*25000+AR548*0.005-AQ548*0.0001,AO548))</f>
        <v>-968686.47204508656</v>
      </c>
    </row>
    <row r="549" spans="33:46" x14ac:dyDescent="0.55000000000000004">
      <c r="AG549">
        <f t="shared" si="60"/>
        <v>548</v>
      </c>
      <c r="AH549">
        <f t="shared" si="61"/>
        <v>0.8</v>
      </c>
      <c r="AI549">
        <f t="shared" si="62"/>
        <v>0.3</v>
      </c>
      <c r="AJ549">
        <f t="shared" si="63"/>
        <v>0.2</v>
      </c>
      <c r="AK549">
        <f t="shared" si="64"/>
        <v>8504.1599999999962</v>
      </c>
      <c r="AL549">
        <f t="shared" si="65"/>
        <v>48595.200000000004</v>
      </c>
      <c r="AM549">
        <f>MIN(MAX(0,$B$10-AL549)*AI549,'Retirement Gap'!$B$29)</f>
        <v>3644.6399999999985</v>
      </c>
      <c r="AN549">
        <f>IF($E$40="B - Withdrawals + Roth conversions",AJ549*MAX(0,MIN($B$47-AL549,MIN($B$59,IRMAA!$C$16)-(AL549+$B$8*0.85+AK549*$B$46))),0)</f>
        <v>0</v>
      </c>
      <c r="AO549" cm="1">
        <f t="array" ref="AO549">_xlfn.LET(_xlpm.N,$B$49,_xlpm.R,$B$48,_xlpm.Start,$B$47,_xlpm.PlanWD,AL549,_xlpm.PlanRoth,AM549,_xlpm.PlanConv,AN549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37577.68</v>
      </c>
      <c r="AP549" cm="1">
        <f t="array" ref="AP549">_xlfn.LET(_xlpm.N,$B$49,_xlpm.R,$B$48,_xlpm.Start,$B$47,_xlpm.PlanWD,AL549,_xlpm.PlanRoth,AM549,_xlpm.PlanConv,AN549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549" cm="1">
        <f t="array" ref="AQ549">_xlfn.LET(_xlpm.N,$B$49,_xlpm.R,$B$48,_xlpm.Start,$B$47,_xlpm.PlanWD,AL549,_xlpm.PlanRoth,AM549,_xlpm.PlanConv,AN549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968686.47204508656</v>
      </c>
      <c r="AR549" cm="1">
        <f t="array" ref="AR549">_xlfn.LET(_xlpm.N,$B$49,_xlpm.R,$B$48,_xlpm.Start,$B$47,_xlpm.PlanWD,AL549,_xlpm.PlanRoth,AM549,_xlpm.PlanConv,AN549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977827.36767230637</v>
      </c>
      <c r="AS549">
        <f>--AND(AK549&lt;=SUM('Retirement Gap'!$B$24:$B$25,'Retirement Gap'!$B$27),AL549+AN549&lt;=$B$47,AM549&lt;='Retirement Gap'!$B$29,ABS(AK549+AL549+AM549-$B$10)&lt;1)</f>
        <v>1</v>
      </c>
      <c r="AT549" cm="1">
        <f t="array" ref="AT549">IF(AS549=0,1E+99,_xlfn.SWITCH(LEFT($E$39,1),"1",AO549,"2",AP549*1000000000+AO549,"3",-AQ549,"4",AO549+AP549*25000+AR549*0.005-AQ549*0.0001,AO549))</f>
        <v>-968686.47204508656</v>
      </c>
    </row>
    <row r="550" spans="33:46" x14ac:dyDescent="0.55000000000000004">
      <c r="AG550">
        <f t="shared" si="60"/>
        <v>549</v>
      </c>
      <c r="AH550">
        <f t="shared" si="61"/>
        <v>0.8</v>
      </c>
      <c r="AI550">
        <f t="shared" si="62"/>
        <v>0.3</v>
      </c>
      <c r="AJ550">
        <f t="shared" si="63"/>
        <v>0.4</v>
      </c>
      <c r="AK550">
        <f t="shared" si="64"/>
        <v>8504.1599999999962</v>
      </c>
      <c r="AL550">
        <f t="shared" si="65"/>
        <v>48595.200000000004</v>
      </c>
      <c r="AM550">
        <f>MIN(MAX(0,$B$10-AL550)*AI550,'Retirement Gap'!$B$29)</f>
        <v>3644.6399999999985</v>
      </c>
      <c r="AN550">
        <f>IF($E$40="B - Withdrawals + Roth conversions",AJ550*MAX(0,MIN($B$47-AL550,MIN($B$59,IRMAA!$C$16)-(AL550+$B$8*0.85+AK550*$B$46))),0)</f>
        <v>0</v>
      </c>
      <c r="AO550" cm="1">
        <f t="array" ref="AO550">_xlfn.LET(_xlpm.N,$B$49,_xlpm.R,$B$48,_xlpm.Start,$B$47,_xlpm.PlanWD,AL550,_xlpm.PlanRoth,AM550,_xlpm.PlanConv,AN550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37577.68</v>
      </c>
      <c r="AP550" cm="1">
        <f t="array" ref="AP550">_xlfn.LET(_xlpm.N,$B$49,_xlpm.R,$B$48,_xlpm.Start,$B$47,_xlpm.PlanWD,AL550,_xlpm.PlanRoth,AM550,_xlpm.PlanConv,AN550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550" cm="1">
        <f t="array" ref="AQ550">_xlfn.LET(_xlpm.N,$B$49,_xlpm.R,$B$48,_xlpm.Start,$B$47,_xlpm.PlanWD,AL550,_xlpm.PlanRoth,AM550,_xlpm.PlanConv,AN550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968686.47204508656</v>
      </c>
      <c r="AR550" cm="1">
        <f t="array" ref="AR550">_xlfn.LET(_xlpm.N,$B$49,_xlpm.R,$B$48,_xlpm.Start,$B$47,_xlpm.PlanWD,AL550,_xlpm.PlanRoth,AM550,_xlpm.PlanConv,AN550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977827.36767230637</v>
      </c>
      <c r="AS550">
        <f>--AND(AK550&lt;=SUM('Retirement Gap'!$B$24:$B$25,'Retirement Gap'!$B$27),AL550+AN550&lt;=$B$47,AM550&lt;='Retirement Gap'!$B$29,ABS(AK550+AL550+AM550-$B$10)&lt;1)</f>
        <v>1</v>
      </c>
      <c r="AT550" cm="1">
        <f t="array" ref="AT550">IF(AS550=0,1E+99,_xlfn.SWITCH(LEFT($E$39,1),"1",AO550,"2",AP550*1000000000+AO550,"3",-AQ550,"4",AO550+AP550*25000+AR550*0.005-AQ550*0.0001,AO550))</f>
        <v>-968686.47204508656</v>
      </c>
    </row>
    <row r="551" spans="33:46" x14ac:dyDescent="0.55000000000000004">
      <c r="AG551">
        <f t="shared" si="60"/>
        <v>550</v>
      </c>
      <c r="AH551">
        <f t="shared" si="61"/>
        <v>0.8</v>
      </c>
      <c r="AI551">
        <f t="shared" si="62"/>
        <v>0.3</v>
      </c>
      <c r="AJ551">
        <f t="shared" si="63"/>
        <v>0.6</v>
      </c>
      <c r="AK551">
        <f t="shared" si="64"/>
        <v>8504.1599999999962</v>
      </c>
      <c r="AL551">
        <f t="shared" si="65"/>
        <v>48595.200000000004</v>
      </c>
      <c r="AM551">
        <f>MIN(MAX(0,$B$10-AL551)*AI551,'Retirement Gap'!$B$29)</f>
        <v>3644.6399999999985</v>
      </c>
      <c r="AN551">
        <f>IF($E$40="B - Withdrawals + Roth conversions",AJ551*MAX(0,MIN($B$47-AL551,MIN($B$59,IRMAA!$C$16)-(AL551+$B$8*0.85+AK551*$B$46))),0)</f>
        <v>0</v>
      </c>
      <c r="AO551" cm="1">
        <f t="array" ref="AO551">_xlfn.LET(_xlpm.N,$B$49,_xlpm.R,$B$48,_xlpm.Start,$B$47,_xlpm.PlanWD,AL551,_xlpm.PlanRoth,AM551,_xlpm.PlanConv,AN551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37577.68</v>
      </c>
      <c r="AP551" cm="1">
        <f t="array" ref="AP551">_xlfn.LET(_xlpm.N,$B$49,_xlpm.R,$B$48,_xlpm.Start,$B$47,_xlpm.PlanWD,AL551,_xlpm.PlanRoth,AM551,_xlpm.PlanConv,AN551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551" cm="1">
        <f t="array" ref="AQ551">_xlfn.LET(_xlpm.N,$B$49,_xlpm.R,$B$48,_xlpm.Start,$B$47,_xlpm.PlanWD,AL551,_xlpm.PlanRoth,AM551,_xlpm.PlanConv,AN551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968686.47204508656</v>
      </c>
      <c r="AR551" cm="1">
        <f t="array" ref="AR551">_xlfn.LET(_xlpm.N,$B$49,_xlpm.R,$B$48,_xlpm.Start,$B$47,_xlpm.PlanWD,AL551,_xlpm.PlanRoth,AM551,_xlpm.PlanConv,AN551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977827.36767230637</v>
      </c>
      <c r="AS551">
        <f>--AND(AK551&lt;=SUM('Retirement Gap'!$B$24:$B$25,'Retirement Gap'!$B$27),AL551+AN551&lt;=$B$47,AM551&lt;='Retirement Gap'!$B$29,ABS(AK551+AL551+AM551-$B$10)&lt;1)</f>
        <v>1</v>
      </c>
      <c r="AT551" cm="1">
        <f t="array" ref="AT551">IF(AS551=0,1E+99,_xlfn.SWITCH(LEFT($E$39,1),"1",AO551,"2",AP551*1000000000+AO551,"3",-AQ551,"4",AO551+AP551*25000+AR551*0.005-AQ551*0.0001,AO551))</f>
        <v>-968686.47204508656</v>
      </c>
    </row>
    <row r="552" spans="33:46" x14ac:dyDescent="0.55000000000000004">
      <c r="AG552">
        <f t="shared" si="60"/>
        <v>551</v>
      </c>
      <c r="AH552">
        <f t="shared" si="61"/>
        <v>0.8</v>
      </c>
      <c r="AI552">
        <f t="shared" si="62"/>
        <v>0.3</v>
      </c>
      <c r="AJ552">
        <f t="shared" si="63"/>
        <v>0.8</v>
      </c>
      <c r="AK552">
        <f t="shared" si="64"/>
        <v>8504.1599999999962</v>
      </c>
      <c r="AL552">
        <f t="shared" si="65"/>
        <v>48595.200000000004</v>
      </c>
      <c r="AM552">
        <f>MIN(MAX(0,$B$10-AL552)*AI552,'Retirement Gap'!$B$29)</f>
        <v>3644.6399999999985</v>
      </c>
      <c r="AN552">
        <f>IF($E$40="B - Withdrawals + Roth conversions",AJ552*MAX(0,MIN($B$47-AL552,MIN($B$59,IRMAA!$C$16)-(AL552+$B$8*0.85+AK552*$B$46))),0)</f>
        <v>0</v>
      </c>
      <c r="AO552" cm="1">
        <f t="array" ref="AO552">_xlfn.LET(_xlpm.N,$B$49,_xlpm.R,$B$48,_xlpm.Start,$B$47,_xlpm.PlanWD,AL552,_xlpm.PlanRoth,AM552,_xlpm.PlanConv,AN552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37577.68</v>
      </c>
      <c r="AP552" cm="1">
        <f t="array" ref="AP552">_xlfn.LET(_xlpm.N,$B$49,_xlpm.R,$B$48,_xlpm.Start,$B$47,_xlpm.PlanWD,AL552,_xlpm.PlanRoth,AM552,_xlpm.PlanConv,AN552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552" cm="1">
        <f t="array" ref="AQ552">_xlfn.LET(_xlpm.N,$B$49,_xlpm.R,$B$48,_xlpm.Start,$B$47,_xlpm.PlanWD,AL552,_xlpm.PlanRoth,AM552,_xlpm.PlanConv,AN552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968686.47204508656</v>
      </c>
      <c r="AR552" cm="1">
        <f t="array" ref="AR552">_xlfn.LET(_xlpm.N,$B$49,_xlpm.R,$B$48,_xlpm.Start,$B$47,_xlpm.PlanWD,AL552,_xlpm.PlanRoth,AM552,_xlpm.PlanConv,AN552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977827.36767230637</v>
      </c>
      <c r="AS552">
        <f>--AND(AK552&lt;=SUM('Retirement Gap'!$B$24:$B$25,'Retirement Gap'!$B$27),AL552+AN552&lt;=$B$47,AM552&lt;='Retirement Gap'!$B$29,ABS(AK552+AL552+AM552-$B$10)&lt;1)</f>
        <v>1</v>
      </c>
      <c r="AT552" cm="1">
        <f t="array" ref="AT552">IF(AS552=0,1E+99,_xlfn.SWITCH(LEFT($E$39,1),"1",AO552,"2",AP552*1000000000+AO552,"3",-AQ552,"4",AO552+AP552*25000+AR552*0.005-AQ552*0.0001,AO552))</f>
        <v>-968686.47204508656</v>
      </c>
    </row>
    <row r="553" spans="33:46" x14ac:dyDescent="0.55000000000000004">
      <c r="AG553">
        <f t="shared" si="60"/>
        <v>552</v>
      </c>
      <c r="AH553">
        <f t="shared" si="61"/>
        <v>0.8</v>
      </c>
      <c r="AI553">
        <f t="shared" si="62"/>
        <v>0.3</v>
      </c>
      <c r="AJ553">
        <f t="shared" si="63"/>
        <v>1</v>
      </c>
      <c r="AK553">
        <f t="shared" si="64"/>
        <v>8504.1599999999962</v>
      </c>
      <c r="AL553">
        <f t="shared" si="65"/>
        <v>48595.200000000004</v>
      </c>
      <c r="AM553">
        <f>MIN(MAX(0,$B$10-AL553)*AI553,'Retirement Gap'!$B$29)</f>
        <v>3644.6399999999985</v>
      </c>
      <c r="AN553">
        <f>IF($E$40="B - Withdrawals + Roth conversions",AJ553*MAX(0,MIN($B$47-AL553,MIN($B$59,IRMAA!$C$16)-(AL553+$B$8*0.85+AK553*$B$46))),0)</f>
        <v>0</v>
      </c>
      <c r="AO553" cm="1">
        <f t="array" ref="AO553">_xlfn.LET(_xlpm.N,$B$49,_xlpm.R,$B$48,_xlpm.Start,$B$47,_xlpm.PlanWD,AL553,_xlpm.PlanRoth,AM553,_xlpm.PlanConv,AN553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37577.68</v>
      </c>
      <c r="AP553" cm="1">
        <f t="array" ref="AP553">_xlfn.LET(_xlpm.N,$B$49,_xlpm.R,$B$48,_xlpm.Start,$B$47,_xlpm.PlanWD,AL553,_xlpm.PlanRoth,AM553,_xlpm.PlanConv,AN553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553" cm="1">
        <f t="array" ref="AQ553">_xlfn.LET(_xlpm.N,$B$49,_xlpm.R,$B$48,_xlpm.Start,$B$47,_xlpm.PlanWD,AL553,_xlpm.PlanRoth,AM553,_xlpm.PlanConv,AN553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968686.47204508656</v>
      </c>
      <c r="AR553" cm="1">
        <f t="array" ref="AR553">_xlfn.LET(_xlpm.N,$B$49,_xlpm.R,$B$48,_xlpm.Start,$B$47,_xlpm.PlanWD,AL553,_xlpm.PlanRoth,AM553,_xlpm.PlanConv,AN553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977827.36767230637</v>
      </c>
      <c r="AS553">
        <f>--AND(AK553&lt;=SUM('Retirement Gap'!$B$24:$B$25,'Retirement Gap'!$B$27),AL553+AN553&lt;=$B$47,AM553&lt;='Retirement Gap'!$B$29,ABS(AK553+AL553+AM553-$B$10)&lt;1)</f>
        <v>1</v>
      </c>
      <c r="AT553" cm="1">
        <f t="array" ref="AT553">IF(AS553=0,1E+99,_xlfn.SWITCH(LEFT($E$39,1),"1",AO553,"2",AP553*1000000000+AO553,"3",-AQ553,"4",AO553+AP553*25000+AR553*0.005-AQ553*0.0001,AO553))</f>
        <v>-968686.47204508656</v>
      </c>
    </row>
    <row r="554" spans="33:46" x14ac:dyDescent="0.55000000000000004">
      <c r="AG554">
        <f t="shared" si="60"/>
        <v>553</v>
      </c>
      <c r="AH554">
        <f t="shared" si="61"/>
        <v>0.8</v>
      </c>
      <c r="AI554">
        <f t="shared" si="62"/>
        <v>0.4</v>
      </c>
      <c r="AJ554">
        <f t="shared" si="63"/>
        <v>0</v>
      </c>
      <c r="AK554">
        <f t="shared" si="64"/>
        <v>7289.279999999997</v>
      </c>
      <c r="AL554">
        <f t="shared" si="65"/>
        <v>48595.200000000004</v>
      </c>
      <c r="AM554">
        <f>MIN(MAX(0,$B$10-AL554)*AI554,'Retirement Gap'!$B$29)</f>
        <v>4859.5199999999986</v>
      </c>
      <c r="AN554">
        <f>IF($E$40="B - Withdrawals + Roth conversions",AJ554*MAX(0,MIN($B$47-AL554,MIN($B$59,IRMAA!$C$16)-(AL554+$B$8*0.85+AK554*$B$46))),0)</f>
        <v>0</v>
      </c>
      <c r="AO554" cm="1">
        <f t="array" ref="AO554">_xlfn.LET(_xlpm.N,$B$49,_xlpm.R,$B$48,_xlpm.Start,$B$47,_xlpm.PlanWD,AL554,_xlpm.PlanRoth,AM554,_xlpm.PlanConv,AN554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37577.68</v>
      </c>
      <c r="AP554" cm="1">
        <f t="array" ref="AP554">_xlfn.LET(_xlpm.N,$B$49,_xlpm.R,$B$48,_xlpm.Start,$B$47,_xlpm.PlanWD,AL554,_xlpm.PlanRoth,AM554,_xlpm.PlanConv,AN554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554" cm="1">
        <f t="array" ref="AQ554">_xlfn.LET(_xlpm.N,$B$49,_xlpm.R,$B$48,_xlpm.Start,$B$47,_xlpm.PlanWD,AL554,_xlpm.PlanRoth,AM554,_xlpm.PlanConv,AN554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968686.47204508656</v>
      </c>
      <c r="AR554" cm="1">
        <f t="array" ref="AR554">_xlfn.LET(_xlpm.N,$B$49,_xlpm.R,$B$48,_xlpm.Start,$B$47,_xlpm.PlanWD,AL554,_xlpm.PlanRoth,AM554,_xlpm.PlanConv,AN554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977827.36767230637</v>
      </c>
      <c r="AS554">
        <f>--AND(AK554&lt;=SUM('Retirement Gap'!$B$24:$B$25,'Retirement Gap'!$B$27),AL554+AN554&lt;=$B$47,AM554&lt;='Retirement Gap'!$B$29,ABS(AK554+AL554+AM554-$B$10)&lt;1)</f>
        <v>1</v>
      </c>
      <c r="AT554" cm="1">
        <f t="array" ref="AT554">IF(AS554=0,1E+99,_xlfn.SWITCH(LEFT($E$39,1),"1",AO554,"2",AP554*1000000000+AO554,"3",-AQ554,"4",AO554+AP554*25000+AR554*0.005-AQ554*0.0001,AO554))</f>
        <v>-968686.47204508656</v>
      </c>
    </row>
    <row r="555" spans="33:46" x14ac:dyDescent="0.55000000000000004">
      <c r="AG555">
        <f t="shared" si="60"/>
        <v>554</v>
      </c>
      <c r="AH555">
        <f t="shared" si="61"/>
        <v>0.8</v>
      </c>
      <c r="AI555">
        <f t="shared" si="62"/>
        <v>0.4</v>
      </c>
      <c r="AJ555">
        <f t="shared" si="63"/>
        <v>0.2</v>
      </c>
      <c r="AK555">
        <f t="shared" si="64"/>
        <v>7289.279999999997</v>
      </c>
      <c r="AL555">
        <f t="shared" si="65"/>
        <v>48595.200000000004</v>
      </c>
      <c r="AM555">
        <f>MIN(MAX(0,$B$10-AL555)*AI555,'Retirement Gap'!$B$29)</f>
        <v>4859.5199999999986</v>
      </c>
      <c r="AN555">
        <f>IF($E$40="B - Withdrawals + Roth conversions",AJ555*MAX(0,MIN($B$47-AL555,MIN($B$59,IRMAA!$C$16)-(AL555+$B$8*0.85+AK555*$B$46))),0)</f>
        <v>0</v>
      </c>
      <c r="AO555" cm="1">
        <f t="array" ref="AO555">_xlfn.LET(_xlpm.N,$B$49,_xlpm.R,$B$48,_xlpm.Start,$B$47,_xlpm.PlanWD,AL555,_xlpm.PlanRoth,AM555,_xlpm.PlanConv,AN555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37577.68</v>
      </c>
      <c r="AP555" cm="1">
        <f t="array" ref="AP555">_xlfn.LET(_xlpm.N,$B$49,_xlpm.R,$B$48,_xlpm.Start,$B$47,_xlpm.PlanWD,AL555,_xlpm.PlanRoth,AM555,_xlpm.PlanConv,AN555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555" cm="1">
        <f t="array" ref="AQ555">_xlfn.LET(_xlpm.N,$B$49,_xlpm.R,$B$48,_xlpm.Start,$B$47,_xlpm.PlanWD,AL555,_xlpm.PlanRoth,AM555,_xlpm.PlanConv,AN555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968686.47204508656</v>
      </c>
      <c r="AR555" cm="1">
        <f t="array" ref="AR555">_xlfn.LET(_xlpm.N,$B$49,_xlpm.R,$B$48,_xlpm.Start,$B$47,_xlpm.PlanWD,AL555,_xlpm.PlanRoth,AM555,_xlpm.PlanConv,AN555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977827.36767230637</v>
      </c>
      <c r="AS555">
        <f>--AND(AK555&lt;=SUM('Retirement Gap'!$B$24:$B$25,'Retirement Gap'!$B$27),AL555+AN555&lt;=$B$47,AM555&lt;='Retirement Gap'!$B$29,ABS(AK555+AL555+AM555-$B$10)&lt;1)</f>
        <v>1</v>
      </c>
      <c r="AT555" cm="1">
        <f t="array" ref="AT555">IF(AS555=0,1E+99,_xlfn.SWITCH(LEFT($E$39,1),"1",AO555,"2",AP555*1000000000+AO555,"3",-AQ555,"4",AO555+AP555*25000+AR555*0.005-AQ555*0.0001,AO555))</f>
        <v>-968686.47204508656</v>
      </c>
    </row>
    <row r="556" spans="33:46" x14ac:dyDescent="0.55000000000000004">
      <c r="AG556">
        <f t="shared" si="60"/>
        <v>555</v>
      </c>
      <c r="AH556">
        <f t="shared" si="61"/>
        <v>0.8</v>
      </c>
      <c r="AI556">
        <f t="shared" si="62"/>
        <v>0.4</v>
      </c>
      <c r="AJ556">
        <f t="shared" si="63"/>
        <v>0.4</v>
      </c>
      <c r="AK556">
        <f t="shared" si="64"/>
        <v>7289.279999999997</v>
      </c>
      <c r="AL556">
        <f t="shared" si="65"/>
        <v>48595.200000000004</v>
      </c>
      <c r="AM556">
        <f>MIN(MAX(0,$B$10-AL556)*AI556,'Retirement Gap'!$B$29)</f>
        <v>4859.5199999999986</v>
      </c>
      <c r="AN556">
        <f>IF($E$40="B - Withdrawals + Roth conversions",AJ556*MAX(0,MIN($B$47-AL556,MIN($B$59,IRMAA!$C$16)-(AL556+$B$8*0.85+AK556*$B$46))),0)</f>
        <v>0</v>
      </c>
      <c r="AO556" cm="1">
        <f t="array" ref="AO556">_xlfn.LET(_xlpm.N,$B$49,_xlpm.R,$B$48,_xlpm.Start,$B$47,_xlpm.PlanWD,AL556,_xlpm.PlanRoth,AM556,_xlpm.PlanConv,AN556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37577.68</v>
      </c>
      <c r="AP556" cm="1">
        <f t="array" ref="AP556">_xlfn.LET(_xlpm.N,$B$49,_xlpm.R,$B$48,_xlpm.Start,$B$47,_xlpm.PlanWD,AL556,_xlpm.PlanRoth,AM556,_xlpm.PlanConv,AN556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556" cm="1">
        <f t="array" ref="AQ556">_xlfn.LET(_xlpm.N,$B$49,_xlpm.R,$B$48,_xlpm.Start,$B$47,_xlpm.PlanWD,AL556,_xlpm.PlanRoth,AM556,_xlpm.PlanConv,AN556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968686.47204508656</v>
      </c>
      <c r="AR556" cm="1">
        <f t="array" ref="AR556">_xlfn.LET(_xlpm.N,$B$49,_xlpm.R,$B$48,_xlpm.Start,$B$47,_xlpm.PlanWD,AL556,_xlpm.PlanRoth,AM556,_xlpm.PlanConv,AN556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977827.36767230637</v>
      </c>
      <c r="AS556">
        <f>--AND(AK556&lt;=SUM('Retirement Gap'!$B$24:$B$25,'Retirement Gap'!$B$27),AL556+AN556&lt;=$B$47,AM556&lt;='Retirement Gap'!$B$29,ABS(AK556+AL556+AM556-$B$10)&lt;1)</f>
        <v>1</v>
      </c>
      <c r="AT556" cm="1">
        <f t="array" ref="AT556">IF(AS556=0,1E+99,_xlfn.SWITCH(LEFT($E$39,1),"1",AO556,"2",AP556*1000000000+AO556,"3",-AQ556,"4",AO556+AP556*25000+AR556*0.005-AQ556*0.0001,AO556))</f>
        <v>-968686.47204508656</v>
      </c>
    </row>
    <row r="557" spans="33:46" x14ac:dyDescent="0.55000000000000004">
      <c r="AG557">
        <f t="shared" si="60"/>
        <v>556</v>
      </c>
      <c r="AH557">
        <f t="shared" si="61"/>
        <v>0.8</v>
      </c>
      <c r="AI557">
        <f t="shared" si="62"/>
        <v>0.4</v>
      </c>
      <c r="AJ557">
        <f t="shared" si="63"/>
        <v>0.6</v>
      </c>
      <c r="AK557">
        <f t="shared" si="64"/>
        <v>7289.279999999997</v>
      </c>
      <c r="AL557">
        <f t="shared" si="65"/>
        <v>48595.200000000004</v>
      </c>
      <c r="AM557">
        <f>MIN(MAX(0,$B$10-AL557)*AI557,'Retirement Gap'!$B$29)</f>
        <v>4859.5199999999986</v>
      </c>
      <c r="AN557">
        <f>IF($E$40="B - Withdrawals + Roth conversions",AJ557*MAX(0,MIN($B$47-AL557,MIN($B$59,IRMAA!$C$16)-(AL557+$B$8*0.85+AK557*$B$46))),0)</f>
        <v>0</v>
      </c>
      <c r="AO557" cm="1">
        <f t="array" ref="AO557">_xlfn.LET(_xlpm.N,$B$49,_xlpm.R,$B$48,_xlpm.Start,$B$47,_xlpm.PlanWD,AL557,_xlpm.PlanRoth,AM557,_xlpm.PlanConv,AN557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37577.68</v>
      </c>
      <c r="AP557" cm="1">
        <f t="array" ref="AP557">_xlfn.LET(_xlpm.N,$B$49,_xlpm.R,$B$48,_xlpm.Start,$B$47,_xlpm.PlanWD,AL557,_xlpm.PlanRoth,AM557,_xlpm.PlanConv,AN557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557" cm="1">
        <f t="array" ref="AQ557">_xlfn.LET(_xlpm.N,$B$49,_xlpm.R,$B$48,_xlpm.Start,$B$47,_xlpm.PlanWD,AL557,_xlpm.PlanRoth,AM557,_xlpm.PlanConv,AN557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968686.47204508656</v>
      </c>
      <c r="AR557" cm="1">
        <f t="array" ref="AR557">_xlfn.LET(_xlpm.N,$B$49,_xlpm.R,$B$48,_xlpm.Start,$B$47,_xlpm.PlanWD,AL557,_xlpm.PlanRoth,AM557,_xlpm.PlanConv,AN557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977827.36767230637</v>
      </c>
      <c r="AS557">
        <f>--AND(AK557&lt;=SUM('Retirement Gap'!$B$24:$B$25,'Retirement Gap'!$B$27),AL557+AN557&lt;=$B$47,AM557&lt;='Retirement Gap'!$B$29,ABS(AK557+AL557+AM557-$B$10)&lt;1)</f>
        <v>1</v>
      </c>
      <c r="AT557" cm="1">
        <f t="array" ref="AT557">IF(AS557=0,1E+99,_xlfn.SWITCH(LEFT($E$39,1),"1",AO557,"2",AP557*1000000000+AO557,"3",-AQ557,"4",AO557+AP557*25000+AR557*0.005-AQ557*0.0001,AO557))</f>
        <v>-968686.47204508656</v>
      </c>
    </row>
    <row r="558" spans="33:46" x14ac:dyDescent="0.55000000000000004">
      <c r="AG558">
        <f t="shared" si="60"/>
        <v>557</v>
      </c>
      <c r="AH558">
        <f t="shared" si="61"/>
        <v>0.8</v>
      </c>
      <c r="AI558">
        <f t="shared" si="62"/>
        <v>0.4</v>
      </c>
      <c r="AJ558">
        <f t="shared" si="63"/>
        <v>0.8</v>
      </c>
      <c r="AK558">
        <f t="shared" si="64"/>
        <v>7289.279999999997</v>
      </c>
      <c r="AL558">
        <f t="shared" si="65"/>
        <v>48595.200000000004</v>
      </c>
      <c r="AM558">
        <f>MIN(MAX(0,$B$10-AL558)*AI558,'Retirement Gap'!$B$29)</f>
        <v>4859.5199999999986</v>
      </c>
      <c r="AN558">
        <f>IF($E$40="B - Withdrawals + Roth conversions",AJ558*MAX(0,MIN($B$47-AL558,MIN($B$59,IRMAA!$C$16)-(AL558+$B$8*0.85+AK558*$B$46))),0)</f>
        <v>0</v>
      </c>
      <c r="AO558" cm="1">
        <f t="array" ref="AO558">_xlfn.LET(_xlpm.N,$B$49,_xlpm.R,$B$48,_xlpm.Start,$B$47,_xlpm.PlanWD,AL558,_xlpm.PlanRoth,AM558,_xlpm.PlanConv,AN558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37577.68</v>
      </c>
      <c r="AP558" cm="1">
        <f t="array" ref="AP558">_xlfn.LET(_xlpm.N,$B$49,_xlpm.R,$B$48,_xlpm.Start,$B$47,_xlpm.PlanWD,AL558,_xlpm.PlanRoth,AM558,_xlpm.PlanConv,AN558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558" cm="1">
        <f t="array" ref="AQ558">_xlfn.LET(_xlpm.N,$B$49,_xlpm.R,$B$48,_xlpm.Start,$B$47,_xlpm.PlanWD,AL558,_xlpm.PlanRoth,AM558,_xlpm.PlanConv,AN558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968686.47204508656</v>
      </c>
      <c r="AR558" cm="1">
        <f t="array" ref="AR558">_xlfn.LET(_xlpm.N,$B$49,_xlpm.R,$B$48,_xlpm.Start,$B$47,_xlpm.PlanWD,AL558,_xlpm.PlanRoth,AM558,_xlpm.PlanConv,AN558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977827.36767230637</v>
      </c>
      <c r="AS558">
        <f>--AND(AK558&lt;=SUM('Retirement Gap'!$B$24:$B$25,'Retirement Gap'!$B$27),AL558+AN558&lt;=$B$47,AM558&lt;='Retirement Gap'!$B$29,ABS(AK558+AL558+AM558-$B$10)&lt;1)</f>
        <v>1</v>
      </c>
      <c r="AT558" cm="1">
        <f t="array" ref="AT558">IF(AS558=0,1E+99,_xlfn.SWITCH(LEFT($E$39,1),"1",AO558,"2",AP558*1000000000+AO558,"3",-AQ558,"4",AO558+AP558*25000+AR558*0.005-AQ558*0.0001,AO558))</f>
        <v>-968686.47204508656</v>
      </c>
    </row>
    <row r="559" spans="33:46" x14ac:dyDescent="0.55000000000000004">
      <c r="AG559">
        <f t="shared" si="60"/>
        <v>558</v>
      </c>
      <c r="AH559">
        <f t="shared" si="61"/>
        <v>0.8</v>
      </c>
      <c r="AI559">
        <f t="shared" si="62"/>
        <v>0.4</v>
      </c>
      <c r="AJ559">
        <f t="shared" si="63"/>
        <v>1</v>
      </c>
      <c r="AK559">
        <f t="shared" si="64"/>
        <v>7289.279999999997</v>
      </c>
      <c r="AL559">
        <f t="shared" si="65"/>
        <v>48595.200000000004</v>
      </c>
      <c r="AM559">
        <f>MIN(MAX(0,$B$10-AL559)*AI559,'Retirement Gap'!$B$29)</f>
        <v>4859.5199999999986</v>
      </c>
      <c r="AN559">
        <f>IF($E$40="B - Withdrawals + Roth conversions",AJ559*MAX(0,MIN($B$47-AL559,MIN($B$59,IRMAA!$C$16)-(AL559+$B$8*0.85+AK559*$B$46))),0)</f>
        <v>0</v>
      </c>
      <c r="AO559" cm="1">
        <f t="array" ref="AO559">_xlfn.LET(_xlpm.N,$B$49,_xlpm.R,$B$48,_xlpm.Start,$B$47,_xlpm.PlanWD,AL559,_xlpm.PlanRoth,AM559,_xlpm.PlanConv,AN559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37577.68</v>
      </c>
      <c r="AP559" cm="1">
        <f t="array" ref="AP559">_xlfn.LET(_xlpm.N,$B$49,_xlpm.R,$B$48,_xlpm.Start,$B$47,_xlpm.PlanWD,AL559,_xlpm.PlanRoth,AM559,_xlpm.PlanConv,AN559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559" cm="1">
        <f t="array" ref="AQ559">_xlfn.LET(_xlpm.N,$B$49,_xlpm.R,$B$48,_xlpm.Start,$B$47,_xlpm.PlanWD,AL559,_xlpm.PlanRoth,AM559,_xlpm.PlanConv,AN559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968686.47204508656</v>
      </c>
      <c r="AR559" cm="1">
        <f t="array" ref="AR559">_xlfn.LET(_xlpm.N,$B$49,_xlpm.R,$B$48,_xlpm.Start,$B$47,_xlpm.PlanWD,AL559,_xlpm.PlanRoth,AM559,_xlpm.PlanConv,AN559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977827.36767230637</v>
      </c>
      <c r="AS559">
        <f>--AND(AK559&lt;=SUM('Retirement Gap'!$B$24:$B$25,'Retirement Gap'!$B$27),AL559+AN559&lt;=$B$47,AM559&lt;='Retirement Gap'!$B$29,ABS(AK559+AL559+AM559-$B$10)&lt;1)</f>
        <v>1</v>
      </c>
      <c r="AT559" cm="1">
        <f t="array" ref="AT559">IF(AS559=0,1E+99,_xlfn.SWITCH(LEFT($E$39,1),"1",AO559,"2",AP559*1000000000+AO559,"3",-AQ559,"4",AO559+AP559*25000+AR559*0.005-AQ559*0.0001,AO559))</f>
        <v>-968686.47204508656</v>
      </c>
    </row>
    <row r="560" spans="33:46" x14ac:dyDescent="0.55000000000000004">
      <c r="AG560">
        <f t="shared" si="60"/>
        <v>559</v>
      </c>
      <c r="AH560">
        <f t="shared" si="61"/>
        <v>0.8</v>
      </c>
      <c r="AI560">
        <f t="shared" si="62"/>
        <v>0.5</v>
      </c>
      <c r="AJ560">
        <f t="shared" si="63"/>
        <v>0</v>
      </c>
      <c r="AK560">
        <f t="shared" si="64"/>
        <v>6074.3999999999978</v>
      </c>
      <c r="AL560">
        <f t="shared" si="65"/>
        <v>48595.200000000004</v>
      </c>
      <c r="AM560">
        <f>MIN(MAX(0,$B$10-AL560)*AI560,'Retirement Gap'!$B$29)</f>
        <v>6074.3999999999978</v>
      </c>
      <c r="AN560">
        <f>IF($E$40="B - Withdrawals + Roth conversions",AJ560*MAX(0,MIN($B$47-AL560,MIN($B$59,IRMAA!$C$16)-(AL560+$B$8*0.85+AK560*$B$46))),0)</f>
        <v>0</v>
      </c>
      <c r="AO560" cm="1">
        <f t="array" ref="AO560">_xlfn.LET(_xlpm.N,$B$49,_xlpm.R,$B$48,_xlpm.Start,$B$47,_xlpm.PlanWD,AL560,_xlpm.PlanRoth,AM560,_xlpm.PlanConv,AN560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37577.68</v>
      </c>
      <c r="AP560" cm="1">
        <f t="array" ref="AP560">_xlfn.LET(_xlpm.N,$B$49,_xlpm.R,$B$48,_xlpm.Start,$B$47,_xlpm.PlanWD,AL560,_xlpm.PlanRoth,AM560,_xlpm.PlanConv,AN560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560" cm="1">
        <f t="array" ref="AQ560">_xlfn.LET(_xlpm.N,$B$49,_xlpm.R,$B$48,_xlpm.Start,$B$47,_xlpm.PlanWD,AL560,_xlpm.PlanRoth,AM560,_xlpm.PlanConv,AN560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968686.47204508656</v>
      </c>
      <c r="AR560" cm="1">
        <f t="array" ref="AR560">_xlfn.LET(_xlpm.N,$B$49,_xlpm.R,$B$48,_xlpm.Start,$B$47,_xlpm.PlanWD,AL560,_xlpm.PlanRoth,AM560,_xlpm.PlanConv,AN560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977827.36767230637</v>
      </c>
      <c r="AS560">
        <f>--AND(AK560&lt;=SUM('Retirement Gap'!$B$24:$B$25,'Retirement Gap'!$B$27),AL560+AN560&lt;=$B$47,AM560&lt;='Retirement Gap'!$B$29,ABS(AK560+AL560+AM560-$B$10)&lt;1)</f>
        <v>1</v>
      </c>
      <c r="AT560" cm="1">
        <f t="array" ref="AT560">IF(AS560=0,1E+99,_xlfn.SWITCH(LEFT($E$39,1),"1",AO560,"2",AP560*1000000000+AO560,"3",-AQ560,"4",AO560+AP560*25000+AR560*0.005-AQ560*0.0001,AO560))</f>
        <v>-968686.47204508656</v>
      </c>
    </row>
    <row r="561" spans="33:46" x14ac:dyDescent="0.55000000000000004">
      <c r="AG561">
        <f t="shared" si="60"/>
        <v>560</v>
      </c>
      <c r="AH561">
        <f t="shared" si="61"/>
        <v>0.8</v>
      </c>
      <c r="AI561">
        <f t="shared" si="62"/>
        <v>0.5</v>
      </c>
      <c r="AJ561">
        <f t="shared" si="63"/>
        <v>0.2</v>
      </c>
      <c r="AK561">
        <f t="shared" si="64"/>
        <v>6074.3999999999978</v>
      </c>
      <c r="AL561">
        <f t="shared" si="65"/>
        <v>48595.200000000004</v>
      </c>
      <c r="AM561">
        <f>MIN(MAX(0,$B$10-AL561)*AI561,'Retirement Gap'!$B$29)</f>
        <v>6074.3999999999978</v>
      </c>
      <c r="AN561">
        <f>IF($E$40="B - Withdrawals + Roth conversions",AJ561*MAX(0,MIN($B$47-AL561,MIN($B$59,IRMAA!$C$16)-(AL561+$B$8*0.85+AK561*$B$46))),0)</f>
        <v>0</v>
      </c>
      <c r="AO561" cm="1">
        <f t="array" ref="AO561">_xlfn.LET(_xlpm.N,$B$49,_xlpm.R,$B$48,_xlpm.Start,$B$47,_xlpm.PlanWD,AL561,_xlpm.PlanRoth,AM561,_xlpm.PlanConv,AN561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37577.68</v>
      </c>
      <c r="AP561" cm="1">
        <f t="array" ref="AP561">_xlfn.LET(_xlpm.N,$B$49,_xlpm.R,$B$48,_xlpm.Start,$B$47,_xlpm.PlanWD,AL561,_xlpm.PlanRoth,AM561,_xlpm.PlanConv,AN561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561" cm="1">
        <f t="array" ref="AQ561">_xlfn.LET(_xlpm.N,$B$49,_xlpm.R,$B$48,_xlpm.Start,$B$47,_xlpm.PlanWD,AL561,_xlpm.PlanRoth,AM561,_xlpm.PlanConv,AN561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968686.47204508656</v>
      </c>
      <c r="AR561" cm="1">
        <f t="array" ref="AR561">_xlfn.LET(_xlpm.N,$B$49,_xlpm.R,$B$48,_xlpm.Start,$B$47,_xlpm.PlanWD,AL561,_xlpm.PlanRoth,AM561,_xlpm.PlanConv,AN561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977827.36767230637</v>
      </c>
      <c r="AS561">
        <f>--AND(AK561&lt;=SUM('Retirement Gap'!$B$24:$B$25,'Retirement Gap'!$B$27),AL561+AN561&lt;=$B$47,AM561&lt;='Retirement Gap'!$B$29,ABS(AK561+AL561+AM561-$B$10)&lt;1)</f>
        <v>1</v>
      </c>
      <c r="AT561" cm="1">
        <f t="array" ref="AT561">IF(AS561=0,1E+99,_xlfn.SWITCH(LEFT($E$39,1),"1",AO561,"2",AP561*1000000000+AO561,"3",-AQ561,"4",AO561+AP561*25000+AR561*0.005-AQ561*0.0001,AO561))</f>
        <v>-968686.47204508656</v>
      </c>
    </row>
    <row r="562" spans="33:46" x14ac:dyDescent="0.55000000000000004">
      <c r="AG562">
        <f t="shared" si="60"/>
        <v>561</v>
      </c>
      <c r="AH562">
        <f t="shared" si="61"/>
        <v>0.8</v>
      </c>
      <c r="AI562">
        <f t="shared" si="62"/>
        <v>0.5</v>
      </c>
      <c r="AJ562">
        <f t="shared" si="63"/>
        <v>0.4</v>
      </c>
      <c r="AK562">
        <f t="shared" si="64"/>
        <v>6074.3999999999978</v>
      </c>
      <c r="AL562">
        <f t="shared" si="65"/>
        <v>48595.200000000004</v>
      </c>
      <c r="AM562">
        <f>MIN(MAX(0,$B$10-AL562)*AI562,'Retirement Gap'!$B$29)</f>
        <v>6074.3999999999978</v>
      </c>
      <c r="AN562">
        <f>IF($E$40="B - Withdrawals + Roth conversions",AJ562*MAX(0,MIN($B$47-AL562,MIN($B$59,IRMAA!$C$16)-(AL562+$B$8*0.85+AK562*$B$46))),0)</f>
        <v>0</v>
      </c>
      <c r="AO562" cm="1">
        <f t="array" ref="AO562">_xlfn.LET(_xlpm.N,$B$49,_xlpm.R,$B$48,_xlpm.Start,$B$47,_xlpm.PlanWD,AL562,_xlpm.PlanRoth,AM562,_xlpm.PlanConv,AN562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37577.68</v>
      </c>
      <c r="AP562" cm="1">
        <f t="array" ref="AP562">_xlfn.LET(_xlpm.N,$B$49,_xlpm.R,$B$48,_xlpm.Start,$B$47,_xlpm.PlanWD,AL562,_xlpm.PlanRoth,AM562,_xlpm.PlanConv,AN562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562" cm="1">
        <f t="array" ref="AQ562">_xlfn.LET(_xlpm.N,$B$49,_xlpm.R,$B$48,_xlpm.Start,$B$47,_xlpm.PlanWD,AL562,_xlpm.PlanRoth,AM562,_xlpm.PlanConv,AN562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968686.47204508656</v>
      </c>
      <c r="AR562" cm="1">
        <f t="array" ref="AR562">_xlfn.LET(_xlpm.N,$B$49,_xlpm.R,$B$48,_xlpm.Start,$B$47,_xlpm.PlanWD,AL562,_xlpm.PlanRoth,AM562,_xlpm.PlanConv,AN562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977827.36767230637</v>
      </c>
      <c r="AS562">
        <f>--AND(AK562&lt;=SUM('Retirement Gap'!$B$24:$B$25,'Retirement Gap'!$B$27),AL562+AN562&lt;=$B$47,AM562&lt;='Retirement Gap'!$B$29,ABS(AK562+AL562+AM562-$B$10)&lt;1)</f>
        <v>1</v>
      </c>
      <c r="AT562" cm="1">
        <f t="array" ref="AT562">IF(AS562=0,1E+99,_xlfn.SWITCH(LEFT($E$39,1),"1",AO562,"2",AP562*1000000000+AO562,"3",-AQ562,"4",AO562+AP562*25000+AR562*0.005-AQ562*0.0001,AO562))</f>
        <v>-968686.47204508656</v>
      </c>
    </row>
    <row r="563" spans="33:46" x14ac:dyDescent="0.55000000000000004">
      <c r="AG563">
        <f t="shared" si="60"/>
        <v>562</v>
      </c>
      <c r="AH563">
        <f t="shared" si="61"/>
        <v>0.8</v>
      </c>
      <c r="AI563">
        <f t="shared" si="62"/>
        <v>0.5</v>
      </c>
      <c r="AJ563">
        <f t="shared" si="63"/>
        <v>0.6</v>
      </c>
      <c r="AK563">
        <f t="shared" si="64"/>
        <v>6074.3999999999978</v>
      </c>
      <c r="AL563">
        <f t="shared" si="65"/>
        <v>48595.200000000004</v>
      </c>
      <c r="AM563">
        <f>MIN(MAX(0,$B$10-AL563)*AI563,'Retirement Gap'!$B$29)</f>
        <v>6074.3999999999978</v>
      </c>
      <c r="AN563">
        <f>IF($E$40="B - Withdrawals + Roth conversions",AJ563*MAX(0,MIN($B$47-AL563,MIN($B$59,IRMAA!$C$16)-(AL563+$B$8*0.85+AK563*$B$46))),0)</f>
        <v>0</v>
      </c>
      <c r="AO563" cm="1">
        <f t="array" ref="AO563">_xlfn.LET(_xlpm.N,$B$49,_xlpm.R,$B$48,_xlpm.Start,$B$47,_xlpm.PlanWD,AL563,_xlpm.PlanRoth,AM563,_xlpm.PlanConv,AN563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37577.68</v>
      </c>
      <c r="AP563" cm="1">
        <f t="array" ref="AP563">_xlfn.LET(_xlpm.N,$B$49,_xlpm.R,$B$48,_xlpm.Start,$B$47,_xlpm.PlanWD,AL563,_xlpm.PlanRoth,AM563,_xlpm.PlanConv,AN563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563" cm="1">
        <f t="array" ref="AQ563">_xlfn.LET(_xlpm.N,$B$49,_xlpm.R,$B$48,_xlpm.Start,$B$47,_xlpm.PlanWD,AL563,_xlpm.PlanRoth,AM563,_xlpm.PlanConv,AN563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968686.47204508656</v>
      </c>
      <c r="AR563" cm="1">
        <f t="array" ref="AR563">_xlfn.LET(_xlpm.N,$B$49,_xlpm.R,$B$48,_xlpm.Start,$B$47,_xlpm.PlanWD,AL563,_xlpm.PlanRoth,AM563,_xlpm.PlanConv,AN563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977827.36767230637</v>
      </c>
      <c r="AS563">
        <f>--AND(AK563&lt;=SUM('Retirement Gap'!$B$24:$B$25,'Retirement Gap'!$B$27),AL563+AN563&lt;=$B$47,AM563&lt;='Retirement Gap'!$B$29,ABS(AK563+AL563+AM563-$B$10)&lt;1)</f>
        <v>1</v>
      </c>
      <c r="AT563" cm="1">
        <f t="array" ref="AT563">IF(AS563=0,1E+99,_xlfn.SWITCH(LEFT($E$39,1),"1",AO563,"2",AP563*1000000000+AO563,"3",-AQ563,"4",AO563+AP563*25000+AR563*0.005-AQ563*0.0001,AO563))</f>
        <v>-968686.47204508656</v>
      </c>
    </row>
    <row r="564" spans="33:46" x14ac:dyDescent="0.55000000000000004">
      <c r="AG564">
        <f t="shared" si="60"/>
        <v>563</v>
      </c>
      <c r="AH564">
        <f t="shared" si="61"/>
        <v>0.8</v>
      </c>
      <c r="AI564">
        <f t="shared" si="62"/>
        <v>0.5</v>
      </c>
      <c r="AJ564">
        <f t="shared" si="63"/>
        <v>0.8</v>
      </c>
      <c r="AK564">
        <f t="shared" si="64"/>
        <v>6074.3999999999978</v>
      </c>
      <c r="AL564">
        <f t="shared" si="65"/>
        <v>48595.200000000004</v>
      </c>
      <c r="AM564">
        <f>MIN(MAX(0,$B$10-AL564)*AI564,'Retirement Gap'!$B$29)</f>
        <v>6074.3999999999978</v>
      </c>
      <c r="AN564">
        <f>IF($E$40="B - Withdrawals + Roth conversions",AJ564*MAX(0,MIN($B$47-AL564,MIN($B$59,IRMAA!$C$16)-(AL564+$B$8*0.85+AK564*$B$46))),0)</f>
        <v>0</v>
      </c>
      <c r="AO564" cm="1">
        <f t="array" ref="AO564">_xlfn.LET(_xlpm.N,$B$49,_xlpm.R,$B$48,_xlpm.Start,$B$47,_xlpm.PlanWD,AL564,_xlpm.PlanRoth,AM564,_xlpm.PlanConv,AN564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37577.68</v>
      </c>
      <c r="AP564" cm="1">
        <f t="array" ref="AP564">_xlfn.LET(_xlpm.N,$B$49,_xlpm.R,$B$48,_xlpm.Start,$B$47,_xlpm.PlanWD,AL564,_xlpm.PlanRoth,AM564,_xlpm.PlanConv,AN564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564" cm="1">
        <f t="array" ref="AQ564">_xlfn.LET(_xlpm.N,$B$49,_xlpm.R,$B$48,_xlpm.Start,$B$47,_xlpm.PlanWD,AL564,_xlpm.PlanRoth,AM564,_xlpm.PlanConv,AN564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968686.47204508656</v>
      </c>
      <c r="AR564" cm="1">
        <f t="array" ref="AR564">_xlfn.LET(_xlpm.N,$B$49,_xlpm.R,$B$48,_xlpm.Start,$B$47,_xlpm.PlanWD,AL564,_xlpm.PlanRoth,AM564,_xlpm.PlanConv,AN564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977827.36767230637</v>
      </c>
      <c r="AS564">
        <f>--AND(AK564&lt;=SUM('Retirement Gap'!$B$24:$B$25,'Retirement Gap'!$B$27),AL564+AN564&lt;=$B$47,AM564&lt;='Retirement Gap'!$B$29,ABS(AK564+AL564+AM564-$B$10)&lt;1)</f>
        <v>1</v>
      </c>
      <c r="AT564" cm="1">
        <f t="array" ref="AT564">IF(AS564=0,1E+99,_xlfn.SWITCH(LEFT($E$39,1),"1",AO564,"2",AP564*1000000000+AO564,"3",-AQ564,"4",AO564+AP564*25000+AR564*0.005-AQ564*0.0001,AO564))</f>
        <v>-968686.47204508656</v>
      </c>
    </row>
    <row r="565" spans="33:46" x14ac:dyDescent="0.55000000000000004">
      <c r="AG565">
        <f t="shared" si="60"/>
        <v>564</v>
      </c>
      <c r="AH565">
        <f t="shared" si="61"/>
        <v>0.8</v>
      </c>
      <c r="AI565">
        <f t="shared" si="62"/>
        <v>0.5</v>
      </c>
      <c r="AJ565">
        <f t="shared" si="63"/>
        <v>1</v>
      </c>
      <c r="AK565">
        <f t="shared" si="64"/>
        <v>6074.3999999999978</v>
      </c>
      <c r="AL565">
        <f t="shared" si="65"/>
        <v>48595.200000000004</v>
      </c>
      <c r="AM565">
        <f>MIN(MAX(0,$B$10-AL565)*AI565,'Retirement Gap'!$B$29)</f>
        <v>6074.3999999999978</v>
      </c>
      <c r="AN565">
        <f>IF($E$40="B - Withdrawals + Roth conversions",AJ565*MAX(0,MIN($B$47-AL565,MIN($B$59,IRMAA!$C$16)-(AL565+$B$8*0.85+AK565*$B$46))),0)</f>
        <v>0</v>
      </c>
      <c r="AO565" cm="1">
        <f t="array" ref="AO565">_xlfn.LET(_xlpm.N,$B$49,_xlpm.R,$B$48,_xlpm.Start,$B$47,_xlpm.PlanWD,AL565,_xlpm.PlanRoth,AM565,_xlpm.PlanConv,AN565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37577.68</v>
      </c>
      <c r="AP565" cm="1">
        <f t="array" ref="AP565">_xlfn.LET(_xlpm.N,$B$49,_xlpm.R,$B$48,_xlpm.Start,$B$47,_xlpm.PlanWD,AL565,_xlpm.PlanRoth,AM565,_xlpm.PlanConv,AN565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565" cm="1">
        <f t="array" ref="AQ565">_xlfn.LET(_xlpm.N,$B$49,_xlpm.R,$B$48,_xlpm.Start,$B$47,_xlpm.PlanWD,AL565,_xlpm.PlanRoth,AM565,_xlpm.PlanConv,AN565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968686.47204508656</v>
      </c>
      <c r="AR565" cm="1">
        <f t="array" ref="AR565">_xlfn.LET(_xlpm.N,$B$49,_xlpm.R,$B$48,_xlpm.Start,$B$47,_xlpm.PlanWD,AL565,_xlpm.PlanRoth,AM565,_xlpm.PlanConv,AN565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977827.36767230637</v>
      </c>
      <c r="AS565">
        <f>--AND(AK565&lt;=SUM('Retirement Gap'!$B$24:$B$25,'Retirement Gap'!$B$27),AL565+AN565&lt;=$B$47,AM565&lt;='Retirement Gap'!$B$29,ABS(AK565+AL565+AM565-$B$10)&lt;1)</f>
        <v>1</v>
      </c>
      <c r="AT565" cm="1">
        <f t="array" ref="AT565">IF(AS565=0,1E+99,_xlfn.SWITCH(LEFT($E$39,1),"1",AO565,"2",AP565*1000000000+AO565,"3",-AQ565,"4",AO565+AP565*25000+AR565*0.005-AQ565*0.0001,AO565))</f>
        <v>-968686.47204508656</v>
      </c>
    </row>
    <row r="566" spans="33:46" x14ac:dyDescent="0.55000000000000004">
      <c r="AG566">
        <f t="shared" si="60"/>
        <v>565</v>
      </c>
      <c r="AH566">
        <f t="shared" si="61"/>
        <v>0.8</v>
      </c>
      <c r="AI566">
        <f t="shared" si="62"/>
        <v>0.6</v>
      </c>
      <c r="AJ566">
        <f t="shared" si="63"/>
        <v>0</v>
      </c>
      <c r="AK566">
        <f t="shared" si="64"/>
        <v>4859.5199999999986</v>
      </c>
      <c r="AL566">
        <f t="shared" si="65"/>
        <v>48595.200000000004</v>
      </c>
      <c r="AM566">
        <f>MIN(MAX(0,$B$10-AL566)*AI566,'Retirement Gap'!$B$29)</f>
        <v>7289.279999999997</v>
      </c>
      <c r="AN566">
        <f>IF($E$40="B - Withdrawals + Roth conversions",AJ566*MAX(0,MIN($B$47-AL566,MIN($B$59,IRMAA!$C$16)-(AL566+$B$8*0.85+AK566*$B$46))),0)</f>
        <v>0</v>
      </c>
      <c r="AO566" cm="1">
        <f t="array" ref="AO566">_xlfn.LET(_xlpm.N,$B$49,_xlpm.R,$B$48,_xlpm.Start,$B$47,_xlpm.PlanWD,AL566,_xlpm.PlanRoth,AM566,_xlpm.PlanConv,AN566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37577.68</v>
      </c>
      <c r="AP566" cm="1">
        <f t="array" ref="AP566">_xlfn.LET(_xlpm.N,$B$49,_xlpm.R,$B$48,_xlpm.Start,$B$47,_xlpm.PlanWD,AL566,_xlpm.PlanRoth,AM566,_xlpm.PlanConv,AN566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566" cm="1">
        <f t="array" ref="AQ566">_xlfn.LET(_xlpm.N,$B$49,_xlpm.R,$B$48,_xlpm.Start,$B$47,_xlpm.PlanWD,AL566,_xlpm.PlanRoth,AM566,_xlpm.PlanConv,AN566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968686.47204508656</v>
      </c>
      <c r="AR566" cm="1">
        <f t="array" ref="AR566">_xlfn.LET(_xlpm.N,$B$49,_xlpm.R,$B$48,_xlpm.Start,$B$47,_xlpm.PlanWD,AL566,_xlpm.PlanRoth,AM566,_xlpm.PlanConv,AN566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977827.36767230637</v>
      </c>
      <c r="AS566">
        <f>--AND(AK566&lt;=SUM('Retirement Gap'!$B$24:$B$25,'Retirement Gap'!$B$27),AL566+AN566&lt;=$B$47,AM566&lt;='Retirement Gap'!$B$29,ABS(AK566+AL566+AM566-$B$10)&lt;1)</f>
        <v>1</v>
      </c>
      <c r="AT566" cm="1">
        <f t="array" ref="AT566">IF(AS566=0,1E+99,_xlfn.SWITCH(LEFT($E$39,1),"1",AO566,"2",AP566*1000000000+AO566,"3",-AQ566,"4",AO566+AP566*25000+AR566*0.005-AQ566*0.0001,AO566))</f>
        <v>-968686.47204508656</v>
      </c>
    </row>
    <row r="567" spans="33:46" x14ac:dyDescent="0.55000000000000004">
      <c r="AG567">
        <f t="shared" si="60"/>
        <v>566</v>
      </c>
      <c r="AH567">
        <f t="shared" si="61"/>
        <v>0.8</v>
      </c>
      <c r="AI567">
        <f t="shared" si="62"/>
        <v>0.6</v>
      </c>
      <c r="AJ567">
        <f t="shared" si="63"/>
        <v>0.2</v>
      </c>
      <c r="AK567">
        <f t="shared" si="64"/>
        <v>4859.5199999999986</v>
      </c>
      <c r="AL567">
        <f t="shared" si="65"/>
        <v>48595.200000000004</v>
      </c>
      <c r="AM567">
        <f>MIN(MAX(0,$B$10-AL567)*AI567,'Retirement Gap'!$B$29)</f>
        <v>7289.279999999997</v>
      </c>
      <c r="AN567">
        <f>IF($E$40="B - Withdrawals + Roth conversions",AJ567*MAX(0,MIN($B$47-AL567,MIN($B$59,IRMAA!$C$16)-(AL567+$B$8*0.85+AK567*$B$46))),0)</f>
        <v>0</v>
      </c>
      <c r="AO567" cm="1">
        <f t="array" ref="AO567">_xlfn.LET(_xlpm.N,$B$49,_xlpm.R,$B$48,_xlpm.Start,$B$47,_xlpm.PlanWD,AL567,_xlpm.PlanRoth,AM567,_xlpm.PlanConv,AN567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37577.68</v>
      </c>
      <c r="AP567" cm="1">
        <f t="array" ref="AP567">_xlfn.LET(_xlpm.N,$B$49,_xlpm.R,$B$48,_xlpm.Start,$B$47,_xlpm.PlanWD,AL567,_xlpm.PlanRoth,AM567,_xlpm.PlanConv,AN567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567" cm="1">
        <f t="array" ref="AQ567">_xlfn.LET(_xlpm.N,$B$49,_xlpm.R,$B$48,_xlpm.Start,$B$47,_xlpm.PlanWD,AL567,_xlpm.PlanRoth,AM567,_xlpm.PlanConv,AN567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968686.47204508656</v>
      </c>
      <c r="AR567" cm="1">
        <f t="array" ref="AR567">_xlfn.LET(_xlpm.N,$B$49,_xlpm.R,$B$48,_xlpm.Start,$B$47,_xlpm.PlanWD,AL567,_xlpm.PlanRoth,AM567,_xlpm.PlanConv,AN567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977827.36767230637</v>
      </c>
      <c r="AS567">
        <f>--AND(AK567&lt;=SUM('Retirement Gap'!$B$24:$B$25,'Retirement Gap'!$B$27),AL567+AN567&lt;=$B$47,AM567&lt;='Retirement Gap'!$B$29,ABS(AK567+AL567+AM567-$B$10)&lt;1)</f>
        <v>1</v>
      </c>
      <c r="AT567" cm="1">
        <f t="array" ref="AT567">IF(AS567=0,1E+99,_xlfn.SWITCH(LEFT($E$39,1),"1",AO567,"2",AP567*1000000000+AO567,"3",-AQ567,"4",AO567+AP567*25000+AR567*0.005-AQ567*0.0001,AO567))</f>
        <v>-968686.47204508656</v>
      </c>
    </row>
    <row r="568" spans="33:46" x14ac:dyDescent="0.55000000000000004">
      <c r="AG568">
        <f t="shared" si="60"/>
        <v>567</v>
      </c>
      <c r="AH568">
        <f t="shared" si="61"/>
        <v>0.8</v>
      </c>
      <c r="AI568">
        <f t="shared" si="62"/>
        <v>0.6</v>
      </c>
      <c r="AJ568">
        <f t="shared" si="63"/>
        <v>0.4</v>
      </c>
      <c r="AK568">
        <f t="shared" si="64"/>
        <v>4859.5199999999986</v>
      </c>
      <c r="AL568">
        <f t="shared" si="65"/>
        <v>48595.200000000004</v>
      </c>
      <c r="AM568">
        <f>MIN(MAX(0,$B$10-AL568)*AI568,'Retirement Gap'!$B$29)</f>
        <v>7289.279999999997</v>
      </c>
      <c r="AN568">
        <f>IF($E$40="B - Withdrawals + Roth conversions",AJ568*MAX(0,MIN($B$47-AL568,MIN($B$59,IRMAA!$C$16)-(AL568+$B$8*0.85+AK568*$B$46))),0)</f>
        <v>0</v>
      </c>
      <c r="AO568" cm="1">
        <f t="array" ref="AO568">_xlfn.LET(_xlpm.N,$B$49,_xlpm.R,$B$48,_xlpm.Start,$B$47,_xlpm.PlanWD,AL568,_xlpm.PlanRoth,AM568,_xlpm.PlanConv,AN568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37577.68</v>
      </c>
      <c r="AP568" cm="1">
        <f t="array" ref="AP568">_xlfn.LET(_xlpm.N,$B$49,_xlpm.R,$B$48,_xlpm.Start,$B$47,_xlpm.PlanWD,AL568,_xlpm.PlanRoth,AM568,_xlpm.PlanConv,AN568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568" cm="1">
        <f t="array" ref="AQ568">_xlfn.LET(_xlpm.N,$B$49,_xlpm.R,$B$48,_xlpm.Start,$B$47,_xlpm.PlanWD,AL568,_xlpm.PlanRoth,AM568,_xlpm.PlanConv,AN568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968686.47204508656</v>
      </c>
      <c r="AR568" cm="1">
        <f t="array" ref="AR568">_xlfn.LET(_xlpm.N,$B$49,_xlpm.R,$B$48,_xlpm.Start,$B$47,_xlpm.PlanWD,AL568,_xlpm.PlanRoth,AM568,_xlpm.PlanConv,AN568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977827.36767230637</v>
      </c>
      <c r="AS568">
        <f>--AND(AK568&lt;=SUM('Retirement Gap'!$B$24:$B$25,'Retirement Gap'!$B$27),AL568+AN568&lt;=$B$47,AM568&lt;='Retirement Gap'!$B$29,ABS(AK568+AL568+AM568-$B$10)&lt;1)</f>
        <v>1</v>
      </c>
      <c r="AT568" cm="1">
        <f t="array" ref="AT568">IF(AS568=0,1E+99,_xlfn.SWITCH(LEFT($E$39,1),"1",AO568,"2",AP568*1000000000+AO568,"3",-AQ568,"4",AO568+AP568*25000+AR568*0.005-AQ568*0.0001,AO568))</f>
        <v>-968686.47204508656</v>
      </c>
    </row>
    <row r="569" spans="33:46" x14ac:dyDescent="0.55000000000000004">
      <c r="AG569">
        <f t="shared" si="60"/>
        <v>568</v>
      </c>
      <c r="AH569">
        <f t="shared" si="61"/>
        <v>0.8</v>
      </c>
      <c r="AI569">
        <f t="shared" si="62"/>
        <v>0.6</v>
      </c>
      <c r="AJ569">
        <f t="shared" si="63"/>
        <v>0.6</v>
      </c>
      <c r="AK569">
        <f t="shared" si="64"/>
        <v>4859.5199999999986</v>
      </c>
      <c r="AL569">
        <f t="shared" si="65"/>
        <v>48595.200000000004</v>
      </c>
      <c r="AM569">
        <f>MIN(MAX(0,$B$10-AL569)*AI569,'Retirement Gap'!$B$29)</f>
        <v>7289.279999999997</v>
      </c>
      <c r="AN569">
        <f>IF($E$40="B - Withdrawals + Roth conversions",AJ569*MAX(0,MIN($B$47-AL569,MIN($B$59,IRMAA!$C$16)-(AL569+$B$8*0.85+AK569*$B$46))),0)</f>
        <v>0</v>
      </c>
      <c r="AO569" cm="1">
        <f t="array" ref="AO569">_xlfn.LET(_xlpm.N,$B$49,_xlpm.R,$B$48,_xlpm.Start,$B$47,_xlpm.PlanWD,AL569,_xlpm.PlanRoth,AM569,_xlpm.PlanConv,AN569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37577.68</v>
      </c>
      <c r="AP569" cm="1">
        <f t="array" ref="AP569">_xlfn.LET(_xlpm.N,$B$49,_xlpm.R,$B$48,_xlpm.Start,$B$47,_xlpm.PlanWD,AL569,_xlpm.PlanRoth,AM569,_xlpm.PlanConv,AN569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569" cm="1">
        <f t="array" ref="AQ569">_xlfn.LET(_xlpm.N,$B$49,_xlpm.R,$B$48,_xlpm.Start,$B$47,_xlpm.PlanWD,AL569,_xlpm.PlanRoth,AM569,_xlpm.PlanConv,AN569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968686.47204508656</v>
      </c>
      <c r="AR569" cm="1">
        <f t="array" ref="AR569">_xlfn.LET(_xlpm.N,$B$49,_xlpm.R,$B$48,_xlpm.Start,$B$47,_xlpm.PlanWD,AL569,_xlpm.PlanRoth,AM569,_xlpm.PlanConv,AN569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977827.36767230637</v>
      </c>
      <c r="AS569">
        <f>--AND(AK569&lt;=SUM('Retirement Gap'!$B$24:$B$25,'Retirement Gap'!$B$27),AL569+AN569&lt;=$B$47,AM569&lt;='Retirement Gap'!$B$29,ABS(AK569+AL569+AM569-$B$10)&lt;1)</f>
        <v>1</v>
      </c>
      <c r="AT569" cm="1">
        <f t="array" ref="AT569">IF(AS569=0,1E+99,_xlfn.SWITCH(LEFT($E$39,1),"1",AO569,"2",AP569*1000000000+AO569,"3",-AQ569,"4",AO569+AP569*25000+AR569*0.005-AQ569*0.0001,AO569))</f>
        <v>-968686.47204508656</v>
      </c>
    </row>
    <row r="570" spans="33:46" x14ac:dyDescent="0.55000000000000004">
      <c r="AG570">
        <f t="shared" si="60"/>
        <v>569</v>
      </c>
      <c r="AH570">
        <f t="shared" si="61"/>
        <v>0.8</v>
      </c>
      <c r="AI570">
        <f t="shared" si="62"/>
        <v>0.6</v>
      </c>
      <c r="AJ570">
        <f t="shared" si="63"/>
        <v>0.8</v>
      </c>
      <c r="AK570">
        <f t="shared" si="64"/>
        <v>4859.5199999999986</v>
      </c>
      <c r="AL570">
        <f t="shared" si="65"/>
        <v>48595.200000000004</v>
      </c>
      <c r="AM570">
        <f>MIN(MAX(0,$B$10-AL570)*AI570,'Retirement Gap'!$B$29)</f>
        <v>7289.279999999997</v>
      </c>
      <c r="AN570">
        <f>IF($E$40="B - Withdrawals + Roth conversions",AJ570*MAX(0,MIN($B$47-AL570,MIN($B$59,IRMAA!$C$16)-(AL570+$B$8*0.85+AK570*$B$46))),0)</f>
        <v>0</v>
      </c>
      <c r="AO570" cm="1">
        <f t="array" ref="AO570">_xlfn.LET(_xlpm.N,$B$49,_xlpm.R,$B$48,_xlpm.Start,$B$47,_xlpm.PlanWD,AL570,_xlpm.PlanRoth,AM570,_xlpm.PlanConv,AN570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37577.68</v>
      </c>
      <c r="AP570" cm="1">
        <f t="array" ref="AP570">_xlfn.LET(_xlpm.N,$B$49,_xlpm.R,$B$48,_xlpm.Start,$B$47,_xlpm.PlanWD,AL570,_xlpm.PlanRoth,AM570,_xlpm.PlanConv,AN570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570" cm="1">
        <f t="array" ref="AQ570">_xlfn.LET(_xlpm.N,$B$49,_xlpm.R,$B$48,_xlpm.Start,$B$47,_xlpm.PlanWD,AL570,_xlpm.PlanRoth,AM570,_xlpm.PlanConv,AN570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968686.47204508656</v>
      </c>
      <c r="AR570" cm="1">
        <f t="array" ref="AR570">_xlfn.LET(_xlpm.N,$B$49,_xlpm.R,$B$48,_xlpm.Start,$B$47,_xlpm.PlanWD,AL570,_xlpm.PlanRoth,AM570,_xlpm.PlanConv,AN570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977827.36767230637</v>
      </c>
      <c r="AS570">
        <f>--AND(AK570&lt;=SUM('Retirement Gap'!$B$24:$B$25,'Retirement Gap'!$B$27),AL570+AN570&lt;=$B$47,AM570&lt;='Retirement Gap'!$B$29,ABS(AK570+AL570+AM570-$B$10)&lt;1)</f>
        <v>1</v>
      </c>
      <c r="AT570" cm="1">
        <f t="array" ref="AT570">IF(AS570=0,1E+99,_xlfn.SWITCH(LEFT($E$39,1),"1",AO570,"2",AP570*1000000000+AO570,"3",-AQ570,"4",AO570+AP570*25000+AR570*0.005-AQ570*0.0001,AO570))</f>
        <v>-968686.47204508656</v>
      </c>
    </row>
    <row r="571" spans="33:46" x14ac:dyDescent="0.55000000000000004">
      <c r="AG571">
        <f t="shared" si="60"/>
        <v>570</v>
      </c>
      <c r="AH571">
        <f t="shared" si="61"/>
        <v>0.8</v>
      </c>
      <c r="AI571">
        <f t="shared" si="62"/>
        <v>0.6</v>
      </c>
      <c r="AJ571">
        <f t="shared" si="63"/>
        <v>1</v>
      </c>
      <c r="AK571">
        <f t="shared" si="64"/>
        <v>4859.5199999999986</v>
      </c>
      <c r="AL571">
        <f t="shared" si="65"/>
        <v>48595.200000000004</v>
      </c>
      <c r="AM571">
        <f>MIN(MAX(0,$B$10-AL571)*AI571,'Retirement Gap'!$B$29)</f>
        <v>7289.279999999997</v>
      </c>
      <c r="AN571">
        <f>IF($E$40="B - Withdrawals + Roth conversions",AJ571*MAX(0,MIN($B$47-AL571,MIN($B$59,IRMAA!$C$16)-(AL571+$B$8*0.85+AK571*$B$46))),0)</f>
        <v>0</v>
      </c>
      <c r="AO571" cm="1">
        <f t="array" ref="AO571">_xlfn.LET(_xlpm.N,$B$49,_xlpm.R,$B$48,_xlpm.Start,$B$47,_xlpm.PlanWD,AL571,_xlpm.PlanRoth,AM571,_xlpm.PlanConv,AN571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37577.68</v>
      </c>
      <c r="AP571" cm="1">
        <f t="array" ref="AP571">_xlfn.LET(_xlpm.N,$B$49,_xlpm.R,$B$48,_xlpm.Start,$B$47,_xlpm.PlanWD,AL571,_xlpm.PlanRoth,AM571,_xlpm.PlanConv,AN571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571" cm="1">
        <f t="array" ref="AQ571">_xlfn.LET(_xlpm.N,$B$49,_xlpm.R,$B$48,_xlpm.Start,$B$47,_xlpm.PlanWD,AL571,_xlpm.PlanRoth,AM571,_xlpm.PlanConv,AN571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968686.47204508656</v>
      </c>
      <c r="AR571" cm="1">
        <f t="array" ref="AR571">_xlfn.LET(_xlpm.N,$B$49,_xlpm.R,$B$48,_xlpm.Start,$B$47,_xlpm.PlanWD,AL571,_xlpm.PlanRoth,AM571,_xlpm.PlanConv,AN571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977827.36767230637</v>
      </c>
      <c r="AS571">
        <f>--AND(AK571&lt;=SUM('Retirement Gap'!$B$24:$B$25,'Retirement Gap'!$B$27),AL571+AN571&lt;=$B$47,AM571&lt;='Retirement Gap'!$B$29,ABS(AK571+AL571+AM571-$B$10)&lt;1)</f>
        <v>1</v>
      </c>
      <c r="AT571" cm="1">
        <f t="array" ref="AT571">IF(AS571=0,1E+99,_xlfn.SWITCH(LEFT($E$39,1),"1",AO571,"2",AP571*1000000000+AO571,"3",-AQ571,"4",AO571+AP571*25000+AR571*0.005-AQ571*0.0001,AO571))</f>
        <v>-968686.47204508656</v>
      </c>
    </row>
    <row r="572" spans="33:46" x14ac:dyDescent="0.55000000000000004">
      <c r="AG572">
        <f t="shared" si="60"/>
        <v>571</v>
      </c>
      <c r="AH572">
        <f t="shared" si="61"/>
        <v>0.8</v>
      </c>
      <c r="AI572">
        <f t="shared" si="62"/>
        <v>0.7</v>
      </c>
      <c r="AJ572">
        <f t="shared" si="63"/>
        <v>0</v>
      </c>
      <c r="AK572">
        <f t="shared" si="64"/>
        <v>3644.6399999999994</v>
      </c>
      <c r="AL572">
        <f t="shared" si="65"/>
        <v>48595.200000000004</v>
      </c>
      <c r="AM572">
        <f>MIN(MAX(0,$B$10-AL572)*AI572,'Retirement Gap'!$B$29)</f>
        <v>8504.1599999999962</v>
      </c>
      <c r="AN572">
        <f>IF($E$40="B - Withdrawals + Roth conversions",AJ572*MAX(0,MIN($B$47-AL572,MIN($B$59,IRMAA!$C$16)-(AL572+$B$8*0.85+AK572*$B$46))),0)</f>
        <v>0</v>
      </c>
      <c r="AO572" cm="1">
        <f t="array" ref="AO572">_xlfn.LET(_xlpm.N,$B$49,_xlpm.R,$B$48,_xlpm.Start,$B$47,_xlpm.PlanWD,AL572,_xlpm.PlanRoth,AM572,_xlpm.PlanConv,AN572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37577.68</v>
      </c>
      <c r="AP572" cm="1">
        <f t="array" ref="AP572">_xlfn.LET(_xlpm.N,$B$49,_xlpm.R,$B$48,_xlpm.Start,$B$47,_xlpm.PlanWD,AL572,_xlpm.PlanRoth,AM572,_xlpm.PlanConv,AN572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572" cm="1">
        <f t="array" ref="AQ572">_xlfn.LET(_xlpm.N,$B$49,_xlpm.R,$B$48,_xlpm.Start,$B$47,_xlpm.PlanWD,AL572,_xlpm.PlanRoth,AM572,_xlpm.PlanConv,AN572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968686.47204508656</v>
      </c>
      <c r="AR572" cm="1">
        <f t="array" ref="AR572">_xlfn.LET(_xlpm.N,$B$49,_xlpm.R,$B$48,_xlpm.Start,$B$47,_xlpm.PlanWD,AL572,_xlpm.PlanRoth,AM572,_xlpm.PlanConv,AN572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977827.36767230637</v>
      </c>
      <c r="AS572">
        <f>--AND(AK572&lt;=SUM('Retirement Gap'!$B$24:$B$25,'Retirement Gap'!$B$27),AL572+AN572&lt;=$B$47,AM572&lt;='Retirement Gap'!$B$29,ABS(AK572+AL572+AM572-$B$10)&lt;1)</f>
        <v>1</v>
      </c>
      <c r="AT572" cm="1">
        <f t="array" ref="AT572">IF(AS572=0,1E+99,_xlfn.SWITCH(LEFT($E$39,1),"1",AO572,"2",AP572*1000000000+AO572,"3",-AQ572,"4",AO572+AP572*25000+AR572*0.005-AQ572*0.0001,AO572))</f>
        <v>-968686.47204508656</v>
      </c>
    </row>
    <row r="573" spans="33:46" x14ac:dyDescent="0.55000000000000004">
      <c r="AG573">
        <f t="shared" si="60"/>
        <v>572</v>
      </c>
      <c r="AH573">
        <f t="shared" si="61"/>
        <v>0.8</v>
      </c>
      <c r="AI573">
        <f t="shared" si="62"/>
        <v>0.7</v>
      </c>
      <c r="AJ573">
        <f t="shared" si="63"/>
        <v>0.2</v>
      </c>
      <c r="AK573">
        <f t="shared" si="64"/>
        <v>3644.6399999999994</v>
      </c>
      <c r="AL573">
        <f t="shared" si="65"/>
        <v>48595.200000000004</v>
      </c>
      <c r="AM573">
        <f>MIN(MAX(0,$B$10-AL573)*AI573,'Retirement Gap'!$B$29)</f>
        <v>8504.1599999999962</v>
      </c>
      <c r="AN573">
        <f>IF($E$40="B - Withdrawals + Roth conversions",AJ573*MAX(0,MIN($B$47-AL573,MIN($B$59,IRMAA!$C$16)-(AL573+$B$8*0.85+AK573*$B$46))),0)</f>
        <v>0</v>
      </c>
      <c r="AO573" cm="1">
        <f t="array" ref="AO573">_xlfn.LET(_xlpm.N,$B$49,_xlpm.R,$B$48,_xlpm.Start,$B$47,_xlpm.PlanWD,AL573,_xlpm.PlanRoth,AM573,_xlpm.PlanConv,AN573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37577.68</v>
      </c>
      <c r="AP573" cm="1">
        <f t="array" ref="AP573">_xlfn.LET(_xlpm.N,$B$49,_xlpm.R,$B$48,_xlpm.Start,$B$47,_xlpm.PlanWD,AL573,_xlpm.PlanRoth,AM573,_xlpm.PlanConv,AN573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573" cm="1">
        <f t="array" ref="AQ573">_xlfn.LET(_xlpm.N,$B$49,_xlpm.R,$B$48,_xlpm.Start,$B$47,_xlpm.PlanWD,AL573,_xlpm.PlanRoth,AM573,_xlpm.PlanConv,AN573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968686.47204508656</v>
      </c>
      <c r="AR573" cm="1">
        <f t="array" ref="AR573">_xlfn.LET(_xlpm.N,$B$49,_xlpm.R,$B$48,_xlpm.Start,$B$47,_xlpm.PlanWD,AL573,_xlpm.PlanRoth,AM573,_xlpm.PlanConv,AN573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977827.36767230637</v>
      </c>
      <c r="AS573">
        <f>--AND(AK573&lt;=SUM('Retirement Gap'!$B$24:$B$25,'Retirement Gap'!$B$27),AL573+AN573&lt;=$B$47,AM573&lt;='Retirement Gap'!$B$29,ABS(AK573+AL573+AM573-$B$10)&lt;1)</f>
        <v>1</v>
      </c>
      <c r="AT573" cm="1">
        <f t="array" ref="AT573">IF(AS573=0,1E+99,_xlfn.SWITCH(LEFT($E$39,1),"1",AO573,"2",AP573*1000000000+AO573,"3",-AQ573,"4",AO573+AP573*25000+AR573*0.005-AQ573*0.0001,AO573))</f>
        <v>-968686.47204508656</v>
      </c>
    </row>
    <row r="574" spans="33:46" x14ac:dyDescent="0.55000000000000004">
      <c r="AG574">
        <f t="shared" si="60"/>
        <v>573</v>
      </c>
      <c r="AH574">
        <f t="shared" si="61"/>
        <v>0.8</v>
      </c>
      <c r="AI574">
        <f t="shared" si="62"/>
        <v>0.7</v>
      </c>
      <c r="AJ574">
        <f t="shared" si="63"/>
        <v>0.4</v>
      </c>
      <c r="AK574">
        <f t="shared" si="64"/>
        <v>3644.6399999999994</v>
      </c>
      <c r="AL574">
        <f t="shared" si="65"/>
        <v>48595.200000000004</v>
      </c>
      <c r="AM574">
        <f>MIN(MAX(0,$B$10-AL574)*AI574,'Retirement Gap'!$B$29)</f>
        <v>8504.1599999999962</v>
      </c>
      <c r="AN574">
        <f>IF($E$40="B - Withdrawals + Roth conversions",AJ574*MAX(0,MIN($B$47-AL574,MIN($B$59,IRMAA!$C$16)-(AL574+$B$8*0.85+AK574*$B$46))),0)</f>
        <v>0</v>
      </c>
      <c r="AO574" cm="1">
        <f t="array" ref="AO574">_xlfn.LET(_xlpm.N,$B$49,_xlpm.R,$B$48,_xlpm.Start,$B$47,_xlpm.PlanWD,AL574,_xlpm.PlanRoth,AM574,_xlpm.PlanConv,AN574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37577.68</v>
      </c>
      <c r="AP574" cm="1">
        <f t="array" ref="AP574">_xlfn.LET(_xlpm.N,$B$49,_xlpm.R,$B$48,_xlpm.Start,$B$47,_xlpm.PlanWD,AL574,_xlpm.PlanRoth,AM574,_xlpm.PlanConv,AN574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574" cm="1">
        <f t="array" ref="AQ574">_xlfn.LET(_xlpm.N,$B$49,_xlpm.R,$B$48,_xlpm.Start,$B$47,_xlpm.PlanWD,AL574,_xlpm.PlanRoth,AM574,_xlpm.PlanConv,AN574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968686.47204508656</v>
      </c>
      <c r="AR574" cm="1">
        <f t="array" ref="AR574">_xlfn.LET(_xlpm.N,$B$49,_xlpm.R,$B$48,_xlpm.Start,$B$47,_xlpm.PlanWD,AL574,_xlpm.PlanRoth,AM574,_xlpm.PlanConv,AN574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977827.36767230637</v>
      </c>
      <c r="AS574">
        <f>--AND(AK574&lt;=SUM('Retirement Gap'!$B$24:$B$25,'Retirement Gap'!$B$27),AL574+AN574&lt;=$B$47,AM574&lt;='Retirement Gap'!$B$29,ABS(AK574+AL574+AM574-$B$10)&lt;1)</f>
        <v>1</v>
      </c>
      <c r="AT574" cm="1">
        <f t="array" ref="AT574">IF(AS574=0,1E+99,_xlfn.SWITCH(LEFT($E$39,1),"1",AO574,"2",AP574*1000000000+AO574,"3",-AQ574,"4",AO574+AP574*25000+AR574*0.005-AQ574*0.0001,AO574))</f>
        <v>-968686.47204508656</v>
      </c>
    </row>
    <row r="575" spans="33:46" x14ac:dyDescent="0.55000000000000004">
      <c r="AG575">
        <f t="shared" si="60"/>
        <v>574</v>
      </c>
      <c r="AH575">
        <f t="shared" si="61"/>
        <v>0.8</v>
      </c>
      <c r="AI575">
        <f t="shared" si="62"/>
        <v>0.7</v>
      </c>
      <c r="AJ575">
        <f t="shared" si="63"/>
        <v>0.6</v>
      </c>
      <c r="AK575">
        <f t="shared" si="64"/>
        <v>3644.6399999999994</v>
      </c>
      <c r="AL575">
        <f t="shared" si="65"/>
        <v>48595.200000000004</v>
      </c>
      <c r="AM575">
        <f>MIN(MAX(0,$B$10-AL575)*AI575,'Retirement Gap'!$B$29)</f>
        <v>8504.1599999999962</v>
      </c>
      <c r="AN575">
        <f>IF($E$40="B - Withdrawals + Roth conversions",AJ575*MAX(0,MIN($B$47-AL575,MIN($B$59,IRMAA!$C$16)-(AL575+$B$8*0.85+AK575*$B$46))),0)</f>
        <v>0</v>
      </c>
      <c r="AO575" cm="1">
        <f t="array" ref="AO575">_xlfn.LET(_xlpm.N,$B$49,_xlpm.R,$B$48,_xlpm.Start,$B$47,_xlpm.PlanWD,AL575,_xlpm.PlanRoth,AM575,_xlpm.PlanConv,AN575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37577.68</v>
      </c>
      <c r="AP575" cm="1">
        <f t="array" ref="AP575">_xlfn.LET(_xlpm.N,$B$49,_xlpm.R,$B$48,_xlpm.Start,$B$47,_xlpm.PlanWD,AL575,_xlpm.PlanRoth,AM575,_xlpm.PlanConv,AN575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575" cm="1">
        <f t="array" ref="AQ575">_xlfn.LET(_xlpm.N,$B$49,_xlpm.R,$B$48,_xlpm.Start,$B$47,_xlpm.PlanWD,AL575,_xlpm.PlanRoth,AM575,_xlpm.PlanConv,AN575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968686.47204508656</v>
      </c>
      <c r="AR575" cm="1">
        <f t="array" ref="AR575">_xlfn.LET(_xlpm.N,$B$49,_xlpm.R,$B$48,_xlpm.Start,$B$47,_xlpm.PlanWD,AL575,_xlpm.PlanRoth,AM575,_xlpm.PlanConv,AN575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977827.36767230637</v>
      </c>
      <c r="AS575">
        <f>--AND(AK575&lt;=SUM('Retirement Gap'!$B$24:$B$25,'Retirement Gap'!$B$27),AL575+AN575&lt;=$B$47,AM575&lt;='Retirement Gap'!$B$29,ABS(AK575+AL575+AM575-$B$10)&lt;1)</f>
        <v>1</v>
      </c>
      <c r="AT575" cm="1">
        <f t="array" ref="AT575">IF(AS575=0,1E+99,_xlfn.SWITCH(LEFT($E$39,1),"1",AO575,"2",AP575*1000000000+AO575,"3",-AQ575,"4",AO575+AP575*25000+AR575*0.005-AQ575*0.0001,AO575))</f>
        <v>-968686.47204508656</v>
      </c>
    </row>
    <row r="576" spans="33:46" x14ac:dyDescent="0.55000000000000004">
      <c r="AG576">
        <f t="shared" si="60"/>
        <v>575</v>
      </c>
      <c r="AH576">
        <f t="shared" si="61"/>
        <v>0.8</v>
      </c>
      <c r="AI576">
        <f t="shared" si="62"/>
        <v>0.7</v>
      </c>
      <c r="AJ576">
        <f t="shared" si="63"/>
        <v>0.8</v>
      </c>
      <c r="AK576">
        <f t="shared" si="64"/>
        <v>3644.6399999999994</v>
      </c>
      <c r="AL576">
        <f t="shared" si="65"/>
        <v>48595.200000000004</v>
      </c>
      <c r="AM576">
        <f>MIN(MAX(0,$B$10-AL576)*AI576,'Retirement Gap'!$B$29)</f>
        <v>8504.1599999999962</v>
      </c>
      <c r="AN576">
        <f>IF($E$40="B - Withdrawals + Roth conversions",AJ576*MAX(0,MIN($B$47-AL576,MIN($B$59,IRMAA!$C$16)-(AL576+$B$8*0.85+AK576*$B$46))),0)</f>
        <v>0</v>
      </c>
      <c r="AO576" cm="1">
        <f t="array" ref="AO576">_xlfn.LET(_xlpm.N,$B$49,_xlpm.R,$B$48,_xlpm.Start,$B$47,_xlpm.PlanWD,AL576,_xlpm.PlanRoth,AM576,_xlpm.PlanConv,AN576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37577.68</v>
      </c>
      <c r="AP576" cm="1">
        <f t="array" ref="AP576">_xlfn.LET(_xlpm.N,$B$49,_xlpm.R,$B$48,_xlpm.Start,$B$47,_xlpm.PlanWD,AL576,_xlpm.PlanRoth,AM576,_xlpm.PlanConv,AN576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576" cm="1">
        <f t="array" ref="AQ576">_xlfn.LET(_xlpm.N,$B$49,_xlpm.R,$B$48,_xlpm.Start,$B$47,_xlpm.PlanWD,AL576,_xlpm.PlanRoth,AM576,_xlpm.PlanConv,AN576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968686.47204508656</v>
      </c>
      <c r="AR576" cm="1">
        <f t="array" ref="AR576">_xlfn.LET(_xlpm.N,$B$49,_xlpm.R,$B$48,_xlpm.Start,$B$47,_xlpm.PlanWD,AL576,_xlpm.PlanRoth,AM576,_xlpm.PlanConv,AN576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977827.36767230637</v>
      </c>
      <c r="AS576">
        <f>--AND(AK576&lt;=SUM('Retirement Gap'!$B$24:$B$25,'Retirement Gap'!$B$27),AL576+AN576&lt;=$B$47,AM576&lt;='Retirement Gap'!$B$29,ABS(AK576+AL576+AM576-$B$10)&lt;1)</f>
        <v>1</v>
      </c>
      <c r="AT576" cm="1">
        <f t="array" ref="AT576">IF(AS576=0,1E+99,_xlfn.SWITCH(LEFT($E$39,1),"1",AO576,"2",AP576*1000000000+AO576,"3",-AQ576,"4",AO576+AP576*25000+AR576*0.005-AQ576*0.0001,AO576))</f>
        <v>-968686.47204508656</v>
      </c>
    </row>
    <row r="577" spans="33:46" x14ac:dyDescent="0.55000000000000004">
      <c r="AG577">
        <f t="shared" si="60"/>
        <v>576</v>
      </c>
      <c r="AH577">
        <f t="shared" si="61"/>
        <v>0.8</v>
      </c>
      <c r="AI577">
        <f t="shared" si="62"/>
        <v>0.7</v>
      </c>
      <c r="AJ577">
        <f t="shared" si="63"/>
        <v>1</v>
      </c>
      <c r="AK577">
        <f t="shared" si="64"/>
        <v>3644.6399999999994</v>
      </c>
      <c r="AL577">
        <f t="shared" si="65"/>
        <v>48595.200000000004</v>
      </c>
      <c r="AM577">
        <f>MIN(MAX(0,$B$10-AL577)*AI577,'Retirement Gap'!$B$29)</f>
        <v>8504.1599999999962</v>
      </c>
      <c r="AN577">
        <f>IF($E$40="B - Withdrawals + Roth conversions",AJ577*MAX(0,MIN($B$47-AL577,MIN($B$59,IRMAA!$C$16)-(AL577+$B$8*0.85+AK577*$B$46))),0)</f>
        <v>0</v>
      </c>
      <c r="AO577" cm="1">
        <f t="array" ref="AO577">_xlfn.LET(_xlpm.N,$B$49,_xlpm.R,$B$48,_xlpm.Start,$B$47,_xlpm.PlanWD,AL577,_xlpm.PlanRoth,AM577,_xlpm.PlanConv,AN577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37577.68</v>
      </c>
      <c r="AP577" cm="1">
        <f t="array" ref="AP577">_xlfn.LET(_xlpm.N,$B$49,_xlpm.R,$B$48,_xlpm.Start,$B$47,_xlpm.PlanWD,AL577,_xlpm.PlanRoth,AM577,_xlpm.PlanConv,AN577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577" cm="1">
        <f t="array" ref="AQ577">_xlfn.LET(_xlpm.N,$B$49,_xlpm.R,$B$48,_xlpm.Start,$B$47,_xlpm.PlanWD,AL577,_xlpm.PlanRoth,AM577,_xlpm.PlanConv,AN577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968686.47204508656</v>
      </c>
      <c r="AR577" cm="1">
        <f t="array" ref="AR577">_xlfn.LET(_xlpm.N,$B$49,_xlpm.R,$B$48,_xlpm.Start,$B$47,_xlpm.PlanWD,AL577,_xlpm.PlanRoth,AM577,_xlpm.PlanConv,AN577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977827.36767230637</v>
      </c>
      <c r="AS577">
        <f>--AND(AK577&lt;=SUM('Retirement Gap'!$B$24:$B$25,'Retirement Gap'!$B$27),AL577+AN577&lt;=$B$47,AM577&lt;='Retirement Gap'!$B$29,ABS(AK577+AL577+AM577-$B$10)&lt;1)</f>
        <v>1</v>
      </c>
      <c r="AT577" cm="1">
        <f t="array" ref="AT577">IF(AS577=0,1E+99,_xlfn.SWITCH(LEFT($E$39,1),"1",AO577,"2",AP577*1000000000+AO577,"3",-AQ577,"4",AO577+AP577*25000+AR577*0.005-AQ577*0.0001,AO577))</f>
        <v>-968686.47204508656</v>
      </c>
    </row>
    <row r="578" spans="33:46" x14ac:dyDescent="0.55000000000000004">
      <c r="AG578">
        <f t="shared" si="60"/>
        <v>577</v>
      </c>
      <c r="AH578">
        <f t="shared" si="61"/>
        <v>0.8</v>
      </c>
      <c r="AI578">
        <f t="shared" si="62"/>
        <v>0.8</v>
      </c>
      <c r="AJ578">
        <f t="shared" si="63"/>
        <v>0</v>
      </c>
      <c r="AK578">
        <f t="shared" si="64"/>
        <v>2429.7599999999984</v>
      </c>
      <c r="AL578">
        <f t="shared" si="65"/>
        <v>48595.200000000004</v>
      </c>
      <c r="AM578">
        <f>MIN(MAX(0,$B$10-AL578)*AI578,'Retirement Gap'!$B$29)</f>
        <v>9719.0399999999972</v>
      </c>
      <c r="AN578">
        <f>IF($E$40="B - Withdrawals + Roth conversions",AJ578*MAX(0,MIN($B$47-AL578,MIN($B$59,IRMAA!$C$16)-(AL578+$B$8*0.85+AK578*$B$46))),0)</f>
        <v>0</v>
      </c>
      <c r="AO578" cm="1">
        <f t="array" ref="AO578">_xlfn.LET(_xlpm.N,$B$49,_xlpm.R,$B$48,_xlpm.Start,$B$47,_xlpm.PlanWD,AL578,_xlpm.PlanRoth,AM578,_xlpm.PlanConv,AN578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37577.68</v>
      </c>
      <c r="AP578" cm="1">
        <f t="array" ref="AP578">_xlfn.LET(_xlpm.N,$B$49,_xlpm.R,$B$48,_xlpm.Start,$B$47,_xlpm.PlanWD,AL578,_xlpm.PlanRoth,AM578,_xlpm.PlanConv,AN578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578" cm="1">
        <f t="array" ref="AQ578">_xlfn.LET(_xlpm.N,$B$49,_xlpm.R,$B$48,_xlpm.Start,$B$47,_xlpm.PlanWD,AL578,_xlpm.PlanRoth,AM578,_xlpm.PlanConv,AN578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968686.47204508656</v>
      </c>
      <c r="AR578" cm="1">
        <f t="array" ref="AR578">_xlfn.LET(_xlpm.N,$B$49,_xlpm.R,$B$48,_xlpm.Start,$B$47,_xlpm.PlanWD,AL578,_xlpm.PlanRoth,AM578,_xlpm.PlanConv,AN578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977827.36767230637</v>
      </c>
      <c r="AS578">
        <f>--AND(AK578&lt;=SUM('Retirement Gap'!$B$24:$B$25,'Retirement Gap'!$B$27),AL578+AN578&lt;=$B$47,AM578&lt;='Retirement Gap'!$B$29,ABS(AK578+AL578+AM578-$B$10)&lt;1)</f>
        <v>1</v>
      </c>
      <c r="AT578" cm="1">
        <f t="array" ref="AT578">IF(AS578=0,1E+99,_xlfn.SWITCH(LEFT($E$39,1),"1",AO578,"2",AP578*1000000000+AO578,"3",-AQ578,"4",AO578+AP578*25000+AR578*0.005-AQ578*0.0001,AO578))</f>
        <v>-968686.47204508656</v>
      </c>
    </row>
    <row r="579" spans="33:46" x14ac:dyDescent="0.55000000000000004">
      <c r="AG579">
        <f t="shared" ref="AG579:AG642" si="66">ROW()-1</f>
        <v>578</v>
      </c>
      <c r="AH579">
        <f t="shared" ref="AH579:AH642" si="67">INT((AG579-1)/66)/10</f>
        <v>0.8</v>
      </c>
      <c r="AI579">
        <f t="shared" ref="AI579:AI642" si="68">MOD(INT((AG579-1)/6),11)/10</f>
        <v>0.8</v>
      </c>
      <c r="AJ579">
        <f t="shared" ref="AJ579:AJ642" si="69">MOD(AG579-1,6)/5</f>
        <v>0.2</v>
      </c>
      <c r="AK579">
        <f t="shared" ref="AK579:AK642" si="70">MAX(0,$B$10-AL579-AM579)</f>
        <v>2429.7599999999984</v>
      </c>
      <c r="AL579">
        <f t="shared" ref="AL579:AL642" si="71">MIN($B$10*AH579,$B$47)</f>
        <v>48595.200000000004</v>
      </c>
      <c r="AM579">
        <f>MIN(MAX(0,$B$10-AL579)*AI579,'Retirement Gap'!$B$29)</f>
        <v>9719.0399999999972</v>
      </c>
      <c r="AN579">
        <f>IF($E$40="B - Withdrawals + Roth conversions",AJ579*MAX(0,MIN($B$47-AL579,MIN($B$59,IRMAA!$C$16)-(AL579+$B$8*0.85+AK579*$B$46))),0)</f>
        <v>0</v>
      </c>
      <c r="AO579" cm="1">
        <f t="array" ref="AO579">_xlfn.LET(_xlpm.N,$B$49,_xlpm.R,$B$48,_xlpm.Start,$B$47,_xlpm.PlanWD,AL579,_xlpm.PlanRoth,AM579,_xlpm.PlanConv,AN579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37577.68</v>
      </c>
      <c r="AP579" cm="1">
        <f t="array" ref="AP579">_xlfn.LET(_xlpm.N,$B$49,_xlpm.R,$B$48,_xlpm.Start,$B$47,_xlpm.PlanWD,AL579,_xlpm.PlanRoth,AM579,_xlpm.PlanConv,AN579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579" cm="1">
        <f t="array" ref="AQ579">_xlfn.LET(_xlpm.N,$B$49,_xlpm.R,$B$48,_xlpm.Start,$B$47,_xlpm.PlanWD,AL579,_xlpm.PlanRoth,AM579,_xlpm.PlanConv,AN579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968686.47204508656</v>
      </c>
      <c r="AR579" cm="1">
        <f t="array" ref="AR579">_xlfn.LET(_xlpm.N,$B$49,_xlpm.R,$B$48,_xlpm.Start,$B$47,_xlpm.PlanWD,AL579,_xlpm.PlanRoth,AM579,_xlpm.PlanConv,AN579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977827.36767230637</v>
      </c>
      <c r="AS579">
        <f>--AND(AK579&lt;=SUM('Retirement Gap'!$B$24:$B$25,'Retirement Gap'!$B$27),AL579+AN579&lt;=$B$47,AM579&lt;='Retirement Gap'!$B$29,ABS(AK579+AL579+AM579-$B$10)&lt;1)</f>
        <v>1</v>
      </c>
      <c r="AT579" cm="1">
        <f t="array" ref="AT579">IF(AS579=0,1E+99,_xlfn.SWITCH(LEFT($E$39,1),"1",AO579,"2",AP579*1000000000+AO579,"3",-AQ579,"4",AO579+AP579*25000+AR579*0.005-AQ579*0.0001,AO579))</f>
        <v>-968686.47204508656</v>
      </c>
    </row>
    <row r="580" spans="33:46" x14ac:dyDescent="0.55000000000000004">
      <c r="AG580">
        <f t="shared" si="66"/>
        <v>579</v>
      </c>
      <c r="AH580">
        <f t="shared" si="67"/>
        <v>0.8</v>
      </c>
      <c r="AI580">
        <f t="shared" si="68"/>
        <v>0.8</v>
      </c>
      <c r="AJ580">
        <f t="shared" si="69"/>
        <v>0.4</v>
      </c>
      <c r="AK580">
        <f t="shared" si="70"/>
        <v>2429.7599999999984</v>
      </c>
      <c r="AL580">
        <f t="shared" si="71"/>
        <v>48595.200000000004</v>
      </c>
      <c r="AM580">
        <f>MIN(MAX(0,$B$10-AL580)*AI580,'Retirement Gap'!$B$29)</f>
        <v>9719.0399999999972</v>
      </c>
      <c r="AN580">
        <f>IF($E$40="B - Withdrawals + Roth conversions",AJ580*MAX(0,MIN($B$47-AL580,MIN($B$59,IRMAA!$C$16)-(AL580+$B$8*0.85+AK580*$B$46))),0)</f>
        <v>0</v>
      </c>
      <c r="AO580" cm="1">
        <f t="array" ref="AO580">_xlfn.LET(_xlpm.N,$B$49,_xlpm.R,$B$48,_xlpm.Start,$B$47,_xlpm.PlanWD,AL580,_xlpm.PlanRoth,AM580,_xlpm.PlanConv,AN580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37577.68</v>
      </c>
      <c r="AP580" cm="1">
        <f t="array" ref="AP580">_xlfn.LET(_xlpm.N,$B$49,_xlpm.R,$B$48,_xlpm.Start,$B$47,_xlpm.PlanWD,AL580,_xlpm.PlanRoth,AM580,_xlpm.PlanConv,AN580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580" cm="1">
        <f t="array" ref="AQ580">_xlfn.LET(_xlpm.N,$B$49,_xlpm.R,$B$48,_xlpm.Start,$B$47,_xlpm.PlanWD,AL580,_xlpm.PlanRoth,AM580,_xlpm.PlanConv,AN580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968686.47204508656</v>
      </c>
      <c r="AR580" cm="1">
        <f t="array" ref="AR580">_xlfn.LET(_xlpm.N,$B$49,_xlpm.R,$B$48,_xlpm.Start,$B$47,_xlpm.PlanWD,AL580,_xlpm.PlanRoth,AM580,_xlpm.PlanConv,AN580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977827.36767230637</v>
      </c>
      <c r="AS580">
        <f>--AND(AK580&lt;=SUM('Retirement Gap'!$B$24:$B$25,'Retirement Gap'!$B$27),AL580+AN580&lt;=$B$47,AM580&lt;='Retirement Gap'!$B$29,ABS(AK580+AL580+AM580-$B$10)&lt;1)</f>
        <v>1</v>
      </c>
      <c r="AT580" cm="1">
        <f t="array" ref="AT580">IF(AS580=0,1E+99,_xlfn.SWITCH(LEFT($E$39,1),"1",AO580,"2",AP580*1000000000+AO580,"3",-AQ580,"4",AO580+AP580*25000+AR580*0.005-AQ580*0.0001,AO580))</f>
        <v>-968686.47204508656</v>
      </c>
    </row>
    <row r="581" spans="33:46" x14ac:dyDescent="0.55000000000000004">
      <c r="AG581">
        <f t="shared" si="66"/>
        <v>580</v>
      </c>
      <c r="AH581">
        <f t="shared" si="67"/>
        <v>0.8</v>
      </c>
      <c r="AI581">
        <f t="shared" si="68"/>
        <v>0.8</v>
      </c>
      <c r="AJ581">
        <f t="shared" si="69"/>
        <v>0.6</v>
      </c>
      <c r="AK581">
        <f t="shared" si="70"/>
        <v>2429.7599999999984</v>
      </c>
      <c r="AL581">
        <f t="shared" si="71"/>
        <v>48595.200000000004</v>
      </c>
      <c r="AM581">
        <f>MIN(MAX(0,$B$10-AL581)*AI581,'Retirement Gap'!$B$29)</f>
        <v>9719.0399999999972</v>
      </c>
      <c r="AN581">
        <f>IF($E$40="B - Withdrawals + Roth conversions",AJ581*MAX(0,MIN($B$47-AL581,MIN($B$59,IRMAA!$C$16)-(AL581+$B$8*0.85+AK581*$B$46))),0)</f>
        <v>0</v>
      </c>
      <c r="AO581" cm="1">
        <f t="array" ref="AO581">_xlfn.LET(_xlpm.N,$B$49,_xlpm.R,$B$48,_xlpm.Start,$B$47,_xlpm.PlanWD,AL581,_xlpm.PlanRoth,AM581,_xlpm.PlanConv,AN581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37577.68</v>
      </c>
      <c r="AP581" cm="1">
        <f t="array" ref="AP581">_xlfn.LET(_xlpm.N,$B$49,_xlpm.R,$B$48,_xlpm.Start,$B$47,_xlpm.PlanWD,AL581,_xlpm.PlanRoth,AM581,_xlpm.PlanConv,AN581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581" cm="1">
        <f t="array" ref="AQ581">_xlfn.LET(_xlpm.N,$B$49,_xlpm.R,$B$48,_xlpm.Start,$B$47,_xlpm.PlanWD,AL581,_xlpm.PlanRoth,AM581,_xlpm.PlanConv,AN581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968686.47204508656</v>
      </c>
      <c r="AR581" cm="1">
        <f t="array" ref="AR581">_xlfn.LET(_xlpm.N,$B$49,_xlpm.R,$B$48,_xlpm.Start,$B$47,_xlpm.PlanWD,AL581,_xlpm.PlanRoth,AM581,_xlpm.PlanConv,AN581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977827.36767230637</v>
      </c>
      <c r="AS581">
        <f>--AND(AK581&lt;=SUM('Retirement Gap'!$B$24:$B$25,'Retirement Gap'!$B$27),AL581+AN581&lt;=$B$47,AM581&lt;='Retirement Gap'!$B$29,ABS(AK581+AL581+AM581-$B$10)&lt;1)</f>
        <v>1</v>
      </c>
      <c r="AT581" cm="1">
        <f t="array" ref="AT581">IF(AS581=0,1E+99,_xlfn.SWITCH(LEFT($E$39,1),"1",AO581,"2",AP581*1000000000+AO581,"3",-AQ581,"4",AO581+AP581*25000+AR581*0.005-AQ581*0.0001,AO581))</f>
        <v>-968686.47204508656</v>
      </c>
    </row>
    <row r="582" spans="33:46" x14ac:dyDescent="0.55000000000000004">
      <c r="AG582">
        <f t="shared" si="66"/>
        <v>581</v>
      </c>
      <c r="AH582">
        <f t="shared" si="67"/>
        <v>0.8</v>
      </c>
      <c r="AI582">
        <f t="shared" si="68"/>
        <v>0.8</v>
      </c>
      <c r="AJ582">
        <f t="shared" si="69"/>
        <v>0.8</v>
      </c>
      <c r="AK582">
        <f t="shared" si="70"/>
        <v>2429.7599999999984</v>
      </c>
      <c r="AL582">
        <f t="shared" si="71"/>
        <v>48595.200000000004</v>
      </c>
      <c r="AM582">
        <f>MIN(MAX(0,$B$10-AL582)*AI582,'Retirement Gap'!$B$29)</f>
        <v>9719.0399999999972</v>
      </c>
      <c r="AN582">
        <f>IF($E$40="B - Withdrawals + Roth conversions",AJ582*MAX(0,MIN($B$47-AL582,MIN($B$59,IRMAA!$C$16)-(AL582+$B$8*0.85+AK582*$B$46))),0)</f>
        <v>0</v>
      </c>
      <c r="AO582" cm="1">
        <f t="array" ref="AO582">_xlfn.LET(_xlpm.N,$B$49,_xlpm.R,$B$48,_xlpm.Start,$B$47,_xlpm.PlanWD,AL582,_xlpm.PlanRoth,AM582,_xlpm.PlanConv,AN582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37577.68</v>
      </c>
      <c r="AP582" cm="1">
        <f t="array" ref="AP582">_xlfn.LET(_xlpm.N,$B$49,_xlpm.R,$B$48,_xlpm.Start,$B$47,_xlpm.PlanWD,AL582,_xlpm.PlanRoth,AM582,_xlpm.PlanConv,AN582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582" cm="1">
        <f t="array" ref="AQ582">_xlfn.LET(_xlpm.N,$B$49,_xlpm.R,$B$48,_xlpm.Start,$B$47,_xlpm.PlanWD,AL582,_xlpm.PlanRoth,AM582,_xlpm.PlanConv,AN582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968686.47204508656</v>
      </c>
      <c r="AR582" cm="1">
        <f t="array" ref="AR582">_xlfn.LET(_xlpm.N,$B$49,_xlpm.R,$B$48,_xlpm.Start,$B$47,_xlpm.PlanWD,AL582,_xlpm.PlanRoth,AM582,_xlpm.PlanConv,AN582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977827.36767230637</v>
      </c>
      <c r="AS582">
        <f>--AND(AK582&lt;=SUM('Retirement Gap'!$B$24:$B$25,'Retirement Gap'!$B$27),AL582+AN582&lt;=$B$47,AM582&lt;='Retirement Gap'!$B$29,ABS(AK582+AL582+AM582-$B$10)&lt;1)</f>
        <v>1</v>
      </c>
      <c r="AT582" cm="1">
        <f t="array" ref="AT582">IF(AS582=0,1E+99,_xlfn.SWITCH(LEFT($E$39,1),"1",AO582,"2",AP582*1000000000+AO582,"3",-AQ582,"4",AO582+AP582*25000+AR582*0.005-AQ582*0.0001,AO582))</f>
        <v>-968686.47204508656</v>
      </c>
    </row>
    <row r="583" spans="33:46" x14ac:dyDescent="0.55000000000000004">
      <c r="AG583">
        <f t="shared" si="66"/>
        <v>582</v>
      </c>
      <c r="AH583">
        <f t="shared" si="67"/>
        <v>0.8</v>
      </c>
      <c r="AI583">
        <f t="shared" si="68"/>
        <v>0.8</v>
      </c>
      <c r="AJ583">
        <f t="shared" si="69"/>
        <v>1</v>
      </c>
      <c r="AK583">
        <f t="shared" si="70"/>
        <v>2429.7599999999984</v>
      </c>
      <c r="AL583">
        <f t="shared" si="71"/>
        <v>48595.200000000004</v>
      </c>
      <c r="AM583">
        <f>MIN(MAX(0,$B$10-AL583)*AI583,'Retirement Gap'!$B$29)</f>
        <v>9719.0399999999972</v>
      </c>
      <c r="AN583">
        <f>IF($E$40="B - Withdrawals + Roth conversions",AJ583*MAX(0,MIN($B$47-AL583,MIN($B$59,IRMAA!$C$16)-(AL583+$B$8*0.85+AK583*$B$46))),0)</f>
        <v>0</v>
      </c>
      <c r="AO583" cm="1">
        <f t="array" ref="AO583">_xlfn.LET(_xlpm.N,$B$49,_xlpm.R,$B$48,_xlpm.Start,$B$47,_xlpm.PlanWD,AL583,_xlpm.PlanRoth,AM583,_xlpm.PlanConv,AN583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37577.68</v>
      </c>
      <c r="AP583" cm="1">
        <f t="array" ref="AP583">_xlfn.LET(_xlpm.N,$B$49,_xlpm.R,$B$48,_xlpm.Start,$B$47,_xlpm.PlanWD,AL583,_xlpm.PlanRoth,AM583,_xlpm.PlanConv,AN583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583" cm="1">
        <f t="array" ref="AQ583">_xlfn.LET(_xlpm.N,$B$49,_xlpm.R,$B$48,_xlpm.Start,$B$47,_xlpm.PlanWD,AL583,_xlpm.PlanRoth,AM583,_xlpm.PlanConv,AN583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968686.47204508656</v>
      </c>
      <c r="AR583" cm="1">
        <f t="array" ref="AR583">_xlfn.LET(_xlpm.N,$B$49,_xlpm.R,$B$48,_xlpm.Start,$B$47,_xlpm.PlanWD,AL583,_xlpm.PlanRoth,AM583,_xlpm.PlanConv,AN583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977827.36767230637</v>
      </c>
      <c r="AS583">
        <f>--AND(AK583&lt;=SUM('Retirement Gap'!$B$24:$B$25,'Retirement Gap'!$B$27),AL583+AN583&lt;=$B$47,AM583&lt;='Retirement Gap'!$B$29,ABS(AK583+AL583+AM583-$B$10)&lt;1)</f>
        <v>1</v>
      </c>
      <c r="AT583" cm="1">
        <f t="array" ref="AT583">IF(AS583=0,1E+99,_xlfn.SWITCH(LEFT($E$39,1),"1",AO583,"2",AP583*1000000000+AO583,"3",-AQ583,"4",AO583+AP583*25000+AR583*0.005-AQ583*0.0001,AO583))</f>
        <v>-968686.47204508656</v>
      </c>
    </row>
    <row r="584" spans="33:46" x14ac:dyDescent="0.55000000000000004">
      <c r="AG584">
        <f t="shared" si="66"/>
        <v>583</v>
      </c>
      <c r="AH584">
        <f t="shared" si="67"/>
        <v>0.8</v>
      </c>
      <c r="AI584">
        <f t="shared" si="68"/>
        <v>0.9</v>
      </c>
      <c r="AJ584">
        <f t="shared" si="69"/>
        <v>0</v>
      </c>
      <c r="AK584">
        <f t="shared" si="70"/>
        <v>1298.5216334164797</v>
      </c>
      <c r="AL584">
        <f t="shared" si="71"/>
        <v>48595.200000000004</v>
      </c>
      <c r="AM584">
        <f>MIN(MAX(0,$B$10-AL584)*AI584,'Retirement Gap'!$B$29)</f>
        <v>10850.278366583516</v>
      </c>
      <c r="AN584">
        <f>IF($E$40="B - Withdrawals + Roth conversions",AJ584*MAX(0,MIN($B$47-AL584,MIN($B$59,IRMAA!$C$16)-(AL584+$B$8*0.85+AK584*$B$46))),0)</f>
        <v>0</v>
      </c>
      <c r="AO584" cm="1">
        <f t="array" ref="AO584">_xlfn.LET(_xlpm.N,$B$49,_xlpm.R,$B$48,_xlpm.Start,$B$47,_xlpm.PlanWD,AL584,_xlpm.PlanRoth,AM584,_xlpm.PlanConv,AN584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37577.68</v>
      </c>
      <c r="AP584" cm="1">
        <f t="array" ref="AP584">_xlfn.LET(_xlpm.N,$B$49,_xlpm.R,$B$48,_xlpm.Start,$B$47,_xlpm.PlanWD,AL584,_xlpm.PlanRoth,AM584,_xlpm.PlanConv,AN584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584" cm="1">
        <f t="array" ref="AQ584">_xlfn.LET(_xlpm.N,$B$49,_xlpm.R,$B$48,_xlpm.Start,$B$47,_xlpm.PlanWD,AL584,_xlpm.PlanRoth,AM584,_xlpm.PlanConv,AN584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968686.47204508656</v>
      </c>
      <c r="AR584" cm="1">
        <f t="array" ref="AR584">_xlfn.LET(_xlpm.N,$B$49,_xlpm.R,$B$48,_xlpm.Start,$B$47,_xlpm.PlanWD,AL584,_xlpm.PlanRoth,AM584,_xlpm.PlanConv,AN584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977827.36767230637</v>
      </c>
      <c r="AS584">
        <f>--AND(AK584&lt;=SUM('Retirement Gap'!$B$24:$B$25,'Retirement Gap'!$B$27),AL584+AN584&lt;=$B$47,AM584&lt;='Retirement Gap'!$B$29,ABS(AK584+AL584+AM584-$B$10)&lt;1)</f>
        <v>1</v>
      </c>
      <c r="AT584" cm="1">
        <f t="array" ref="AT584">IF(AS584=0,1E+99,_xlfn.SWITCH(LEFT($E$39,1),"1",AO584,"2",AP584*1000000000+AO584,"3",-AQ584,"4",AO584+AP584*25000+AR584*0.005-AQ584*0.0001,AO584))</f>
        <v>-968686.47204508656</v>
      </c>
    </row>
    <row r="585" spans="33:46" x14ac:dyDescent="0.55000000000000004">
      <c r="AG585">
        <f t="shared" si="66"/>
        <v>584</v>
      </c>
      <c r="AH585">
        <f t="shared" si="67"/>
        <v>0.8</v>
      </c>
      <c r="AI585">
        <f t="shared" si="68"/>
        <v>0.9</v>
      </c>
      <c r="AJ585">
        <f t="shared" si="69"/>
        <v>0.2</v>
      </c>
      <c r="AK585">
        <f t="shared" si="70"/>
        <v>1298.5216334164797</v>
      </c>
      <c r="AL585">
        <f t="shared" si="71"/>
        <v>48595.200000000004</v>
      </c>
      <c r="AM585">
        <f>MIN(MAX(0,$B$10-AL585)*AI585,'Retirement Gap'!$B$29)</f>
        <v>10850.278366583516</v>
      </c>
      <c r="AN585">
        <f>IF($E$40="B - Withdrawals + Roth conversions",AJ585*MAX(0,MIN($B$47-AL585,MIN($B$59,IRMAA!$C$16)-(AL585+$B$8*0.85+AK585*$B$46))),0)</f>
        <v>0</v>
      </c>
      <c r="AO585" cm="1">
        <f t="array" ref="AO585">_xlfn.LET(_xlpm.N,$B$49,_xlpm.R,$B$48,_xlpm.Start,$B$47,_xlpm.PlanWD,AL585,_xlpm.PlanRoth,AM585,_xlpm.PlanConv,AN585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37577.68</v>
      </c>
      <c r="AP585" cm="1">
        <f t="array" ref="AP585">_xlfn.LET(_xlpm.N,$B$49,_xlpm.R,$B$48,_xlpm.Start,$B$47,_xlpm.PlanWD,AL585,_xlpm.PlanRoth,AM585,_xlpm.PlanConv,AN585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585" cm="1">
        <f t="array" ref="AQ585">_xlfn.LET(_xlpm.N,$B$49,_xlpm.R,$B$48,_xlpm.Start,$B$47,_xlpm.PlanWD,AL585,_xlpm.PlanRoth,AM585,_xlpm.PlanConv,AN585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968686.47204508656</v>
      </c>
      <c r="AR585" cm="1">
        <f t="array" ref="AR585">_xlfn.LET(_xlpm.N,$B$49,_xlpm.R,$B$48,_xlpm.Start,$B$47,_xlpm.PlanWD,AL585,_xlpm.PlanRoth,AM585,_xlpm.PlanConv,AN585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977827.36767230637</v>
      </c>
      <c r="AS585">
        <f>--AND(AK585&lt;=SUM('Retirement Gap'!$B$24:$B$25,'Retirement Gap'!$B$27),AL585+AN585&lt;=$B$47,AM585&lt;='Retirement Gap'!$B$29,ABS(AK585+AL585+AM585-$B$10)&lt;1)</f>
        <v>1</v>
      </c>
      <c r="AT585" cm="1">
        <f t="array" ref="AT585">IF(AS585=0,1E+99,_xlfn.SWITCH(LEFT($E$39,1),"1",AO585,"2",AP585*1000000000+AO585,"3",-AQ585,"4",AO585+AP585*25000+AR585*0.005-AQ585*0.0001,AO585))</f>
        <v>-968686.47204508656</v>
      </c>
    </row>
    <row r="586" spans="33:46" x14ac:dyDescent="0.55000000000000004">
      <c r="AG586">
        <f t="shared" si="66"/>
        <v>585</v>
      </c>
      <c r="AH586">
        <f t="shared" si="67"/>
        <v>0.8</v>
      </c>
      <c r="AI586">
        <f t="shared" si="68"/>
        <v>0.9</v>
      </c>
      <c r="AJ586">
        <f t="shared" si="69"/>
        <v>0.4</v>
      </c>
      <c r="AK586">
        <f t="shared" si="70"/>
        <v>1298.5216334164797</v>
      </c>
      <c r="AL586">
        <f t="shared" si="71"/>
        <v>48595.200000000004</v>
      </c>
      <c r="AM586">
        <f>MIN(MAX(0,$B$10-AL586)*AI586,'Retirement Gap'!$B$29)</f>
        <v>10850.278366583516</v>
      </c>
      <c r="AN586">
        <f>IF($E$40="B - Withdrawals + Roth conversions",AJ586*MAX(0,MIN($B$47-AL586,MIN($B$59,IRMAA!$C$16)-(AL586+$B$8*0.85+AK586*$B$46))),0)</f>
        <v>0</v>
      </c>
      <c r="AO586" cm="1">
        <f t="array" ref="AO586">_xlfn.LET(_xlpm.N,$B$49,_xlpm.R,$B$48,_xlpm.Start,$B$47,_xlpm.PlanWD,AL586,_xlpm.PlanRoth,AM586,_xlpm.PlanConv,AN586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37577.68</v>
      </c>
      <c r="AP586" cm="1">
        <f t="array" ref="AP586">_xlfn.LET(_xlpm.N,$B$49,_xlpm.R,$B$48,_xlpm.Start,$B$47,_xlpm.PlanWD,AL586,_xlpm.PlanRoth,AM586,_xlpm.PlanConv,AN586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586" cm="1">
        <f t="array" ref="AQ586">_xlfn.LET(_xlpm.N,$B$49,_xlpm.R,$B$48,_xlpm.Start,$B$47,_xlpm.PlanWD,AL586,_xlpm.PlanRoth,AM586,_xlpm.PlanConv,AN586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968686.47204508656</v>
      </c>
      <c r="AR586" cm="1">
        <f t="array" ref="AR586">_xlfn.LET(_xlpm.N,$B$49,_xlpm.R,$B$48,_xlpm.Start,$B$47,_xlpm.PlanWD,AL586,_xlpm.PlanRoth,AM586,_xlpm.PlanConv,AN586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977827.36767230637</v>
      </c>
      <c r="AS586">
        <f>--AND(AK586&lt;=SUM('Retirement Gap'!$B$24:$B$25,'Retirement Gap'!$B$27),AL586+AN586&lt;=$B$47,AM586&lt;='Retirement Gap'!$B$29,ABS(AK586+AL586+AM586-$B$10)&lt;1)</f>
        <v>1</v>
      </c>
      <c r="AT586" cm="1">
        <f t="array" ref="AT586">IF(AS586=0,1E+99,_xlfn.SWITCH(LEFT($E$39,1),"1",AO586,"2",AP586*1000000000+AO586,"3",-AQ586,"4",AO586+AP586*25000+AR586*0.005-AQ586*0.0001,AO586))</f>
        <v>-968686.47204508656</v>
      </c>
    </row>
    <row r="587" spans="33:46" x14ac:dyDescent="0.55000000000000004">
      <c r="AG587">
        <f t="shared" si="66"/>
        <v>586</v>
      </c>
      <c r="AH587">
        <f t="shared" si="67"/>
        <v>0.8</v>
      </c>
      <c r="AI587">
        <f t="shared" si="68"/>
        <v>0.9</v>
      </c>
      <c r="AJ587">
        <f t="shared" si="69"/>
        <v>0.6</v>
      </c>
      <c r="AK587">
        <f t="shared" si="70"/>
        <v>1298.5216334164797</v>
      </c>
      <c r="AL587">
        <f t="shared" si="71"/>
        <v>48595.200000000004</v>
      </c>
      <c r="AM587">
        <f>MIN(MAX(0,$B$10-AL587)*AI587,'Retirement Gap'!$B$29)</f>
        <v>10850.278366583516</v>
      </c>
      <c r="AN587">
        <f>IF($E$40="B - Withdrawals + Roth conversions",AJ587*MAX(0,MIN($B$47-AL587,MIN($B$59,IRMAA!$C$16)-(AL587+$B$8*0.85+AK587*$B$46))),0)</f>
        <v>0</v>
      </c>
      <c r="AO587" cm="1">
        <f t="array" ref="AO587">_xlfn.LET(_xlpm.N,$B$49,_xlpm.R,$B$48,_xlpm.Start,$B$47,_xlpm.PlanWD,AL587,_xlpm.PlanRoth,AM587,_xlpm.PlanConv,AN587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37577.68</v>
      </c>
      <c r="AP587" cm="1">
        <f t="array" ref="AP587">_xlfn.LET(_xlpm.N,$B$49,_xlpm.R,$B$48,_xlpm.Start,$B$47,_xlpm.PlanWD,AL587,_xlpm.PlanRoth,AM587,_xlpm.PlanConv,AN587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587" cm="1">
        <f t="array" ref="AQ587">_xlfn.LET(_xlpm.N,$B$49,_xlpm.R,$B$48,_xlpm.Start,$B$47,_xlpm.PlanWD,AL587,_xlpm.PlanRoth,AM587,_xlpm.PlanConv,AN587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968686.47204508656</v>
      </c>
      <c r="AR587" cm="1">
        <f t="array" ref="AR587">_xlfn.LET(_xlpm.N,$B$49,_xlpm.R,$B$48,_xlpm.Start,$B$47,_xlpm.PlanWD,AL587,_xlpm.PlanRoth,AM587,_xlpm.PlanConv,AN587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977827.36767230637</v>
      </c>
      <c r="AS587">
        <f>--AND(AK587&lt;=SUM('Retirement Gap'!$B$24:$B$25,'Retirement Gap'!$B$27),AL587+AN587&lt;=$B$47,AM587&lt;='Retirement Gap'!$B$29,ABS(AK587+AL587+AM587-$B$10)&lt;1)</f>
        <v>1</v>
      </c>
      <c r="AT587" cm="1">
        <f t="array" ref="AT587">IF(AS587=0,1E+99,_xlfn.SWITCH(LEFT($E$39,1),"1",AO587,"2",AP587*1000000000+AO587,"3",-AQ587,"4",AO587+AP587*25000+AR587*0.005-AQ587*0.0001,AO587))</f>
        <v>-968686.47204508656</v>
      </c>
    </row>
    <row r="588" spans="33:46" x14ac:dyDescent="0.55000000000000004">
      <c r="AG588">
        <f t="shared" si="66"/>
        <v>587</v>
      </c>
      <c r="AH588">
        <f t="shared" si="67"/>
        <v>0.8</v>
      </c>
      <c r="AI588">
        <f t="shared" si="68"/>
        <v>0.9</v>
      </c>
      <c r="AJ588">
        <f t="shared" si="69"/>
        <v>0.8</v>
      </c>
      <c r="AK588">
        <f t="shared" si="70"/>
        <v>1298.5216334164797</v>
      </c>
      <c r="AL588">
        <f t="shared" si="71"/>
        <v>48595.200000000004</v>
      </c>
      <c r="AM588">
        <f>MIN(MAX(0,$B$10-AL588)*AI588,'Retirement Gap'!$B$29)</f>
        <v>10850.278366583516</v>
      </c>
      <c r="AN588">
        <f>IF($E$40="B - Withdrawals + Roth conversions",AJ588*MAX(0,MIN($B$47-AL588,MIN($B$59,IRMAA!$C$16)-(AL588+$B$8*0.85+AK588*$B$46))),0)</f>
        <v>0</v>
      </c>
      <c r="AO588" cm="1">
        <f t="array" ref="AO588">_xlfn.LET(_xlpm.N,$B$49,_xlpm.R,$B$48,_xlpm.Start,$B$47,_xlpm.PlanWD,AL588,_xlpm.PlanRoth,AM588,_xlpm.PlanConv,AN588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37577.68</v>
      </c>
      <c r="AP588" cm="1">
        <f t="array" ref="AP588">_xlfn.LET(_xlpm.N,$B$49,_xlpm.R,$B$48,_xlpm.Start,$B$47,_xlpm.PlanWD,AL588,_xlpm.PlanRoth,AM588,_xlpm.PlanConv,AN588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588" cm="1">
        <f t="array" ref="AQ588">_xlfn.LET(_xlpm.N,$B$49,_xlpm.R,$B$48,_xlpm.Start,$B$47,_xlpm.PlanWD,AL588,_xlpm.PlanRoth,AM588,_xlpm.PlanConv,AN588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968686.47204508656</v>
      </c>
      <c r="AR588" cm="1">
        <f t="array" ref="AR588">_xlfn.LET(_xlpm.N,$B$49,_xlpm.R,$B$48,_xlpm.Start,$B$47,_xlpm.PlanWD,AL588,_xlpm.PlanRoth,AM588,_xlpm.PlanConv,AN588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977827.36767230637</v>
      </c>
      <c r="AS588">
        <f>--AND(AK588&lt;=SUM('Retirement Gap'!$B$24:$B$25,'Retirement Gap'!$B$27),AL588+AN588&lt;=$B$47,AM588&lt;='Retirement Gap'!$B$29,ABS(AK588+AL588+AM588-$B$10)&lt;1)</f>
        <v>1</v>
      </c>
      <c r="AT588" cm="1">
        <f t="array" ref="AT588">IF(AS588=0,1E+99,_xlfn.SWITCH(LEFT($E$39,1),"1",AO588,"2",AP588*1000000000+AO588,"3",-AQ588,"4",AO588+AP588*25000+AR588*0.005-AQ588*0.0001,AO588))</f>
        <v>-968686.47204508656</v>
      </c>
    </row>
    <row r="589" spans="33:46" x14ac:dyDescent="0.55000000000000004">
      <c r="AG589">
        <f t="shared" si="66"/>
        <v>588</v>
      </c>
      <c r="AH589">
        <f t="shared" si="67"/>
        <v>0.8</v>
      </c>
      <c r="AI589">
        <f t="shared" si="68"/>
        <v>0.9</v>
      </c>
      <c r="AJ589">
        <f t="shared" si="69"/>
        <v>1</v>
      </c>
      <c r="AK589">
        <f t="shared" si="70"/>
        <v>1298.5216334164797</v>
      </c>
      <c r="AL589">
        <f t="shared" si="71"/>
        <v>48595.200000000004</v>
      </c>
      <c r="AM589">
        <f>MIN(MAX(0,$B$10-AL589)*AI589,'Retirement Gap'!$B$29)</f>
        <v>10850.278366583516</v>
      </c>
      <c r="AN589">
        <f>IF($E$40="B - Withdrawals + Roth conversions",AJ589*MAX(0,MIN($B$47-AL589,MIN($B$59,IRMAA!$C$16)-(AL589+$B$8*0.85+AK589*$B$46))),0)</f>
        <v>0</v>
      </c>
      <c r="AO589" cm="1">
        <f t="array" ref="AO589">_xlfn.LET(_xlpm.N,$B$49,_xlpm.R,$B$48,_xlpm.Start,$B$47,_xlpm.PlanWD,AL589,_xlpm.PlanRoth,AM589,_xlpm.PlanConv,AN589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37577.68</v>
      </c>
      <c r="AP589" cm="1">
        <f t="array" ref="AP589">_xlfn.LET(_xlpm.N,$B$49,_xlpm.R,$B$48,_xlpm.Start,$B$47,_xlpm.PlanWD,AL589,_xlpm.PlanRoth,AM589,_xlpm.PlanConv,AN589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589" cm="1">
        <f t="array" ref="AQ589">_xlfn.LET(_xlpm.N,$B$49,_xlpm.R,$B$48,_xlpm.Start,$B$47,_xlpm.PlanWD,AL589,_xlpm.PlanRoth,AM589,_xlpm.PlanConv,AN589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968686.47204508656</v>
      </c>
      <c r="AR589" cm="1">
        <f t="array" ref="AR589">_xlfn.LET(_xlpm.N,$B$49,_xlpm.R,$B$48,_xlpm.Start,$B$47,_xlpm.PlanWD,AL589,_xlpm.PlanRoth,AM589,_xlpm.PlanConv,AN589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977827.36767230637</v>
      </c>
      <c r="AS589">
        <f>--AND(AK589&lt;=SUM('Retirement Gap'!$B$24:$B$25,'Retirement Gap'!$B$27),AL589+AN589&lt;=$B$47,AM589&lt;='Retirement Gap'!$B$29,ABS(AK589+AL589+AM589-$B$10)&lt;1)</f>
        <v>1</v>
      </c>
      <c r="AT589" cm="1">
        <f t="array" ref="AT589">IF(AS589=0,1E+99,_xlfn.SWITCH(LEFT($E$39,1),"1",AO589,"2",AP589*1000000000+AO589,"3",-AQ589,"4",AO589+AP589*25000+AR589*0.005-AQ589*0.0001,AO589))</f>
        <v>-968686.47204508656</v>
      </c>
    </row>
    <row r="590" spans="33:46" x14ac:dyDescent="0.55000000000000004">
      <c r="AG590">
        <f t="shared" si="66"/>
        <v>589</v>
      </c>
      <c r="AH590">
        <f t="shared" si="67"/>
        <v>0.8</v>
      </c>
      <c r="AI590">
        <f t="shared" si="68"/>
        <v>1</v>
      </c>
      <c r="AJ590">
        <f t="shared" si="69"/>
        <v>0</v>
      </c>
      <c r="AK590">
        <f t="shared" si="70"/>
        <v>1298.5216334164797</v>
      </c>
      <c r="AL590">
        <f t="shared" si="71"/>
        <v>48595.200000000004</v>
      </c>
      <c r="AM590">
        <f>MIN(MAX(0,$B$10-AL590)*AI590,'Retirement Gap'!$B$29)</f>
        <v>10850.278366583516</v>
      </c>
      <c r="AN590">
        <f>IF($E$40="B - Withdrawals + Roth conversions",AJ590*MAX(0,MIN($B$47-AL590,MIN($B$59,IRMAA!$C$16)-(AL590+$B$8*0.85+AK590*$B$46))),0)</f>
        <v>0</v>
      </c>
      <c r="AO590" cm="1">
        <f t="array" ref="AO590">_xlfn.LET(_xlpm.N,$B$49,_xlpm.R,$B$48,_xlpm.Start,$B$47,_xlpm.PlanWD,AL590,_xlpm.PlanRoth,AM590,_xlpm.PlanConv,AN590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37577.68</v>
      </c>
      <c r="AP590" cm="1">
        <f t="array" ref="AP590">_xlfn.LET(_xlpm.N,$B$49,_xlpm.R,$B$48,_xlpm.Start,$B$47,_xlpm.PlanWD,AL590,_xlpm.PlanRoth,AM590,_xlpm.PlanConv,AN590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590" cm="1">
        <f t="array" ref="AQ590">_xlfn.LET(_xlpm.N,$B$49,_xlpm.R,$B$48,_xlpm.Start,$B$47,_xlpm.PlanWD,AL590,_xlpm.PlanRoth,AM590,_xlpm.PlanConv,AN590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968686.47204508656</v>
      </c>
      <c r="AR590" cm="1">
        <f t="array" ref="AR590">_xlfn.LET(_xlpm.N,$B$49,_xlpm.R,$B$48,_xlpm.Start,$B$47,_xlpm.PlanWD,AL590,_xlpm.PlanRoth,AM590,_xlpm.PlanConv,AN590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977827.36767230637</v>
      </c>
      <c r="AS590">
        <f>--AND(AK590&lt;=SUM('Retirement Gap'!$B$24:$B$25,'Retirement Gap'!$B$27),AL590+AN590&lt;=$B$47,AM590&lt;='Retirement Gap'!$B$29,ABS(AK590+AL590+AM590-$B$10)&lt;1)</f>
        <v>1</v>
      </c>
      <c r="AT590" cm="1">
        <f t="array" ref="AT590">IF(AS590=0,1E+99,_xlfn.SWITCH(LEFT($E$39,1),"1",AO590,"2",AP590*1000000000+AO590,"3",-AQ590,"4",AO590+AP590*25000+AR590*0.005-AQ590*0.0001,AO590))</f>
        <v>-968686.47204508656</v>
      </c>
    </row>
    <row r="591" spans="33:46" x14ac:dyDescent="0.55000000000000004">
      <c r="AG591">
        <f t="shared" si="66"/>
        <v>590</v>
      </c>
      <c r="AH591">
        <f t="shared" si="67"/>
        <v>0.8</v>
      </c>
      <c r="AI591">
        <f t="shared" si="68"/>
        <v>1</v>
      </c>
      <c r="AJ591">
        <f t="shared" si="69"/>
        <v>0.2</v>
      </c>
      <c r="AK591">
        <f t="shared" si="70"/>
        <v>1298.5216334164797</v>
      </c>
      <c r="AL591">
        <f t="shared" si="71"/>
        <v>48595.200000000004</v>
      </c>
      <c r="AM591">
        <f>MIN(MAX(0,$B$10-AL591)*AI591,'Retirement Gap'!$B$29)</f>
        <v>10850.278366583516</v>
      </c>
      <c r="AN591">
        <f>IF($E$40="B - Withdrawals + Roth conversions",AJ591*MAX(0,MIN($B$47-AL591,MIN($B$59,IRMAA!$C$16)-(AL591+$B$8*0.85+AK591*$B$46))),0)</f>
        <v>0</v>
      </c>
      <c r="AO591" cm="1">
        <f t="array" ref="AO591">_xlfn.LET(_xlpm.N,$B$49,_xlpm.R,$B$48,_xlpm.Start,$B$47,_xlpm.PlanWD,AL591,_xlpm.PlanRoth,AM591,_xlpm.PlanConv,AN591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37577.68</v>
      </c>
      <c r="AP591" cm="1">
        <f t="array" ref="AP591">_xlfn.LET(_xlpm.N,$B$49,_xlpm.R,$B$48,_xlpm.Start,$B$47,_xlpm.PlanWD,AL591,_xlpm.PlanRoth,AM591,_xlpm.PlanConv,AN591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591" cm="1">
        <f t="array" ref="AQ591">_xlfn.LET(_xlpm.N,$B$49,_xlpm.R,$B$48,_xlpm.Start,$B$47,_xlpm.PlanWD,AL591,_xlpm.PlanRoth,AM591,_xlpm.PlanConv,AN591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968686.47204508656</v>
      </c>
      <c r="AR591" cm="1">
        <f t="array" ref="AR591">_xlfn.LET(_xlpm.N,$B$49,_xlpm.R,$B$48,_xlpm.Start,$B$47,_xlpm.PlanWD,AL591,_xlpm.PlanRoth,AM591,_xlpm.PlanConv,AN591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977827.36767230637</v>
      </c>
      <c r="AS591">
        <f>--AND(AK591&lt;=SUM('Retirement Gap'!$B$24:$B$25,'Retirement Gap'!$B$27),AL591+AN591&lt;=$B$47,AM591&lt;='Retirement Gap'!$B$29,ABS(AK591+AL591+AM591-$B$10)&lt;1)</f>
        <v>1</v>
      </c>
      <c r="AT591" cm="1">
        <f t="array" ref="AT591">IF(AS591=0,1E+99,_xlfn.SWITCH(LEFT($E$39,1),"1",AO591,"2",AP591*1000000000+AO591,"3",-AQ591,"4",AO591+AP591*25000+AR591*0.005-AQ591*0.0001,AO591))</f>
        <v>-968686.47204508656</v>
      </c>
    </row>
    <row r="592" spans="33:46" x14ac:dyDescent="0.55000000000000004">
      <c r="AG592">
        <f t="shared" si="66"/>
        <v>591</v>
      </c>
      <c r="AH592">
        <f t="shared" si="67"/>
        <v>0.8</v>
      </c>
      <c r="AI592">
        <f t="shared" si="68"/>
        <v>1</v>
      </c>
      <c r="AJ592">
        <f t="shared" si="69"/>
        <v>0.4</v>
      </c>
      <c r="AK592">
        <f t="shared" si="70"/>
        <v>1298.5216334164797</v>
      </c>
      <c r="AL592">
        <f t="shared" si="71"/>
        <v>48595.200000000004</v>
      </c>
      <c r="AM592">
        <f>MIN(MAX(0,$B$10-AL592)*AI592,'Retirement Gap'!$B$29)</f>
        <v>10850.278366583516</v>
      </c>
      <c r="AN592">
        <f>IF($E$40="B - Withdrawals + Roth conversions",AJ592*MAX(0,MIN($B$47-AL592,MIN($B$59,IRMAA!$C$16)-(AL592+$B$8*0.85+AK592*$B$46))),0)</f>
        <v>0</v>
      </c>
      <c r="AO592" cm="1">
        <f t="array" ref="AO592">_xlfn.LET(_xlpm.N,$B$49,_xlpm.R,$B$48,_xlpm.Start,$B$47,_xlpm.PlanWD,AL592,_xlpm.PlanRoth,AM592,_xlpm.PlanConv,AN592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37577.68</v>
      </c>
      <c r="AP592" cm="1">
        <f t="array" ref="AP592">_xlfn.LET(_xlpm.N,$B$49,_xlpm.R,$B$48,_xlpm.Start,$B$47,_xlpm.PlanWD,AL592,_xlpm.PlanRoth,AM592,_xlpm.PlanConv,AN592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592" cm="1">
        <f t="array" ref="AQ592">_xlfn.LET(_xlpm.N,$B$49,_xlpm.R,$B$48,_xlpm.Start,$B$47,_xlpm.PlanWD,AL592,_xlpm.PlanRoth,AM592,_xlpm.PlanConv,AN592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968686.47204508656</v>
      </c>
      <c r="AR592" cm="1">
        <f t="array" ref="AR592">_xlfn.LET(_xlpm.N,$B$49,_xlpm.R,$B$48,_xlpm.Start,$B$47,_xlpm.PlanWD,AL592,_xlpm.PlanRoth,AM592,_xlpm.PlanConv,AN592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977827.36767230637</v>
      </c>
      <c r="AS592">
        <f>--AND(AK592&lt;=SUM('Retirement Gap'!$B$24:$B$25,'Retirement Gap'!$B$27),AL592+AN592&lt;=$B$47,AM592&lt;='Retirement Gap'!$B$29,ABS(AK592+AL592+AM592-$B$10)&lt;1)</f>
        <v>1</v>
      </c>
      <c r="AT592" cm="1">
        <f t="array" ref="AT592">IF(AS592=0,1E+99,_xlfn.SWITCH(LEFT($E$39,1),"1",AO592,"2",AP592*1000000000+AO592,"3",-AQ592,"4",AO592+AP592*25000+AR592*0.005-AQ592*0.0001,AO592))</f>
        <v>-968686.47204508656</v>
      </c>
    </row>
    <row r="593" spans="33:46" x14ac:dyDescent="0.55000000000000004">
      <c r="AG593">
        <f t="shared" si="66"/>
        <v>592</v>
      </c>
      <c r="AH593">
        <f t="shared" si="67"/>
        <v>0.8</v>
      </c>
      <c r="AI593">
        <f t="shared" si="68"/>
        <v>1</v>
      </c>
      <c r="AJ593">
        <f t="shared" si="69"/>
        <v>0.6</v>
      </c>
      <c r="AK593">
        <f t="shared" si="70"/>
        <v>1298.5216334164797</v>
      </c>
      <c r="AL593">
        <f t="shared" si="71"/>
        <v>48595.200000000004</v>
      </c>
      <c r="AM593">
        <f>MIN(MAX(0,$B$10-AL593)*AI593,'Retirement Gap'!$B$29)</f>
        <v>10850.278366583516</v>
      </c>
      <c r="AN593">
        <f>IF($E$40="B - Withdrawals + Roth conversions",AJ593*MAX(0,MIN($B$47-AL593,MIN($B$59,IRMAA!$C$16)-(AL593+$B$8*0.85+AK593*$B$46))),0)</f>
        <v>0</v>
      </c>
      <c r="AO593" cm="1">
        <f t="array" ref="AO593">_xlfn.LET(_xlpm.N,$B$49,_xlpm.R,$B$48,_xlpm.Start,$B$47,_xlpm.PlanWD,AL593,_xlpm.PlanRoth,AM593,_xlpm.PlanConv,AN593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37577.68</v>
      </c>
      <c r="AP593" cm="1">
        <f t="array" ref="AP593">_xlfn.LET(_xlpm.N,$B$49,_xlpm.R,$B$48,_xlpm.Start,$B$47,_xlpm.PlanWD,AL593,_xlpm.PlanRoth,AM593,_xlpm.PlanConv,AN593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593" cm="1">
        <f t="array" ref="AQ593">_xlfn.LET(_xlpm.N,$B$49,_xlpm.R,$B$48,_xlpm.Start,$B$47,_xlpm.PlanWD,AL593,_xlpm.PlanRoth,AM593,_xlpm.PlanConv,AN593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968686.47204508656</v>
      </c>
      <c r="AR593" cm="1">
        <f t="array" ref="AR593">_xlfn.LET(_xlpm.N,$B$49,_xlpm.R,$B$48,_xlpm.Start,$B$47,_xlpm.PlanWD,AL593,_xlpm.PlanRoth,AM593,_xlpm.PlanConv,AN593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977827.36767230637</v>
      </c>
      <c r="AS593">
        <f>--AND(AK593&lt;=SUM('Retirement Gap'!$B$24:$B$25,'Retirement Gap'!$B$27),AL593+AN593&lt;=$B$47,AM593&lt;='Retirement Gap'!$B$29,ABS(AK593+AL593+AM593-$B$10)&lt;1)</f>
        <v>1</v>
      </c>
      <c r="AT593" cm="1">
        <f t="array" ref="AT593">IF(AS593=0,1E+99,_xlfn.SWITCH(LEFT($E$39,1),"1",AO593,"2",AP593*1000000000+AO593,"3",-AQ593,"4",AO593+AP593*25000+AR593*0.005-AQ593*0.0001,AO593))</f>
        <v>-968686.47204508656</v>
      </c>
    </row>
    <row r="594" spans="33:46" x14ac:dyDescent="0.55000000000000004">
      <c r="AG594">
        <f t="shared" si="66"/>
        <v>593</v>
      </c>
      <c r="AH594">
        <f t="shared" si="67"/>
        <v>0.8</v>
      </c>
      <c r="AI594">
        <f t="shared" si="68"/>
        <v>1</v>
      </c>
      <c r="AJ594">
        <f t="shared" si="69"/>
        <v>0.8</v>
      </c>
      <c r="AK594">
        <f t="shared" si="70"/>
        <v>1298.5216334164797</v>
      </c>
      <c r="AL594">
        <f t="shared" si="71"/>
        <v>48595.200000000004</v>
      </c>
      <c r="AM594">
        <f>MIN(MAX(0,$B$10-AL594)*AI594,'Retirement Gap'!$B$29)</f>
        <v>10850.278366583516</v>
      </c>
      <c r="AN594">
        <f>IF($E$40="B - Withdrawals + Roth conversions",AJ594*MAX(0,MIN($B$47-AL594,MIN($B$59,IRMAA!$C$16)-(AL594+$B$8*0.85+AK594*$B$46))),0)</f>
        <v>0</v>
      </c>
      <c r="AO594" cm="1">
        <f t="array" ref="AO594">_xlfn.LET(_xlpm.N,$B$49,_xlpm.R,$B$48,_xlpm.Start,$B$47,_xlpm.PlanWD,AL594,_xlpm.PlanRoth,AM594,_xlpm.PlanConv,AN594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37577.68</v>
      </c>
      <c r="AP594" cm="1">
        <f t="array" ref="AP594">_xlfn.LET(_xlpm.N,$B$49,_xlpm.R,$B$48,_xlpm.Start,$B$47,_xlpm.PlanWD,AL594,_xlpm.PlanRoth,AM594,_xlpm.PlanConv,AN594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594" cm="1">
        <f t="array" ref="AQ594">_xlfn.LET(_xlpm.N,$B$49,_xlpm.R,$B$48,_xlpm.Start,$B$47,_xlpm.PlanWD,AL594,_xlpm.PlanRoth,AM594,_xlpm.PlanConv,AN594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968686.47204508656</v>
      </c>
      <c r="AR594" cm="1">
        <f t="array" ref="AR594">_xlfn.LET(_xlpm.N,$B$49,_xlpm.R,$B$48,_xlpm.Start,$B$47,_xlpm.PlanWD,AL594,_xlpm.PlanRoth,AM594,_xlpm.PlanConv,AN594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977827.36767230637</v>
      </c>
      <c r="AS594">
        <f>--AND(AK594&lt;=SUM('Retirement Gap'!$B$24:$B$25,'Retirement Gap'!$B$27),AL594+AN594&lt;=$B$47,AM594&lt;='Retirement Gap'!$B$29,ABS(AK594+AL594+AM594-$B$10)&lt;1)</f>
        <v>1</v>
      </c>
      <c r="AT594" cm="1">
        <f t="array" ref="AT594">IF(AS594=0,1E+99,_xlfn.SWITCH(LEFT($E$39,1),"1",AO594,"2",AP594*1000000000+AO594,"3",-AQ594,"4",AO594+AP594*25000+AR594*0.005-AQ594*0.0001,AO594))</f>
        <v>-968686.47204508656</v>
      </c>
    </row>
    <row r="595" spans="33:46" x14ac:dyDescent="0.55000000000000004">
      <c r="AG595">
        <f t="shared" si="66"/>
        <v>594</v>
      </c>
      <c r="AH595">
        <f t="shared" si="67"/>
        <v>0.8</v>
      </c>
      <c r="AI595">
        <f t="shared" si="68"/>
        <v>1</v>
      </c>
      <c r="AJ595">
        <f t="shared" si="69"/>
        <v>1</v>
      </c>
      <c r="AK595">
        <f t="shared" si="70"/>
        <v>1298.5216334164797</v>
      </c>
      <c r="AL595">
        <f t="shared" si="71"/>
        <v>48595.200000000004</v>
      </c>
      <c r="AM595">
        <f>MIN(MAX(0,$B$10-AL595)*AI595,'Retirement Gap'!$B$29)</f>
        <v>10850.278366583516</v>
      </c>
      <c r="AN595">
        <f>IF($E$40="B - Withdrawals + Roth conversions",AJ595*MAX(0,MIN($B$47-AL595,MIN($B$59,IRMAA!$C$16)-(AL595+$B$8*0.85+AK595*$B$46))),0)</f>
        <v>0</v>
      </c>
      <c r="AO595" cm="1">
        <f t="array" ref="AO595">_xlfn.LET(_xlpm.N,$B$49,_xlpm.R,$B$48,_xlpm.Start,$B$47,_xlpm.PlanWD,AL595,_xlpm.PlanRoth,AM595,_xlpm.PlanConv,AN595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37577.68</v>
      </c>
      <c r="AP595" cm="1">
        <f t="array" ref="AP595">_xlfn.LET(_xlpm.N,$B$49,_xlpm.R,$B$48,_xlpm.Start,$B$47,_xlpm.PlanWD,AL595,_xlpm.PlanRoth,AM595,_xlpm.PlanConv,AN595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595" cm="1">
        <f t="array" ref="AQ595">_xlfn.LET(_xlpm.N,$B$49,_xlpm.R,$B$48,_xlpm.Start,$B$47,_xlpm.PlanWD,AL595,_xlpm.PlanRoth,AM595,_xlpm.PlanConv,AN595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968686.47204508656</v>
      </c>
      <c r="AR595" cm="1">
        <f t="array" ref="AR595">_xlfn.LET(_xlpm.N,$B$49,_xlpm.R,$B$48,_xlpm.Start,$B$47,_xlpm.PlanWD,AL595,_xlpm.PlanRoth,AM595,_xlpm.PlanConv,AN595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977827.36767230637</v>
      </c>
      <c r="AS595">
        <f>--AND(AK595&lt;=SUM('Retirement Gap'!$B$24:$B$25,'Retirement Gap'!$B$27),AL595+AN595&lt;=$B$47,AM595&lt;='Retirement Gap'!$B$29,ABS(AK595+AL595+AM595-$B$10)&lt;1)</f>
        <v>1</v>
      </c>
      <c r="AT595" cm="1">
        <f t="array" ref="AT595">IF(AS595=0,1E+99,_xlfn.SWITCH(LEFT($E$39,1),"1",AO595,"2",AP595*1000000000+AO595,"3",-AQ595,"4",AO595+AP595*25000+AR595*0.005-AQ595*0.0001,AO595))</f>
        <v>-968686.47204508656</v>
      </c>
    </row>
    <row r="596" spans="33:46" x14ac:dyDescent="0.55000000000000004">
      <c r="AG596">
        <f t="shared" si="66"/>
        <v>595</v>
      </c>
      <c r="AH596">
        <f t="shared" si="67"/>
        <v>0.9</v>
      </c>
      <c r="AI596">
        <f t="shared" si="68"/>
        <v>0</v>
      </c>
      <c r="AJ596">
        <f t="shared" si="69"/>
        <v>0</v>
      </c>
      <c r="AK596">
        <f t="shared" si="70"/>
        <v>6074.4000000000015</v>
      </c>
      <c r="AL596">
        <f t="shared" si="71"/>
        <v>54669.599999999999</v>
      </c>
      <c r="AM596">
        <f>MIN(MAX(0,$B$10-AL596)*AI596,'Retirement Gap'!$B$29)</f>
        <v>0</v>
      </c>
      <c r="AN596">
        <f>IF($E$40="B - Withdrawals + Roth conversions",AJ596*MAX(0,MIN($B$47-AL596,MIN($B$59,IRMAA!$C$16)-(AL596+$B$8*0.85+AK596*$B$46))),0)</f>
        <v>0</v>
      </c>
      <c r="AO596" cm="1">
        <f t="array" ref="AO596">_xlfn.LET(_xlpm.N,$B$49,_xlpm.R,$B$48,_xlpm.Start,$B$47,_xlpm.PlanWD,AL596,_xlpm.PlanRoth,AM596,_xlpm.PlanConv,AN596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41222.32</v>
      </c>
      <c r="AP596" cm="1">
        <f t="array" ref="AP596">_xlfn.LET(_xlpm.N,$B$49,_xlpm.R,$B$48,_xlpm.Start,$B$47,_xlpm.PlanWD,AL596,_xlpm.PlanRoth,AM596,_xlpm.PlanConv,AN596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596" cm="1">
        <f t="array" ref="AQ596">_xlfn.LET(_xlpm.N,$B$49,_xlpm.R,$B$48,_xlpm.Start,$B$47,_xlpm.PlanWD,AL596,_xlpm.PlanRoth,AM596,_xlpm.PlanConv,AN596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964577.437147939</v>
      </c>
      <c r="AR596" cm="1">
        <f t="array" ref="AR596">_xlfn.LET(_xlpm.N,$B$49,_xlpm.R,$B$48,_xlpm.Start,$B$47,_xlpm.PlanWD,AL596,_xlpm.PlanRoth,AM596,_xlpm.PlanConv,AN596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943585.41019608243</v>
      </c>
      <c r="AS596">
        <f>--AND(AK596&lt;=SUM('Retirement Gap'!$B$24:$B$25,'Retirement Gap'!$B$27),AL596+AN596&lt;=$B$47,AM596&lt;='Retirement Gap'!$B$29,ABS(AK596+AL596+AM596-$B$10)&lt;1)</f>
        <v>1</v>
      </c>
      <c r="AT596" cm="1">
        <f t="array" ref="AT596">IF(AS596=0,1E+99,_xlfn.SWITCH(LEFT($E$39,1),"1",AO596,"2",AP596*1000000000+AO596,"3",-AQ596,"4",AO596+AP596*25000+AR596*0.005-AQ596*0.0001,AO596))</f>
        <v>-964577.437147939</v>
      </c>
    </row>
    <row r="597" spans="33:46" x14ac:dyDescent="0.55000000000000004">
      <c r="AG597">
        <f t="shared" si="66"/>
        <v>596</v>
      </c>
      <c r="AH597">
        <f t="shared" si="67"/>
        <v>0.9</v>
      </c>
      <c r="AI597">
        <f t="shared" si="68"/>
        <v>0</v>
      </c>
      <c r="AJ597">
        <f t="shared" si="69"/>
        <v>0.2</v>
      </c>
      <c r="AK597">
        <f t="shared" si="70"/>
        <v>6074.4000000000015</v>
      </c>
      <c r="AL597">
        <f t="shared" si="71"/>
        <v>54669.599999999999</v>
      </c>
      <c r="AM597">
        <f>MIN(MAX(0,$B$10-AL597)*AI597,'Retirement Gap'!$B$29)</f>
        <v>0</v>
      </c>
      <c r="AN597">
        <f>IF($E$40="B - Withdrawals + Roth conversions",AJ597*MAX(0,MIN($B$47-AL597,MIN($B$59,IRMAA!$C$16)-(AL597+$B$8*0.85+AK597*$B$46))),0)</f>
        <v>0</v>
      </c>
      <c r="AO597" cm="1">
        <f t="array" ref="AO597">_xlfn.LET(_xlpm.N,$B$49,_xlpm.R,$B$48,_xlpm.Start,$B$47,_xlpm.PlanWD,AL597,_xlpm.PlanRoth,AM597,_xlpm.PlanConv,AN597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41222.32</v>
      </c>
      <c r="AP597" cm="1">
        <f t="array" ref="AP597">_xlfn.LET(_xlpm.N,$B$49,_xlpm.R,$B$48,_xlpm.Start,$B$47,_xlpm.PlanWD,AL597,_xlpm.PlanRoth,AM597,_xlpm.PlanConv,AN597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597" cm="1">
        <f t="array" ref="AQ597">_xlfn.LET(_xlpm.N,$B$49,_xlpm.R,$B$48,_xlpm.Start,$B$47,_xlpm.PlanWD,AL597,_xlpm.PlanRoth,AM597,_xlpm.PlanConv,AN597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964577.437147939</v>
      </c>
      <c r="AR597" cm="1">
        <f t="array" ref="AR597">_xlfn.LET(_xlpm.N,$B$49,_xlpm.R,$B$48,_xlpm.Start,$B$47,_xlpm.PlanWD,AL597,_xlpm.PlanRoth,AM597,_xlpm.PlanConv,AN597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943585.41019608243</v>
      </c>
      <c r="AS597">
        <f>--AND(AK597&lt;=SUM('Retirement Gap'!$B$24:$B$25,'Retirement Gap'!$B$27),AL597+AN597&lt;=$B$47,AM597&lt;='Retirement Gap'!$B$29,ABS(AK597+AL597+AM597-$B$10)&lt;1)</f>
        <v>1</v>
      </c>
      <c r="AT597" cm="1">
        <f t="array" ref="AT597">IF(AS597=0,1E+99,_xlfn.SWITCH(LEFT($E$39,1),"1",AO597,"2",AP597*1000000000+AO597,"3",-AQ597,"4",AO597+AP597*25000+AR597*0.005-AQ597*0.0001,AO597))</f>
        <v>-964577.437147939</v>
      </c>
    </row>
    <row r="598" spans="33:46" x14ac:dyDescent="0.55000000000000004">
      <c r="AG598">
        <f t="shared" si="66"/>
        <v>597</v>
      </c>
      <c r="AH598">
        <f t="shared" si="67"/>
        <v>0.9</v>
      </c>
      <c r="AI598">
        <f t="shared" si="68"/>
        <v>0</v>
      </c>
      <c r="AJ598">
        <f t="shared" si="69"/>
        <v>0.4</v>
      </c>
      <c r="AK598">
        <f t="shared" si="70"/>
        <v>6074.4000000000015</v>
      </c>
      <c r="AL598">
        <f t="shared" si="71"/>
        <v>54669.599999999999</v>
      </c>
      <c r="AM598">
        <f>MIN(MAX(0,$B$10-AL598)*AI598,'Retirement Gap'!$B$29)</f>
        <v>0</v>
      </c>
      <c r="AN598">
        <f>IF($E$40="B - Withdrawals + Roth conversions",AJ598*MAX(0,MIN($B$47-AL598,MIN($B$59,IRMAA!$C$16)-(AL598+$B$8*0.85+AK598*$B$46))),0)</f>
        <v>0</v>
      </c>
      <c r="AO598" cm="1">
        <f t="array" ref="AO598">_xlfn.LET(_xlpm.N,$B$49,_xlpm.R,$B$48,_xlpm.Start,$B$47,_xlpm.PlanWD,AL598,_xlpm.PlanRoth,AM598,_xlpm.PlanConv,AN598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41222.32</v>
      </c>
      <c r="AP598" cm="1">
        <f t="array" ref="AP598">_xlfn.LET(_xlpm.N,$B$49,_xlpm.R,$B$48,_xlpm.Start,$B$47,_xlpm.PlanWD,AL598,_xlpm.PlanRoth,AM598,_xlpm.PlanConv,AN598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598" cm="1">
        <f t="array" ref="AQ598">_xlfn.LET(_xlpm.N,$B$49,_xlpm.R,$B$48,_xlpm.Start,$B$47,_xlpm.PlanWD,AL598,_xlpm.PlanRoth,AM598,_xlpm.PlanConv,AN598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964577.437147939</v>
      </c>
      <c r="AR598" cm="1">
        <f t="array" ref="AR598">_xlfn.LET(_xlpm.N,$B$49,_xlpm.R,$B$48,_xlpm.Start,$B$47,_xlpm.PlanWD,AL598,_xlpm.PlanRoth,AM598,_xlpm.PlanConv,AN598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943585.41019608243</v>
      </c>
      <c r="AS598">
        <f>--AND(AK598&lt;=SUM('Retirement Gap'!$B$24:$B$25,'Retirement Gap'!$B$27),AL598+AN598&lt;=$B$47,AM598&lt;='Retirement Gap'!$B$29,ABS(AK598+AL598+AM598-$B$10)&lt;1)</f>
        <v>1</v>
      </c>
      <c r="AT598" cm="1">
        <f t="array" ref="AT598">IF(AS598=0,1E+99,_xlfn.SWITCH(LEFT($E$39,1),"1",AO598,"2",AP598*1000000000+AO598,"3",-AQ598,"4",AO598+AP598*25000+AR598*0.005-AQ598*0.0001,AO598))</f>
        <v>-964577.437147939</v>
      </c>
    </row>
    <row r="599" spans="33:46" x14ac:dyDescent="0.55000000000000004">
      <c r="AG599">
        <f t="shared" si="66"/>
        <v>598</v>
      </c>
      <c r="AH599">
        <f t="shared" si="67"/>
        <v>0.9</v>
      </c>
      <c r="AI599">
        <f t="shared" si="68"/>
        <v>0</v>
      </c>
      <c r="AJ599">
        <f t="shared" si="69"/>
        <v>0.6</v>
      </c>
      <c r="AK599">
        <f t="shared" si="70"/>
        <v>6074.4000000000015</v>
      </c>
      <c r="AL599">
        <f t="shared" si="71"/>
        <v>54669.599999999999</v>
      </c>
      <c r="AM599">
        <f>MIN(MAX(0,$B$10-AL599)*AI599,'Retirement Gap'!$B$29)</f>
        <v>0</v>
      </c>
      <c r="AN599">
        <f>IF($E$40="B - Withdrawals + Roth conversions",AJ599*MAX(0,MIN($B$47-AL599,MIN($B$59,IRMAA!$C$16)-(AL599+$B$8*0.85+AK599*$B$46))),0)</f>
        <v>0</v>
      </c>
      <c r="AO599" cm="1">
        <f t="array" ref="AO599">_xlfn.LET(_xlpm.N,$B$49,_xlpm.R,$B$48,_xlpm.Start,$B$47,_xlpm.PlanWD,AL599,_xlpm.PlanRoth,AM599,_xlpm.PlanConv,AN599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41222.32</v>
      </c>
      <c r="AP599" cm="1">
        <f t="array" ref="AP599">_xlfn.LET(_xlpm.N,$B$49,_xlpm.R,$B$48,_xlpm.Start,$B$47,_xlpm.PlanWD,AL599,_xlpm.PlanRoth,AM599,_xlpm.PlanConv,AN599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599" cm="1">
        <f t="array" ref="AQ599">_xlfn.LET(_xlpm.N,$B$49,_xlpm.R,$B$48,_xlpm.Start,$B$47,_xlpm.PlanWD,AL599,_xlpm.PlanRoth,AM599,_xlpm.PlanConv,AN599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964577.437147939</v>
      </c>
      <c r="AR599" cm="1">
        <f t="array" ref="AR599">_xlfn.LET(_xlpm.N,$B$49,_xlpm.R,$B$48,_xlpm.Start,$B$47,_xlpm.PlanWD,AL599,_xlpm.PlanRoth,AM599,_xlpm.PlanConv,AN599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943585.41019608243</v>
      </c>
      <c r="AS599">
        <f>--AND(AK599&lt;=SUM('Retirement Gap'!$B$24:$B$25,'Retirement Gap'!$B$27),AL599+AN599&lt;=$B$47,AM599&lt;='Retirement Gap'!$B$29,ABS(AK599+AL599+AM599-$B$10)&lt;1)</f>
        <v>1</v>
      </c>
      <c r="AT599" cm="1">
        <f t="array" ref="AT599">IF(AS599=0,1E+99,_xlfn.SWITCH(LEFT($E$39,1),"1",AO599,"2",AP599*1000000000+AO599,"3",-AQ599,"4",AO599+AP599*25000+AR599*0.005-AQ599*0.0001,AO599))</f>
        <v>-964577.437147939</v>
      </c>
    </row>
    <row r="600" spans="33:46" x14ac:dyDescent="0.55000000000000004">
      <c r="AG600">
        <f t="shared" si="66"/>
        <v>599</v>
      </c>
      <c r="AH600">
        <f t="shared" si="67"/>
        <v>0.9</v>
      </c>
      <c r="AI600">
        <f t="shared" si="68"/>
        <v>0</v>
      </c>
      <c r="AJ600">
        <f t="shared" si="69"/>
        <v>0.8</v>
      </c>
      <c r="AK600">
        <f t="shared" si="70"/>
        <v>6074.4000000000015</v>
      </c>
      <c r="AL600">
        <f t="shared" si="71"/>
        <v>54669.599999999999</v>
      </c>
      <c r="AM600">
        <f>MIN(MAX(0,$B$10-AL600)*AI600,'Retirement Gap'!$B$29)</f>
        <v>0</v>
      </c>
      <c r="AN600">
        <f>IF($E$40="B - Withdrawals + Roth conversions",AJ600*MAX(0,MIN($B$47-AL600,MIN($B$59,IRMAA!$C$16)-(AL600+$B$8*0.85+AK600*$B$46))),0)</f>
        <v>0</v>
      </c>
      <c r="AO600" cm="1">
        <f t="array" ref="AO600">_xlfn.LET(_xlpm.N,$B$49,_xlpm.R,$B$48,_xlpm.Start,$B$47,_xlpm.PlanWD,AL600,_xlpm.PlanRoth,AM600,_xlpm.PlanConv,AN600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41222.32</v>
      </c>
      <c r="AP600" cm="1">
        <f t="array" ref="AP600">_xlfn.LET(_xlpm.N,$B$49,_xlpm.R,$B$48,_xlpm.Start,$B$47,_xlpm.PlanWD,AL600,_xlpm.PlanRoth,AM600,_xlpm.PlanConv,AN600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600" cm="1">
        <f t="array" ref="AQ600">_xlfn.LET(_xlpm.N,$B$49,_xlpm.R,$B$48,_xlpm.Start,$B$47,_xlpm.PlanWD,AL600,_xlpm.PlanRoth,AM600,_xlpm.PlanConv,AN600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964577.437147939</v>
      </c>
      <c r="AR600" cm="1">
        <f t="array" ref="AR600">_xlfn.LET(_xlpm.N,$B$49,_xlpm.R,$B$48,_xlpm.Start,$B$47,_xlpm.PlanWD,AL600,_xlpm.PlanRoth,AM600,_xlpm.PlanConv,AN600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943585.41019608243</v>
      </c>
      <c r="AS600">
        <f>--AND(AK600&lt;=SUM('Retirement Gap'!$B$24:$B$25,'Retirement Gap'!$B$27),AL600+AN600&lt;=$B$47,AM600&lt;='Retirement Gap'!$B$29,ABS(AK600+AL600+AM600-$B$10)&lt;1)</f>
        <v>1</v>
      </c>
      <c r="AT600" cm="1">
        <f t="array" ref="AT600">IF(AS600=0,1E+99,_xlfn.SWITCH(LEFT($E$39,1),"1",AO600,"2",AP600*1000000000+AO600,"3",-AQ600,"4",AO600+AP600*25000+AR600*0.005-AQ600*0.0001,AO600))</f>
        <v>-964577.437147939</v>
      </c>
    </row>
    <row r="601" spans="33:46" x14ac:dyDescent="0.55000000000000004">
      <c r="AG601">
        <f t="shared" si="66"/>
        <v>600</v>
      </c>
      <c r="AH601">
        <f t="shared" si="67"/>
        <v>0.9</v>
      </c>
      <c r="AI601">
        <f t="shared" si="68"/>
        <v>0</v>
      </c>
      <c r="AJ601">
        <f t="shared" si="69"/>
        <v>1</v>
      </c>
      <c r="AK601">
        <f t="shared" si="70"/>
        <v>6074.4000000000015</v>
      </c>
      <c r="AL601">
        <f t="shared" si="71"/>
        <v>54669.599999999999</v>
      </c>
      <c r="AM601">
        <f>MIN(MAX(0,$B$10-AL601)*AI601,'Retirement Gap'!$B$29)</f>
        <v>0</v>
      </c>
      <c r="AN601">
        <f>IF($E$40="B - Withdrawals + Roth conversions",AJ601*MAX(0,MIN($B$47-AL601,MIN($B$59,IRMAA!$C$16)-(AL601+$B$8*0.85+AK601*$B$46))),0)</f>
        <v>0</v>
      </c>
      <c r="AO601" cm="1">
        <f t="array" ref="AO601">_xlfn.LET(_xlpm.N,$B$49,_xlpm.R,$B$48,_xlpm.Start,$B$47,_xlpm.PlanWD,AL601,_xlpm.PlanRoth,AM601,_xlpm.PlanConv,AN601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41222.32</v>
      </c>
      <c r="AP601" cm="1">
        <f t="array" ref="AP601">_xlfn.LET(_xlpm.N,$B$49,_xlpm.R,$B$48,_xlpm.Start,$B$47,_xlpm.PlanWD,AL601,_xlpm.PlanRoth,AM601,_xlpm.PlanConv,AN601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601" cm="1">
        <f t="array" ref="AQ601">_xlfn.LET(_xlpm.N,$B$49,_xlpm.R,$B$48,_xlpm.Start,$B$47,_xlpm.PlanWD,AL601,_xlpm.PlanRoth,AM601,_xlpm.PlanConv,AN601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964577.437147939</v>
      </c>
      <c r="AR601" cm="1">
        <f t="array" ref="AR601">_xlfn.LET(_xlpm.N,$B$49,_xlpm.R,$B$48,_xlpm.Start,$B$47,_xlpm.PlanWD,AL601,_xlpm.PlanRoth,AM601,_xlpm.PlanConv,AN601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943585.41019608243</v>
      </c>
      <c r="AS601">
        <f>--AND(AK601&lt;=SUM('Retirement Gap'!$B$24:$B$25,'Retirement Gap'!$B$27),AL601+AN601&lt;=$B$47,AM601&lt;='Retirement Gap'!$B$29,ABS(AK601+AL601+AM601-$B$10)&lt;1)</f>
        <v>1</v>
      </c>
      <c r="AT601" cm="1">
        <f t="array" ref="AT601">IF(AS601=0,1E+99,_xlfn.SWITCH(LEFT($E$39,1),"1",AO601,"2",AP601*1000000000+AO601,"3",-AQ601,"4",AO601+AP601*25000+AR601*0.005-AQ601*0.0001,AO601))</f>
        <v>-964577.437147939</v>
      </c>
    </row>
    <row r="602" spans="33:46" x14ac:dyDescent="0.55000000000000004">
      <c r="AG602">
        <f t="shared" si="66"/>
        <v>601</v>
      </c>
      <c r="AH602">
        <f t="shared" si="67"/>
        <v>0.9</v>
      </c>
      <c r="AI602">
        <f t="shared" si="68"/>
        <v>0.1</v>
      </c>
      <c r="AJ602">
        <f t="shared" si="69"/>
        <v>0</v>
      </c>
      <c r="AK602">
        <f t="shared" si="70"/>
        <v>5466.9600000000009</v>
      </c>
      <c r="AL602">
        <f t="shared" si="71"/>
        <v>54669.599999999999</v>
      </c>
      <c r="AM602">
        <f>MIN(MAX(0,$B$10-AL602)*AI602,'Retirement Gap'!$B$29)</f>
        <v>607.44000000000017</v>
      </c>
      <c r="AN602">
        <f>IF($E$40="B - Withdrawals + Roth conversions",AJ602*MAX(0,MIN($B$47-AL602,MIN($B$59,IRMAA!$C$16)-(AL602+$B$8*0.85+AK602*$B$46))),0)</f>
        <v>0</v>
      </c>
      <c r="AO602" cm="1">
        <f t="array" ref="AO602">_xlfn.LET(_xlpm.N,$B$49,_xlpm.R,$B$48,_xlpm.Start,$B$47,_xlpm.PlanWD,AL602,_xlpm.PlanRoth,AM602,_xlpm.PlanConv,AN602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41222.32</v>
      </c>
      <c r="AP602" cm="1">
        <f t="array" ref="AP602">_xlfn.LET(_xlpm.N,$B$49,_xlpm.R,$B$48,_xlpm.Start,$B$47,_xlpm.PlanWD,AL602,_xlpm.PlanRoth,AM602,_xlpm.PlanConv,AN602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602" cm="1">
        <f t="array" ref="AQ602">_xlfn.LET(_xlpm.N,$B$49,_xlpm.R,$B$48,_xlpm.Start,$B$47,_xlpm.PlanWD,AL602,_xlpm.PlanRoth,AM602,_xlpm.PlanConv,AN602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964577.437147939</v>
      </c>
      <c r="AR602" cm="1">
        <f t="array" ref="AR602">_xlfn.LET(_xlpm.N,$B$49,_xlpm.R,$B$48,_xlpm.Start,$B$47,_xlpm.PlanWD,AL602,_xlpm.PlanRoth,AM602,_xlpm.PlanConv,AN602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943585.41019608243</v>
      </c>
      <c r="AS602">
        <f>--AND(AK602&lt;=SUM('Retirement Gap'!$B$24:$B$25,'Retirement Gap'!$B$27),AL602+AN602&lt;=$B$47,AM602&lt;='Retirement Gap'!$B$29,ABS(AK602+AL602+AM602-$B$10)&lt;1)</f>
        <v>1</v>
      </c>
      <c r="AT602" cm="1">
        <f t="array" ref="AT602">IF(AS602=0,1E+99,_xlfn.SWITCH(LEFT($E$39,1),"1",AO602,"2",AP602*1000000000+AO602,"3",-AQ602,"4",AO602+AP602*25000+AR602*0.005-AQ602*0.0001,AO602))</f>
        <v>-964577.437147939</v>
      </c>
    </row>
    <row r="603" spans="33:46" x14ac:dyDescent="0.55000000000000004">
      <c r="AG603">
        <f t="shared" si="66"/>
        <v>602</v>
      </c>
      <c r="AH603">
        <f t="shared" si="67"/>
        <v>0.9</v>
      </c>
      <c r="AI603">
        <f t="shared" si="68"/>
        <v>0.1</v>
      </c>
      <c r="AJ603">
        <f t="shared" si="69"/>
        <v>0.2</v>
      </c>
      <c r="AK603">
        <f t="shared" si="70"/>
        <v>5466.9600000000009</v>
      </c>
      <c r="AL603">
        <f t="shared" si="71"/>
        <v>54669.599999999999</v>
      </c>
      <c r="AM603">
        <f>MIN(MAX(0,$B$10-AL603)*AI603,'Retirement Gap'!$B$29)</f>
        <v>607.44000000000017</v>
      </c>
      <c r="AN603">
        <f>IF($E$40="B - Withdrawals + Roth conversions",AJ603*MAX(0,MIN($B$47-AL603,MIN($B$59,IRMAA!$C$16)-(AL603+$B$8*0.85+AK603*$B$46))),0)</f>
        <v>0</v>
      </c>
      <c r="AO603" cm="1">
        <f t="array" ref="AO603">_xlfn.LET(_xlpm.N,$B$49,_xlpm.R,$B$48,_xlpm.Start,$B$47,_xlpm.PlanWD,AL603,_xlpm.PlanRoth,AM603,_xlpm.PlanConv,AN603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41222.32</v>
      </c>
      <c r="AP603" cm="1">
        <f t="array" ref="AP603">_xlfn.LET(_xlpm.N,$B$49,_xlpm.R,$B$48,_xlpm.Start,$B$47,_xlpm.PlanWD,AL603,_xlpm.PlanRoth,AM603,_xlpm.PlanConv,AN603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603" cm="1">
        <f t="array" ref="AQ603">_xlfn.LET(_xlpm.N,$B$49,_xlpm.R,$B$48,_xlpm.Start,$B$47,_xlpm.PlanWD,AL603,_xlpm.PlanRoth,AM603,_xlpm.PlanConv,AN603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964577.437147939</v>
      </c>
      <c r="AR603" cm="1">
        <f t="array" ref="AR603">_xlfn.LET(_xlpm.N,$B$49,_xlpm.R,$B$48,_xlpm.Start,$B$47,_xlpm.PlanWD,AL603,_xlpm.PlanRoth,AM603,_xlpm.PlanConv,AN603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943585.41019608243</v>
      </c>
      <c r="AS603">
        <f>--AND(AK603&lt;=SUM('Retirement Gap'!$B$24:$B$25,'Retirement Gap'!$B$27),AL603+AN603&lt;=$B$47,AM603&lt;='Retirement Gap'!$B$29,ABS(AK603+AL603+AM603-$B$10)&lt;1)</f>
        <v>1</v>
      </c>
      <c r="AT603" cm="1">
        <f t="array" ref="AT603">IF(AS603=0,1E+99,_xlfn.SWITCH(LEFT($E$39,1),"1",AO603,"2",AP603*1000000000+AO603,"3",-AQ603,"4",AO603+AP603*25000+AR603*0.005-AQ603*0.0001,AO603))</f>
        <v>-964577.437147939</v>
      </c>
    </row>
    <row r="604" spans="33:46" x14ac:dyDescent="0.55000000000000004">
      <c r="AG604">
        <f t="shared" si="66"/>
        <v>603</v>
      </c>
      <c r="AH604">
        <f t="shared" si="67"/>
        <v>0.9</v>
      </c>
      <c r="AI604">
        <f t="shared" si="68"/>
        <v>0.1</v>
      </c>
      <c r="AJ604">
        <f t="shared" si="69"/>
        <v>0.4</v>
      </c>
      <c r="AK604">
        <f t="shared" si="70"/>
        <v>5466.9600000000009</v>
      </c>
      <c r="AL604">
        <f t="shared" si="71"/>
        <v>54669.599999999999</v>
      </c>
      <c r="AM604">
        <f>MIN(MAX(0,$B$10-AL604)*AI604,'Retirement Gap'!$B$29)</f>
        <v>607.44000000000017</v>
      </c>
      <c r="AN604">
        <f>IF($E$40="B - Withdrawals + Roth conversions",AJ604*MAX(0,MIN($B$47-AL604,MIN($B$59,IRMAA!$C$16)-(AL604+$B$8*0.85+AK604*$B$46))),0)</f>
        <v>0</v>
      </c>
      <c r="AO604" cm="1">
        <f t="array" ref="AO604">_xlfn.LET(_xlpm.N,$B$49,_xlpm.R,$B$48,_xlpm.Start,$B$47,_xlpm.PlanWD,AL604,_xlpm.PlanRoth,AM604,_xlpm.PlanConv,AN604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41222.32</v>
      </c>
      <c r="AP604" cm="1">
        <f t="array" ref="AP604">_xlfn.LET(_xlpm.N,$B$49,_xlpm.R,$B$48,_xlpm.Start,$B$47,_xlpm.PlanWD,AL604,_xlpm.PlanRoth,AM604,_xlpm.PlanConv,AN604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604" cm="1">
        <f t="array" ref="AQ604">_xlfn.LET(_xlpm.N,$B$49,_xlpm.R,$B$48,_xlpm.Start,$B$47,_xlpm.PlanWD,AL604,_xlpm.PlanRoth,AM604,_xlpm.PlanConv,AN604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964577.437147939</v>
      </c>
      <c r="AR604" cm="1">
        <f t="array" ref="AR604">_xlfn.LET(_xlpm.N,$B$49,_xlpm.R,$B$48,_xlpm.Start,$B$47,_xlpm.PlanWD,AL604,_xlpm.PlanRoth,AM604,_xlpm.PlanConv,AN604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943585.41019608243</v>
      </c>
      <c r="AS604">
        <f>--AND(AK604&lt;=SUM('Retirement Gap'!$B$24:$B$25,'Retirement Gap'!$B$27),AL604+AN604&lt;=$B$47,AM604&lt;='Retirement Gap'!$B$29,ABS(AK604+AL604+AM604-$B$10)&lt;1)</f>
        <v>1</v>
      </c>
      <c r="AT604" cm="1">
        <f t="array" ref="AT604">IF(AS604=0,1E+99,_xlfn.SWITCH(LEFT($E$39,1),"1",AO604,"2",AP604*1000000000+AO604,"3",-AQ604,"4",AO604+AP604*25000+AR604*0.005-AQ604*0.0001,AO604))</f>
        <v>-964577.437147939</v>
      </c>
    </row>
    <row r="605" spans="33:46" x14ac:dyDescent="0.55000000000000004">
      <c r="AG605">
        <f t="shared" si="66"/>
        <v>604</v>
      </c>
      <c r="AH605">
        <f t="shared" si="67"/>
        <v>0.9</v>
      </c>
      <c r="AI605">
        <f t="shared" si="68"/>
        <v>0.1</v>
      </c>
      <c r="AJ605">
        <f t="shared" si="69"/>
        <v>0.6</v>
      </c>
      <c r="AK605">
        <f t="shared" si="70"/>
        <v>5466.9600000000009</v>
      </c>
      <c r="AL605">
        <f t="shared" si="71"/>
        <v>54669.599999999999</v>
      </c>
      <c r="AM605">
        <f>MIN(MAX(0,$B$10-AL605)*AI605,'Retirement Gap'!$B$29)</f>
        <v>607.44000000000017</v>
      </c>
      <c r="AN605">
        <f>IF($E$40="B - Withdrawals + Roth conversions",AJ605*MAX(0,MIN($B$47-AL605,MIN($B$59,IRMAA!$C$16)-(AL605+$B$8*0.85+AK605*$B$46))),0)</f>
        <v>0</v>
      </c>
      <c r="AO605" cm="1">
        <f t="array" ref="AO605">_xlfn.LET(_xlpm.N,$B$49,_xlpm.R,$B$48,_xlpm.Start,$B$47,_xlpm.PlanWD,AL605,_xlpm.PlanRoth,AM605,_xlpm.PlanConv,AN605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41222.32</v>
      </c>
      <c r="AP605" cm="1">
        <f t="array" ref="AP605">_xlfn.LET(_xlpm.N,$B$49,_xlpm.R,$B$48,_xlpm.Start,$B$47,_xlpm.PlanWD,AL605,_xlpm.PlanRoth,AM605,_xlpm.PlanConv,AN605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605" cm="1">
        <f t="array" ref="AQ605">_xlfn.LET(_xlpm.N,$B$49,_xlpm.R,$B$48,_xlpm.Start,$B$47,_xlpm.PlanWD,AL605,_xlpm.PlanRoth,AM605,_xlpm.PlanConv,AN605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964577.437147939</v>
      </c>
      <c r="AR605" cm="1">
        <f t="array" ref="AR605">_xlfn.LET(_xlpm.N,$B$49,_xlpm.R,$B$48,_xlpm.Start,$B$47,_xlpm.PlanWD,AL605,_xlpm.PlanRoth,AM605,_xlpm.PlanConv,AN605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943585.41019608243</v>
      </c>
      <c r="AS605">
        <f>--AND(AK605&lt;=SUM('Retirement Gap'!$B$24:$B$25,'Retirement Gap'!$B$27),AL605+AN605&lt;=$B$47,AM605&lt;='Retirement Gap'!$B$29,ABS(AK605+AL605+AM605-$B$10)&lt;1)</f>
        <v>1</v>
      </c>
      <c r="AT605" cm="1">
        <f t="array" ref="AT605">IF(AS605=0,1E+99,_xlfn.SWITCH(LEFT($E$39,1),"1",AO605,"2",AP605*1000000000+AO605,"3",-AQ605,"4",AO605+AP605*25000+AR605*0.005-AQ605*0.0001,AO605))</f>
        <v>-964577.437147939</v>
      </c>
    </row>
    <row r="606" spans="33:46" x14ac:dyDescent="0.55000000000000004">
      <c r="AG606">
        <f t="shared" si="66"/>
        <v>605</v>
      </c>
      <c r="AH606">
        <f t="shared" si="67"/>
        <v>0.9</v>
      </c>
      <c r="AI606">
        <f t="shared" si="68"/>
        <v>0.1</v>
      </c>
      <c r="AJ606">
        <f t="shared" si="69"/>
        <v>0.8</v>
      </c>
      <c r="AK606">
        <f t="shared" si="70"/>
        <v>5466.9600000000009</v>
      </c>
      <c r="AL606">
        <f t="shared" si="71"/>
        <v>54669.599999999999</v>
      </c>
      <c r="AM606">
        <f>MIN(MAX(0,$B$10-AL606)*AI606,'Retirement Gap'!$B$29)</f>
        <v>607.44000000000017</v>
      </c>
      <c r="AN606">
        <f>IF($E$40="B - Withdrawals + Roth conversions",AJ606*MAX(0,MIN($B$47-AL606,MIN($B$59,IRMAA!$C$16)-(AL606+$B$8*0.85+AK606*$B$46))),0)</f>
        <v>0</v>
      </c>
      <c r="AO606" cm="1">
        <f t="array" ref="AO606">_xlfn.LET(_xlpm.N,$B$49,_xlpm.R,$B$48,_xlpm.Start,$B$47,_xlpm.PlanWD,AL606,_xlpm.PlanRoth,AM606,_xlpm.PlanConv,AN606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41222.32</v>
      </c>
      <c r="AP606" cm="1">
        <f t="array" ref="AP606">_xlfn.LET(_xlpm.N,$B$49,_xlpm.R,$B$48,_xlpm.Start,$B$47,_xlpm.PlanWD,AL606,_xlpm.PlanRoth,AM606,_xlpm.PlanConv,AN606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606" cm="1">
        <f t="array" ref="AQ606">_xlfn.LET(_xlpm.N,$B$49,_xlpm.R,$B$48,_xlpm.Start,$B$47,_xlpm.PlanWD,AL606,_xlpm.PlanRoth,AM606,_xlpm.PlanConv,AN606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964577.437147939</v>
      </c>
      <c r="AR606" cm="1">
        <f t="array" ref="AR606">_xlfn.LET(_xlpm.N,$B$49,_xlpm.R,$B$48,_xlpm.Start,$B$47,_xlpm.PlanWD,AL606,_xlpm.PlanRoth,AM606,_xlpm.PlanConv,AN606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943585.41019608243</v>
      </c>
      <c r="AS606">
        <f>--AND(AK606&lt;=SUM('Retirement Gap'!$B$24:$B$25,'Retirement Gap'!$B$27),AL606+AN606&lt;=$B$47,AM606&lt;='Retirement Gap'!$B$29,ABS(AK606+AL606+AM606-$B$10)&lt;1)</f>
        <v>1</v>
      </c>
      <c r="AT606" cm="1">
        <f t="array" ref="AT606">IF(AS606=0,1E+99,_xlfn.SWITCH(LEFT($E$39,1),"1",AO606,"2",AP606*1000000000+AO606,"3",-AQ606,"4",AO606+AP606*25000+AR606*0.005-AQ606*0.0001,AO606))</f>
        <v>-964577.437147939</v>
      </c>
    </row>
    <row r="607" spans="33:46" x14ac:dyDescent="0.55000000000000004">
      <c r="AG607">
        <f t="shared" si="66"/>
        <v>606</v>
      </c>
      <c r="AH607">
        <f t="shared" si="67"/>
        <v>0.9</v>
      </c>
      <c r="AI607">
        <f t="shared" si="68"/>
        <v>0.1</v>
      </c>
      <c r="AJ607">
        <f t="shared" si="69"/>
        <v>1</v>
      </c>
      <c r="AK607">
        <f t="shared" si="70"/>
        <v>5466.9600000000009</v>
      </c>
      <c r="AL607">
        <f t="shared" si="71"/>
        <v>54669.599999999999</v>
      </c>
      <c r="AM607">
        <f>MIN(MAX(0,$B$10-AL607)*AI607,'Retirement Gap'!$B$29)</f>
        <v>607.44000000000017</v>
      </c>
      <c r="AN607">
        <f>IF($E$40="B - Withdrawals + Roth conversions",AJ607*MAX(0,MIN($B$47-AL607,MIN($B$59,IRMAA!$C$16)-(AL607+$B$8*0.85+AK607*$B$46))),0)</f>
        <v>0</v>
      </c>
      <c r="AO607" cm="1">
        <f t="array" ref="AO607">_xlfn.LET(_xlpm.N,$B$49,_xlpm.R,$B$48,_xlpm.Start,$B$47,_xlpm.PlanWD,AL607,_xlpm.PlanRoth,AM607,_xlpm.PlanConv,AN607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41222.32</v>
      </c>
      <c r="AP607" cm="1">
        <f t="array" ref="AP607">_xlfn.LET(_xlpm.N,$B$49,_xlpm.R,$B$48,_xlpm.Start,$B$47,_xlpm.PlanWD,AL607,_xlpm.PlanRoth,AM607,_xlpm.PlanConv,AN607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607" cm="1">
        <f t="array" ref="AQ607">_xlfn.LET(_xlpm.N,$B$49,_xlpm.R,$B$48,_xlpm.Start,$B$47,_xlpm.PlanWD,AL607,_xlpm.PlanRoth,AM607,_xlpm.PlanConv,AN607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964577.437147939</v>
      </c>
      <c r="AR607" cm="1">
        <f t="array" ref="AR607">_xlfn.LET(_xlpm.N,$B$49,_xlpm.R,$B$48,_xlpm.Start,$B$47,_xlpm.PlanWD,AL607,_xlpm.PlanRoth,AM607,_xlpm.PlanConv,AN607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943585.41019608243</v>
      </c>
      <c r="AS607">
        <f>--AND(AK607&lt;=SUM('Retirement Gap'!$B$24:$B$25,'Retirement Gap'!$B$27),AL607+AN607&lt;=$B$47,AM607&lt;='Retirement Gap'!$B$29,ABS(AK607+AL607+AM607-$B$10)&lt;1)</f>
        <v>1</v>
      </c>
      <c r="AT607" cm="1">
        <f t="array" ref="AT607">IF(AS607=0,1E+99,_xlfn.SWITCH(LEFT($E$39,1),"1",AO607,"2",AP607*1000000000+AO607,"3",-AQ607,"4",AO607+AP607*25000+AR607*0.005-AQ607*0.0001,AO607))</f>
        <v>-964577.437147939</v>
      </c>
    </row>
    <row r="608" spans="33:46" x14ac:dyDescent="0.55000000000000004">
      <c r="AG608">
        <f t="shared" si="66"/>
        <v>607</v>
      </c>
      <c r="AH608">
        <f t="shared" si="67"/>
        <v>0.9</v>
      </c>
      <c r="AI608">
        <f t="shared" si="68"/>
        <v>0.2</v>
      </c>
      <c r="AJ608">
        <f t="shared" si="69"/>
        <v>0</v>
      </c>
      <c r="AK608">
        <f t="shared" si="70"/>
        <v>4859.5200000000013</v>
      </c>
      <c r="AL608">
        <f t="shared" si="71"/>
        <v>54669.599999999999</v>
      </c>
      <c r="AM608">
        <f>MIN(MAX(0,$B$10-AL608)*AI608,'Retirement Gap'!$B$29)</f>
        <v>1214.8800000000003</v>
      </c>
      <c r="AN608">
        <f>IF($E$40="B - Withdrawals + Roth conversions",AJ608*MAX(0,MIN($B$47-AL608,MIN($B$59,IRMAA!$C$16)-(AL608+$B$8*0.85+AK608*$B$46))),0)</f>
        <v>0</v>
      </c>
      <c r="AO608" cm="1">
        <f t="array" ref="AO608">_xlfn.LET(_xlpm.N,$B$49,_xlpm.R,$B$48,_xlpm.Start,$B$47,_xlpm.PlanWD,AL608,_xlpm.PlanRoth,AM608,_xlpm.PlanConv,AN608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41222.32</v>
      </c>
      <c r="AP608" cm="1">
        <f t="array" ref="AP608">_xlfn.LET(_xlpm.N,$B$49,_xlpm.R,$B$48,_xlpm.Start,$B$47,_xlpm.PlanWD,AL608,_xlpm.PlanRoth,AM608,_xlpm.PlanConv,AN608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608" cm="1">
        <f t="array" ref="AQ608">_xlfn.LET(_xlpm.N,$B$49,_xlpm.R,$B$48,_xlpm.Start,$B$47,_xlpm.PlanWD,AL608,_xlpm.PlanRoth,AM608,_xlpm.PlanConv,AN608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964577.437147939</v>
      </c>
      <c r="AR608" cm="1">
        <f t="array" ref="AR608">_xlfn.LET(_xlpm.N,$B$49,_xlpm.R,$B$48,_xlpm.Start,$B$47,_xlpm.PlanWD,AL608,_xlpm.PlanRoth,AM608,_xlpm.PlanConv,AN608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943585.41019608243</v>
      </c>
      <c r="AS608">
        <f>--AND(AK608&lt;=SUM('Retirement Gap'!$B$24:$B$25,'Retirement Gap'!$B$27),AL608+AN608&lt;=$B$47,AM608&lt;='Retirement Gap'!$B$29,ABS(AK608+AL608+AM608-$B$10)&lt;1)</f>
        <v>1</v>
      </c>
      <c r="AT608" cm="1">
        <f t="array" ref="AT608">IF(AS608=0,1E+99,_xlfn.SWITCH(LEFT($E$39,1),"1",AO608,"2",AP608*1000000000+AO608,"3",-AQ608,"4",AO608+AP608*25000+AR608*0.005-AQ608*0.0001,AO608))</f>
        <v>-964577.437147939</v>
      </c>
    </row>
    <row r="609" spans="33:46" x14ac:dyDescent="0.55000000000000004">
      <c r="AG609">
        <f t="shared" si="66"/>
        <v>608</v>
      </c>
      <c r="AH609">
        <f t="shared" si="67"/>
        <v>0.9</v>
      </c>
      <c r="AI609">
        <f t="shared" si="68"/>
        <v>0.2</v>
      </c>
      <c r="AJ609">
        <f t="shared" si="69"/>
        <v>0.2</v>
      </c>
      <c r="AK609">
        <f t="shared" si="70"/>
        <v>4859.5200000000013</v>
      </c>
      <c r="AL609">
        <f t="shared" si="71"/>
        <v>54669.599999999999</v>
      </c>
      <c r="AM609">
        <f>MIN(MAX(0,$B$10-AL609)*AI609,'Retirement Gap'!$B$29)</f>
        <v>1214.8800000000003</v>
      </c>
      <c r="AN609">
        <f>IF($E$40="B - Withdrawals + Roth conversions",AJ609*MAX(0,MIN($B$47-AL609,MIN($B$59,IRMAA!$C$16)-(AL609+$B$8*0.85+AK609*$B$46))),0)</f>
        <v>0</v>
      </c>
      <c r="AO609" cm="1">
        <f t="array" ref="AO609">_xlfn.LET(_xlpm.N,$B$49,_xlpm.R,$B$48,_xlpm.Start,$B$47,_xlpm.PlanWD,AL609,_xlpm.PlanRoth,AM609,_xlpm.PlanConv,AN609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41222.32</v>
      </c>
      <c r="AP609" cm="1">
        <f t="array" ref="AP609">_xlfn.LET(_xlpm.N,$B$49,_xlpm.R,$B$48,_xlpm.Start,$B$47,_xlpm.PlanWD,AL609,_xlpm.PlanRoth,AM609,_xlpm.PlanConv,AN609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609" cm="1">
        <f t="array" ref="AQ609">_xlfn.LET(_xlpm.N,$B$49,_xlpm.R,$B$48,_xlpm.Start,$B$47,_xlpm.PlanWD,AL609,_xlpm.PlanRoth,AM609,_xlpm.PlanConv,AN609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964577.437147939</v>
      </c>
      <c r="AR609" cm="1">
        <f t="array" ref="AR609">_xlfn.LET(_xlpm.N,$B$49,_xlpm.R,$B$48,_xlpm.Start,$B$47,_xlpm.PlanWD,AL609,_xlpm.PlanRoth,AM609,_xlpm.PlanConv,AN609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943585.41019608243</v>
      </c>
      <c r="AS609">
        <f>--AND(AK609&lt;=SUM('Retirement Gap'!$B$24:$B$25,'Retirement Gap'!$B$27),AL609+AN609&lt;=$B$47,AM609&lt;='Retirement Gap'!$B$29,ABS(AK609+AL609+AM609-$B$10)&lt;1)</f>
        <v>1</v>
      </c>
      <c r="AT609" cm="1">
        <f t="array" ref="AT609">IF(AS609=0,1E+99,_xlfn.SWITCH(LEFT($E$39,1),"1",AO609,"2",AP609*1000000000+AO609,"3",-AQ609,"4",AO609+AP609*25000+AR609*0.005-AQ609*0.0001,AO609))</f>
        <v>-964577.437147939</v>
      </c>
    </row>
    <row r="610" spans="33:46" x14ac:dyDescent="0.55000000000000004">
      <c r="AG610">
        <f t="shared" si="66"/>
        <v>609</v>
      </c>
      <c r="AH610">
        <f t="shared" si="67"/>
        <v>0.9</v>
      </c>
      <c r="AI610">
        <f t="shared" si="68"/>
        <v>0.2</v>
      </c>
      <c r="AJ610">
        <f t="shared" si="69"/>
        <v>0.4</v>
      </c>
      <c r="AK610">
        <f t="shared" si="70"/>
        <v>4859.5200000000013</v>
      </c>
      <c r="AL610">
        <f t="shared" si="71"/>
        <v>54669.599999999999</v>
      </c>
      <c r="AM610">
        <f>MIN(MAX(0,$B$10-AL610)*AI610,'Retirement Gap'!$B$29)</f>
        <v>1214.8800000000003</v>
      </c>
      <c r="AN610">
        <f>IF($E$40="B - Withdrawals + Roth conversions",AJ610*MAX(0,MIN($B$47-AL610,MIN($B$59,IRMAA!$C$16)-(AL610+$B$8*0.85+AK610*$B$46))),0)</f>
        <v>0</v>
      </c>
      <c r="AO610" cm="1">
        <f t="array" ref="AO610">_xlfn.LET(_xlpm.N,$B$49,_xlpm.R,$B$48,_xlpm.Start,$B$47,_xlpm.PlanWD,AL610,_xlpm.PlanRoth,AM610,_xlpm.PlanConv,AN610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41222.32</v>
      </c>
      <c r="AP610" cm="1">
        <f t="array" ref="AP610">_xlfn.LET(_xlpm.N,$B$49,_xlpm.R,$B$48,_xlpm.Start,$B$47,_xlpm.PlanWD,AL610,_xlpm.PlanRoth,AM610,_xlpm.PlanConv,AN610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610" cm="1">
        <f t="array" ref="AQ610">_xlfn.LET(_xlpm.N,$B$49,_xlpm.R,$B$48,_xlpm.Start,$B$47,_xlpm.PlanWD,AL610,_xlpm.PlanRoth,AM610,_xlpm.PlanConv,AN610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964577.437147939</v>
      </c>
      <c r="AR610" cm="1">
        <f t="array" ref="AR610">_xlfn.LET(_xlpm.N,$B$49,_xlpm.R,$B$48,_xlpm.Start,$B$47,_xlpm.PlanWD,AL610,_xlpm.PlanRoth,AM610,_xlpm.PlanConv,AN610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943585.41019608243</v>
      </c>
      <c r="AS610">
        <f>--AND(AK610&lt;=SUM('Retirement Gap'!$B$24:$B$25,'Retirement Gap'!$B$27),AL610+AN610&lt;=$B$47,AM610&lt;='Retirement Gap'!$B$29,ABS(AK610+AL610+AM610-$B$10)&lt;1)</f>
        <v>1</v>
      </c>
      <c r="AT610" cm="1">
        <f t="array" ref="AT610">IF(AS610=0,1E+99,_xlfn.SWITCH(LEFT($E$39,1),"1",AO610,"2",AP610*1000000000+AO610,"3",-AQ610,"4",AO610+AP610*25000+AR610*0.005-AQ610*0.0001,AO610))</f>
        <v>-964577.437147939</v>
      </c>
    </row>
    <row r="611" spans="33:46" x14ac:dyDescent="0.55000000000000004">
      <c r="AG611">
        <f t="shared" si="66"/>
        <v>610</v>
      </c>
      <c r="AH611">
        <f t="shared" si="67"/>
        <v>0.9</v>
      </c>
      <c r="AI611">
        <f t="shared" si="68"/>
        <v>0.2</v>
      </c>
      <c r="AJ611">
        <f t="shared" si="69"/>
        <v>0.6</v>
      </c>
      <c r="AK611">
        <f t="shared" si="70"/>
        <v>4859.5200000000013</v>
      </c>
      <c r="AL611">
        <f t="shared" si="71"/>
        <v>54669.599999999999</v>
      </c>
      <c r="AM611">
        <f>MIN(MAX(0,$B$10-AL611)*AI611,'Retirement Gap'!$B$29)</f>
        <v>1214.8800000000003</v>
      </c>
      <c r="AN611">
        <f>IF($E$40="B - Withdrawals + Roth conversions",AJ611*MAX(0,MIN($B$47-AL611,MIN($B$59,IRMAA!$C$16)-(AL611+$B$8*0.85+AK611*$B$46))),0)</f>
        <v>0</v>
      </c>
      <c r="AO611" cm="1">
        <f t="array" ref="AO611">_xlfn.LET(_xlpm.N,$B$49,_xlpm.R,$B$48,_xlpm.Start,$B$47,_xlpm.PlanWD,AL611,_xlpm.PlanRoth,AM611,_xlpm.PlanConv,AN611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41222.32</v>
      </c>
      <c r="AP611" cm="1">
        <f t="array" ref="AP611">_xlfn.LET(_xlpm.N,$B$49,_xlpm.R,$B$48,_xlpm.Start,$B$47,_xlpm.PlanWD,AL611,_xlpm.PlanRoth,AM611,_xlpm.PlanConv,AN611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611" cm="1">
        <f t="array" ref="AQ611">_xlfn.LET(_xlpm.N,$B$49,_xlpm.R,$B$48,_xlpm.Start,$B$47,_xlpm.PlanWD,AL611,_xlpm.PlanRoth,AM611,_xlpm.PlanConv,AN611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964577.437147939</v>
      </c>
      <c r="AR611" cm="1">
        <f t="array" ref="AR611">_xlfn.LET(_xlpm.N,$B$49,_xlpm.R,$B$48,_xlpm.Start,$B$47,_xlpm.PlanWD,AL611,_xlpm.PlanRoth,AM611,_xlpm.PlanConv,AN611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943585.41019608243</v>
      </c>
      <c r="AS611">
        <f>--AND(AK611&lt;=SUM('Retirement Gap'!$B$24:$B$25,'Retirement Gap'!$B$27),AL611+AN611&lt;=$B$47,AM611&lt;='Retirement Gap'!$B$29,ABS(AK611+AL611+AM611-$B$10)&lt;1)</f>
        <v>1</v>
      </c>
      <c r="AT611" cm="1">
        <f t="array" ref="AT611">IF(AS611=0,1E+99,_xlfn.SWITCH(LEFT($E$39,1),"1",AO611,"2",AP611*1000000000+AO611,"3",-AQ611,"4",AO611+AP611*25000+AR611*0.005-AQ611*0.0001,AO611))</f>
        <v>-964577.437147939</v>
      </c>
    </row>
    <row r="612" spans="33:46" x14ac:dyDescent="0.55000000000000004">
      <c r="AG612">
        <f t="shared" si="66"/>
        <v>611</v>
      </c>
      <c r="AH612">
        <f t="shared" si="67"/>
        <v>0.9</v>
      </c>
      <c r="AI612">
        <f t="shared" si="68"/>
        <v>0.2</v>
      </c>
      <c r="AJ612">
        <f t="shared" si="69"/>
        <v>0.8</v>
      </c>
      <c r="AK612">
        <f t="shared" si="70"/>
        <v>4859.5200000000013</v>
      </c>
      <c r="AL612">
        <f t="shared" si="71"/>
        <v>54669.599999999999</v>
      </c>
      <c r="AM612">
        <f>MIN(MAX(0,$B$10-AL612)*AI612,'Retirement Gap'!$B$29)</f>
        <v>1214.8800000000003</v>
      </c>
      <c r="AN612">
        <f>IF($E$40="B - Withdrawals + Roth conversions",AJ612*MAX(0,MIN($B$47-AL612,MIN($B$59,IRMAA!$C$16)-(AL612+$B$8*0.85+AK612*$B$46))),0)</f>
        <v>0</v>
      </c>
      <c r="AO612" cm="1">
        <f t="array" ref="AO612">_xlfn.LET(_xlpm.N,$B$49,_xlpm.R,$B$48,_xlpm.Start,$B$47,_xlpm.PlanWD,AL612,_xlpm.PlanRoth,AM612,_xlpm.PlanConv,AN612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41222.32</v>
      </c>
      <c r="AP612" cm="1">
        <f t="array" ref="AP612">_xlfn.LET(_xlpm.N,$B$49,_xlpm.R,$B$48,_xlpm.Start,$B$47,_xlpm.PlanWD,AL612,_xlpm.PlanRoth,AM612,_xlpm.PlanConv,AN612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612" cm="1">
        <f t="array" ref="AQ612">_xlfn.LET(_xlpm.N,$B$49,_xlpm.R,$B$48,_xlpm.Start,$B$47,_xlpm.PlanWD,AL612,_xlpm.PlanRoth,AM612,_xlpm.PlanConv,AN612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964577.437147939</v>
      </c>
      <c r="AR612" cm="1">
        <f t="array" ref="AR612">_xlfn.LET(_xlpm.N,$B$49,_xlpm.R,$B$48,_xlpm.Start,$B$47,_xlpm.PlanWD,AL612,_xlpm.PlanRoth,AM612,_xlpm.PlanConv,AN612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943585.41019608243</v>
      </c>
      <c r="AS612">
        <f>--AND(AK612&lt;=SUM('Retirement Gap'!$B$24:$B$25,'Retirement Gap'!$B$27),AL612+AN612&lt;=$B$47,AM612&lt;='Retirement Gap'!$B$29,ABS(AK612+AL612+AM612-$B$10)&lt;1)</f>
        <v>1</v>
      </c>
      <c r="AT612" cm="1">
        <f t="array" ref="AT612">IF(AS612=0,1E+99,_xlfn.SWITCH(LEFT($E$39,1),"1",AO612,"2",AP612*1000000000+AO612,"3",-AQ612,"4",AO612+AP612*25000+AR612*0.005-AQ612*0.0001,AO612))</f>
        <v>-964577.437147939</v>
      </c>
    </row>
    <row r="613" spans="33:46" x14ac:dyDescent="0.55000000000000004">
      <c r="AG613">
        <f t="shared" si="66"/>
        <v>612</v>
      </c>
      <c r="AH613">
        <f t="shared" si="67"/>
        <v>0.9</v>
      </c>
      <c r="AI613">
        <f t="shared" si="68"/>
        <v>0.2</v>
      </c>
      <c r="AJ613">
        <f t="shared" si="69"/>
        <v>1</v>
      </c>
      <c r="AK613">
        <f t="shared" si="70"/>
        <v>4859.5200000000013</v>
      </c>
      <c r="AL613">
        <f t="shared" si="71"/>
        <v>54669.599999999999</v>
      </c>
      <c r="AM613">
        <f>MIN(MAX(0,$B$10-AL613)*AI613,'Retirement Gap'!$B$29)</f>
        <v>1214.8800000000003</v>
      </c>
      <c r="AN613">
        <f>IF($E$40="B - Withdrawals + Roth conversions",AJ613*MAX(0,MIN($B$47-AL613,MIN($B$59,IRMAA!$C$16)-(AL613+$B$8*0.85+AK613*$B$46))),0)</f>
        <v>0</v>
      </c>
      <c r="AO613" cm="1">
        <f t="array" ref="AO613">_xlfn.LET(_xlpm.N,$B$49,_xlpm.R,$B$48,_xlpm.Start,$B$47,_xlpm.PlanWD,AL613,_xlpm.PlanRoth,AM613,_xlpm.PlanConv,AN613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41222.32</v>
      </c>
      <c r="AP613" cm="1">
        <f t="array" ref="AP613">_xlfn.LET(_xlpm.N,$B$49,_xlpm.R,$B$48,_xlpm.Start,$B$47,_xlpm.PlanWD,AL613,_xlpm.PlanRoth,AM613,_xlpm.PlanConv,AN613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613" cm="1">
        <f t="array" ref="AQ613">_xlfn.LET(_xlpm.N,$B$49,_xlpm.R,$B$48,_xlpm.Start,$B$47,_xlpm.PlanWD,AL613,_xlpm.PlanRoth,AM613,_xlpm.PlanConv,AN613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964577.437147939</v>
      </c>
      <c r="AR613" cm="1">
        <f t="array" ref="AR613">_xlfn.LET(_xlpm.N,$B$49,_xlpm.R,$B$48,_xlpm.Start,$B$47,_xlpm.PlanWD,AL613,_xlpm.PlanRoth,AM613,_xlpm.PlanConv,AN613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943585.41019608243</v>
      </c>
      <c r="AS613">
        <f>--AND(AK613&lt;=SUM('Retirement Gap'!$B$24:$B$25,'Retirement Gap'!$B$27),AL613+AN613&lt;=$B$47,AM613&lt;='Retirement Gap'!$B$29,ABS(AK613+AL613+AM613-$B$10)&lt;1)</f>
        <v>1</v>
      </c>
      <c r="AT613" cm="1">
        <f t="array" ref="AT613">IF(AS613=0,1E+99,_xlfn.SWITCH(LEFT($E$39,1),"1",AO613,"2",AP613*1000000000+AO613,"3",-AQ613,"4",AO613+AP613*25000+AR613*0.005-AQ613*0.0001,AO613))</f>
        <v>-964577.437147939</v>
      </c>
    </row>
    <row r="614" spans="33:46" x14ac:dyDescent="0.55000000000000004">
      <c r="AG614">
        <f t="shared" si="66"/>
        <v>613</v>
      </c>
      <c r="AH614">
        <f t="shared" si="67"/>
        <v>0.9</v>
      </c>
      <c r="AI614">
        <f t="shared" si="68"/>
        <v>0.3</v>
      </c>
      <c r="AJ614">
        <f t="shared" si="69"/>
        <v>0</v>
      </c>
      <c r="AK614">
        <f t="shared" si="70"/>
        <v>4252.0800000000008</v>
      </c>
      <c r="AL614">
        <f t="shared" si="71"/>
        <v>54669.599999999999</v>
      </c>
      <c r="AM614">
        <f>MIN(MAX(0,$B$10-AL614)*AI614,'Retirement Gap'!$B$29)</f>
        <v>1822.3200000000004</v>
      </c>
      <c r="AN614">
        <f>IF($E$40="B - Withdrawals + Roth conversions",AJ614*MAX(0,MIN($B$47-AL614,MIN($B$59,IRMAA!$C$16)-(AL614+$B$8*0.85+AK614*$B$46))),0)</f>
        <v>0</v>
      </c>
      <c r="AO614" cm="1">
        <f t="array" ref="AO614">_xlfn.LET(_xlpm.N,$B$49,_xlpm.R,$B$48,_xlpm.Start,$B$47,_xlpm.PlanWD,AL614,_xlpm.PlanRoth,AM614,_xlpm.PlanConv,AN614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41222.32</v>
      </c>
      <c r="AP614" cm="1">
        <f t="array" ref="AP614">_xlfn.LET(_xlpm.N,$B$49,_xlpm.R,$B$48,_xlpm.Start,$B$47,_xlpm.PlanWD,AL614,_xlpm.PlanRoth,AM614,_xlpm.PlanConv,AN614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614" cm="1">
        <f t="array" ref="AQ614">_xlfn.LET(_xlpm.N,$B$49,_xlpm.R,$B$48,_xlpm.Start,$B$47,_xlpm.PlanWD,AL614,_xlpm.PlanRoth,AM614,_xlpm.PlanConv,AN614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964577.437147939</v>
      </c>
      <c r="AR614" cm="1">
        <f t="array" ref="AR614">_xlfn.LET(_xlpm.N,$B$49,_xlpm.R,$B$48,_xlpm.Start,$B$47,_xlpm.PlanWD,AL614,_xlpm.PlanRoth,AM614,_xlpm.PlanConv,AN614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943585.41019608243</v>
      </c>
      <c r="AS614">
        <f>--AND(AK614&lt;=SUM('Retirement Gap'!$B$24:$B$25,'Retirement Gap'!$B$27),AL614+AN614&lt;=$B$47,AM614&lt;='Retirement Gap'!$B$29,ABS(AK614+AL614+AM614-$B$10)&lt;1)</f>
        <v>1</v>
      </c>
      <c r="AT614" cm="1">
        <f t="array" ref="AT614">IF(AS614=0,1E+99,_xlfn.SWITCH(LEFT($E$39,1),"1",AO614,"2",AP614*1000000000+AO614,"3",-AQ614,"4",AO614+AP614*25000+AR614*0.005-AQ614*0.0001,AO614))</f>
        <v>-964577.437147939</v>
      </c>
    </row>
    <row r="615" spans="33:46" x14ac:dyDescent="0.55000000000000004">
      <c r="AG615">
        <f t="shared" si="66"/>
        <v>614</v>
      </c>
      <c r="AH615">
        <f t="shared" si="67"/>
        <v>0.9</v>
      </c>
      <c r="AI615">
        <f t="shared" si="68"/>
        <v>0.3</v>
      </c>
      <c r="AJ615">
        <f t="shared" si="69"/>
        <v>0.2</v>
      </c>
      <c r="AK615">
        <f t="shared" si="70"/>
        <v>4252.0800000000008</v>
      </c>
      <c r="AL615">
        <f t="shared" si="71"/>
        <v>54669.599999999999</v>
      </c>
      <c r="AM615">
        <f>MIN(MAX(0,$B$10-AL615)*AI615,'Retirement Gap'!$B$29)</f>
        <v>1822.3200000000004</v>
      </c>
      <c r="AN615">
        <f>IF($E$40="B - Withdrawals + Roth conversions",AJ615*MAX(0,MIN($B$47-AL615,MIN($B$59,IRMAA!$C$16)-(AL615+$B$8*0.85+AK615*$B$46))),0)</f>
        <v>0</v>
      </c>
      <c r="AO615" cm="1">
        <f t="array" ref="AO615">_xlfn.LET(_xlpm.N,$B$49,_xlpm.R,$B$48,_xlpm.Start,$B$47,_xlpm.PlanWD,AL615,_xlpm.PlanRoth,AM615,_xlpm.PlanConv,AN615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41222.32</v>
      </c>
      <c r="AP615" cm="1">
        <f t="array" ref="AP615">_xlfn.LET(_xlpm.N,$B$49,_xlpm.R,$B$48,_xlpm.Start,$B$47,_xlpm.PlanWD,AL615,_xlpm.PlanRoth,AM615,_xlpm.PlanConv,AN615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615" cm="1">
        <f t="array" ref="AQ615">_xlfn.LET(_xlpm.N,$B$49,_xlpm.R,$B$48,_xlpm.Start,$B$47,_xlpm.PlanWD,AL615,_xlpm.PlanRoth,AM615,_xlpm.PlanConv,AN615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964577.437147939</v>
      </c>
      <c r="AR615" cm="1">
        <f t="array" ref="AR615">_xlfn.LET(_xlpm.N,$B$49,_xlpm.R,$B$48,_xlpm.Start,$B$47,_xlpm.PlanWD,AL615,_xlpm.PlanRoth,AM615,_xlpm.PlanConv,AN615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943585.41019608243</v>
      </c>
      <c r="AS615">
        <f>--AND(AK615&lt;=SUM('Retirement Gap'!$B$24:$B$25,'Retirement Gap'!$B$27),AL615+AN615&lt;=$B$47,AM615&lt;='Retirement Gap'!$B$29,ABS(AK615+AL615+AM615-$B$10)&lt;1)</f>
        <v>1</v>
      </c>
      <c r="AT615" cm="1">
        <f t="array" ref="AT615">IF(AS615=0,1E+99,_xlfn.SWITCH(LEFT($E$39,1),"1",AO615,"2",AP615*1000000000+AO615,"3",-AQ615,"4",AO615+AP615*25000+AR615*0.005-AQ615*0.0001,AO615))</f>
        <v>-964577.437147939</v>
      </c>
    </row>
    <row r="616" spans="33:46" x14ac:dyDescent="0.55000000000000004">
      <c r="AG616">
        <f t="shared" si="66"/>
        <v>615</v>
      </c>
      <c r="AH616">
        <f t="shared" si="67"/>
        <v>0.9</v>
      </c>
      <c r="AI616">
        <f t="shared" si="68"/>
        <v>0.3</v>
      </c>
      <c r="AJ616">
        <f t="shared" si="69"/>
        <v>0.4</v>
      </c>
      <c r="AK616">
        <f t="shared" si="70"/>
        <v>4252.0800000000008</v>
      </c>
      <c r="AL616">
        <f t="shared" si="71"/>
        <v>54669.599999999999</v>
      </c>
      <c r="AM616">
        <f>MIN(MAX(0,$B$10-AL616)*AI616,'Retirement Gap'!$B$29)</f>
        <v>1822.3200000000004</v>
      </c>
      <c r="AN616">
        <f>IF($E$40="B - Withdrawals + Roth conversions",AJ616*MAX(0,MIN($B$47-AL616,MIN($B$59,IRMAA!$C$16)-(AL616+$B$8*0.85+AK616*$B$46))),0)</f>
        <v>0</v>
      </c>
      <c r="AO616" cm="1">
        <f t="array" ref="AO616">_xlfn.LET(_xlpm.N,$B$49,_xlpm.R,$B$48,_xlpm.Start,$B$47,_xlpm.PlanWD,AL616,_xlpm.PlanRoth,AM616,_xlpm.PlanConv,AN616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41222.32</v>
      </c>
      <c r="AP616" cm="1">
        <f t="array" ref="AP616">_xlfn.LET(_xlpm.N,$B$49,_xlpm.R,$B$48,_xlpm.Start,$B$47,_xlpm.PlanWD,AL616,_xlpm.PlanRoth,AM616,_xlpm.PlanConv,AN616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616" cm="1">
        <f t="array" ref="AQ616">_xlfn.LET(_xlpm.N,$B$49,_xlpm.R,$B$48,_xlpm.Start,$B$47,_xlpm.PlanWD,AL616,_xlpm.PlanRoth,AM616,_xlpm.PlanConv,AN616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964577.437147939</v>
      </c>
      <c r="AR616" cm="1">
        <f t="array" ref="AR616">_xlfn.LET(_xlpm.N,$B$49,_xlpm.R,$B$48,_xlpm.Start,$B$47,_xlpm.PlanWD,AL616,_xlpm.PlanRoth,AM616,_xlpm.PlanConv,AN616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943585.41019608243</v>
      </c>
      <c r="AS616">
        <f>--AND(AK616&lt;=SUM('Retirement Gap'!$B$24:$B$25,'Retirement Gap'!$B$27),AL616+AN616&lt;=$B$47,AM616&lt;='Retirement Gap'!$B$29,ABS(AK616+AL616+AM616-$B$10)&lt;1)</f>
        <v>1</v>
      </c>
      <c r="AT616" cm="1">
        <f t="array" ref="AT616">IF(AS616=0,1E+99,_xlfn.SWITCH(LEFT($E$39,1),"1",AO616,"2",AP616*1000000000+AO616,"3",-AQ616,"4",AO616+AP616*25000+AR616*0.005-AQ616*0.0001,AO616))</f>
        <v>-964577.437147939</v>
      </c>
    </row>
    <row r="617" spans="33:46" x14ac:dyDescent="0.55000000000000004">
      <c r="AG617">
        <f t="shared" si="66"/>
        <v>616</v>
      </c>
      <c r="AH617">
        <f t="shared" si="67"/>
        <v>0.9</v>
      </c>
      <c r="AI617">
        <f t="shared" si="68"/>
        <v>0.3</v>
      </c>
      <c r="AJ617">
        <f t="shared" si="69"/>
        <v>0.6</v>
      </c>
      <c r="AK617">
        <f t="shared" si="70"/>
        <v>4252.0800000000008</v>
      </c>
      <c r="AL617">
        <f t="shared" si="71"/>
        <v>54669.599999999999</v>
      </c>
      <c r="AM617">
        <f>MIN(MAX(0,$B$10-AL617)*AI617,'Retirement Gap'!$B$29)</f>
        <v>1822.3200000000004</v>
      </c>
      <c r="AN617">
        <f>IF($E$40="B - Withdrawals + Roth conversions",AJ617*MAX(0,MIN($B$47-AL617,MIN($B$59,IRMAA!$C$16)-(AL617+$B$8*0.85+AK617*$B$46))),0)</f>
        <v>0</v>
      </c>
      <c r="AO617" cm="1">
        <f t="array" ref="AO617">_xlfn.LET(_xlpm.N,$B$49,_xlpm.R,$B$48,_xlpm.Start,$B$47,_xlpm.PlanWD,AL617,_xlpm.PlanRoth,AM617,_xlpm.PlanConv,AN617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41222.32</v>
      </c>
      <c r="AP617" cm="1">
        <f t="array" ref="AP617">_xlfn.LET(_xlpm.N,$B$49,_xlpm.R,$B$48,_xlpm.Start,$B$47,_xlpm.PlanWD,AL617,_xlpm.PlanRoth,AM617,_xlpm.PlanConv,AN617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617" cm="1">
        <f t="array" ref="AQ617">_xlfn.LET(_xlpm.N,$B$49,_xlpm.R,$B$48,_xlpm.Start,$B$47,_xlpm.PlanWD,AL617,_xlpm.PlanRoth,AM617,_xlpm.PlanConv,AN617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964577.437147939</v>
      </c>
      <c r="AR617" cm="1">
        <f t="array" ref="AR617">_xlfn.LET(_xlpm.N,$B$49,_xlpm.R,$B$48,_xlpm.Start,$B$47,_xlpm.PlanWD,AL617,_xlpm.PlanRoth,AM617,_xlpm.PlanConv,AN617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943585.41019608243</v>
      </c>
      <c r="AS617">
        <f>--AND(AK617&lt;=SUM('Retirement Gap'!$B$24:$B$25,'Retirement Gap'!$B$27),AL617+AN617&lt;=$B$47,AM617&lt;='Retirement Gap'!$B$29,ABS(AK617+AL617+AM617-$B$10)&lt;1)</f>
        <v>1</v>
      </c>
      <c r="AT617" cm="1">
        <f t="array" ref="AT617">IF(AS617=0,1E+99,_xlfn.SWITCH(LEFT($E$39,1),"1",AO617,"2",AP617*1000000000+AO617,"3",-AQ617,"4",AO617+AP617*25000+AR617*0.005-AQ617*0.0001,AO617))</f>
        <v>-964577.437147939</v>
      </c>
    </row>
    <row r="618" spans="33:46" x14ac:dyDescent="0.55000000000000004">
      <c r="AG618">
        <f t="shared" si="66"/>
        <v>617</v>
      </c>
      <c r="AH618">
        <f t="shared" si="67"/>
        <v>0.9</v>
      </c>
      <c r="AI618">
        <f t="shared" si="68"/>
        <v>0.3</v>
      </c>
      <c r="AJ618">
        <f t="shared" si="69"/>
        <v>0.8</v>
      </c>
      <c r="AK618">
        <f t="shared" si="70"/>
        <v>4252.0800000000008</v>
      </c>
      <c r="AL618">
        <f t="shared" si="71"/>
        <v>54669.599999999999</v>
      </c>
      <c r="AM618">
        <f>MIN(MAX(0,$B$10-AL618)*AI618,'Retirement Gap'!$B$29)</f>
        <v>1822.3200000000004</v>
      </c>
      <c r="AN618">
        <f>IF($E$40="B - Withdrawals + Roth conversions",AJ618*MAX(0,MIN($B$47-AL618,MIN($B$59,IRMAA!$C$16)-(AL618+$B$8*0.85+AK618*$B$46))),0)</f>
        <v>0</v>
      </c>
      <c r="AO618" cm="1">
        <f t="array" ref="AO618">_xlfn.LET(_xlpm.N,$B$49,_xlpm.R,$B$48,_xlpm.Start,$B$47,_xlpm.PlanWD,AL618,_xlpm.PlanRoth,AM618,_xlpm.PlanConv,AN618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41222.32</v>
      </c>
      <c r="AP618" cm="1">
        <f t="array" ref="AP618">_xlfn.LET(_xlpm.N,$B$49,_xlpm.R,$B$48,_xlpm.Start,$B$47,_xlpm.PlanWD,AL618,_xlpm.PlanRoth,AM618,_xlpm.PlanConv,AN618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618" cm="1">
        <f t="array" ref="AQ618">_xlfn.LET(_xlpm.N,$B$49,_xlpm.R,$B$48,_xlpm.Start,$B$47,_xlpm.PlanWD,AL618,_xlpm.PlanRoth,AM618,_xlpm.PlanConv,AN618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964577.437147939</v>
      </c>
      <c r="AR618" cm="1">
        <f t="array" ref="AR618">_xlfn.LET(_xlpm.N,$B$49,_xlpm.R,$B$48,_xlpm.Start,$B$47,_xlpm.PlanWD,AL618,_xlpm.PlanRoth,AM618,_xlpm.PlanConv,AN618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943585.41019608243</v>
      </c>
      <c r="AS618">
        <f>--AND(AK618&lt;=SUM('Retirement Gap'!$B$24:$B$25,'Retirement Gap'!$B$27),AL618+AN618&lt;=$B$47,AM618&lt;='Retirement Gap'!$B$29,ABS(AK618+AL618+AM618-$B$10)&lt;1)</f>
        <v>1</v>
      </c>
      <c r="AT618" cm="1">
        <f t="array" ref="AT618">IF(AS618=0,1E+99,_xlfn.SWITCH(LEFT($E$39,1),"1",AO618,"2",AP618*1000000000+AO618,"3",-AQ618,"4",AO618+AP618*25000+AR618*0.005-AQ618*0.0001,AO618))</f>
        <v>-964577.437147939</v>
      </c>
    </row>
    <row r="619" spans="33:46" x14ac:dyDescent="0.55000000000000004">
      <c r="AG619">
        <f t="shared" si="66"/>
        <v>618</v>
      </c>
      <c r="AH619">
        <f t="shared" si="67"/>
        <v>0.9</v>
      </c>
      <c r="AI619">
        <f t="shared" si="68"/>
        <v>0.3</v>
      </c>
      <c r="AJ619">
        <f t="shared" si="69"/>
        <v>1</v>
      </c>
      <c r="AK619">
        <f t="shared" si="70"/>
        <v>4252.0800000000008</v>
      </c>
      <c r="AL619">
        <f t="shared" si="71"/>
        <v>54669.599999999999</v>
      </c>
      <c r="AM619">
        <f>MIN(MAX(0,$B$10-AL619)*AI619,'Retirement Gap'!$B$29)</f>
        <v>1822.3200000000004</v>
      </c>
      <c r="AN619">
        <f>IF($E$40="B - Withdrawals + Roth conversions",AJ619*MAX(0,MIN($B$47-AL619,MIN($B$59,IRMAA!$C$16)-(AL619+$B$8*0.85+AK619*$B$46))),0)</f>
        <v>0</v>
      </c>
      <c r="AO619" cm="1">
        <f t="array" ref="AO619">_xlfn.LET(_xlpm.N,$B$49,_xlpm.R,$B$48,_xlpm.Start,$B$47,_xlpm.PlanWD,AL619,_xlpm.PlanRoth,AM619,_xlpm.PlanConv,AN619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41222.32</v>
      </c>
      <c r="AP619" cm="1">
        <f t="array" ref="AP619">_xlfn.LET(_xlpm.N,$B$49,_xlpm.R,$B$48,_xlpm.Start,$B$47,_xlpm.PlanWD,AL619,_xlpm.PlanRoth,AM619,_xlpm.PlanConv,AN619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619" cm="1">
        <f t="array" ref="AQ619">_xlfn.LET(_xlpm.N,$B$49,_xlpm.R,$B$48,_xlpm.Start,$B$47,_xlpm.PlanWD,AL619,_xlpm.PlanRoth,AM619,_xlpm.PlanConv,AN619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964577.437147939</v>
      </c>
      <c r="AR619" cm="1">
        <f t="array" ref="AR619">_xlfn.LET(_xlpm.N,$B$49,_xlpm.R,$B$48,_xlpm.Start,$B$47,_xlpm.PlanWD,AL619,_xlpm.PlanRoth,AM619,_xlpm.PlanConv,AN619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943585.41019608243</v>
      </c>
      <c r="AS619">
        <f>--AND(AK619&lt;=SUM('Retirement Gap'!$B$24:$B$25,'Retirement Gap'!$B$27),AL619+AN619&lt;=$B$47,AM619&lt;='Retirement Gap'!$B$29,ABS(AK619+AL619+AM619-$B$10)&lt;1)</f>
        <v>1</v>
      </c>
      <c r="AT619" cm="1">
        <f t="array" ref="AT619">IF(AS619=0,1E+99,_xlfn.SWITCH(LEFT($E$39,1),"1",AO619,"2",AP619*1000000000+AO619,"3",-AQ619,"4",AO619+AP619*25000+AR619*0.005-AQ619*0.0001,AO619))</f>
        <v>-964577.437147939</v>
      </c>
    </row>
    <row r="620" spans="33:46" x14ac:dyDescent="0.55000000000000004">
      <c r="AG620">
        <f t="shared" si="66"/>
        <v>619</v>
      </c>
      <c r="AH620">
        <f t="shared" si="67"/>
        <v>0.9</v>
      </c>
      <c r="AI620">
        <f t="shared" si="68"/>
        <v>0.4</v>
      </c>
      <c r="AJ620">
        <f t="shared" si="69"/>
        <v>0</v>
      </c>
      <c r="AK620">
        <f t="shared" si="70"/>
        <v>3644.6400000000008</v>
      </c>
      <c r="AL620">
        <f t="shared" si="71"/>
        <v>54669.599999999999</v>
      </c>
      <c r="AM620">
        <f>MIN(MAX(0,$B$10-AL620)*AI620,'Retirement Gap'!$B$29)</f>
        <v>2429.7600000000007</v>
      </c>
      <c r="AN620">
        <f>IF($E$40="B - Withdrawals + Roth conversions",AJ620*MAX(0,MIN($B$47-AL620,MIN($B$59,IRMAA!$C$16)-(AL620+$B$8*0.85+AK620*$B$46))),0)</f>
        <v>0</v>
      </c>
      <c r="AO620" cm="1">
        <f t="array" ref="AO620">_xlfn.LET(_xlpm.N,$B$49,_xlpm.R,$B$48,_xlpm.Start,$B$47,_xlpm.PlanWD,AL620,_xlpm.PlanRoth,AM620,_xlpm.PlanConv,AN620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41222.32</v>
      </c>
      <c r="AP620" cm="1">
        <f t="array" ref="AP620">_xlfn.LET(_xlpm.N,$B$49,_xlpm.R,$B$48,_xlpm.Start,$B$47,_xlpm.PlanWD,AL620,_xlpm.PlanRoth,AM620,_xlpm.PlanConv,AN620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620" cm="1">
        <f t="array" ref="AQ620">_xlfn.LET(_xlpm.N,$B$49,_xlpm.R,$B$48,_xlpm.Start,$B$47,_xlpm.PlanWD,AL620,_xlpm.PlanRoth,AM620,_xlpm.PlanConv,AN620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964577.437147939</v>
      </c>
      <c r="AR620" cm="1">
        <f t="array" ref="AR620">_xlfn.LET(_xlpm.N,$B$49,_xlpm.R,$B$48,_xlpm.Start,$B$47,_xlpm.PlanWD,AL620,_xlpm.PlanRoth,AM620,_xlpm.PlanConv,AN620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943585.41019608243</v>
      </c>
      <c r="AS620">
        <f>--AND(AK620&lt;=SUM('Retirement Gap'!$B$24:$B$25,'Retirement Gap'!$B$27),AL620+AN620&lt;=$B$47,AM620&lt;='Retirement Gap'!$B$29,ABS(AK620+AL620+AM620-$B$10)&lt;1)</f>
        <v>1</v>
      </c>
      <c r="AT620" cm="1">
        <f t="array" ref="AT620">IF(AS620=0,1E+99,_xlfn.SWITCH(LEFT($E$39,1),"1",AO620,"2",AP620*1000000000+AO620,"3",-AQ620,"4",AO620+AP620*25000+AR620*0.005-AQ620*0.0001,AO620))</f>
        <v>-964577.437147939</v>
      </c>
    </row>
    <row r="621" spans="33:46" x14ac:dyDescent="0.55000000000000004">
      <c r="AG621">
        <f t="shared" si="66"/>
        <v>620</v>
      </c>
      <c r="AH621">
        <f t="shared" si="67"/>
        <v>0.9</v>
      </c>
      <c r="AI621">
        <f t="shared" si="68"/>
        <v>0.4</v>
      </c>
      <c r="AJ621">
        <f t="shared" si="69"/>
        <v>0.2</v>
      </c>
      <c r="AK621">
        <f t="shared" si="70"/>
        <v>3644.6400000000008</v>
      </c>
      <c r="AL621">
        <f t="shared" si="71"/>
        <v>54669.599999999999</v>
      </c>
      <c r="AM621">
        <f>MIN(MAX(0,$B$10-AL621)*AI621,'Retirement Gap'!$B$29)</f>
        <v>2429.7600000000007</v>
      </c>
      <c r="AN621">
        <f>IF($E$40="B - Withdrawals + Roth conversions",AJ621*MAX(0,MIN($B$47-AL621,MIN($B$59,IRMAA!$C$16)-(AL621+$B$8*0.85+AK621*$B$46))),0)</f>
        <v>0</v>
      </c>
      <c r="AO621" cm="1">
        <f t="array" ref="AO621">_xlfn.LET(_xlpm.N,$B$49,_xlpm.R,$B$48,_xlpm.Start,$B$47,_xlpm.PlanWD,AL621,_xlpm.PlanRoth,AM621,_xlpm.PlanConv,AN621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41222.32</v>
      </c>
      <c r="AP621" cm="1">
        <f t="array" ref="AP621">_xlfn.LET(_xlpm.N,$B$49,_xlpm.R,$B$48,_xlpm.Start,$B$47,_xlpm.PlanWD,AL621,_xlpm.PlanRoth,AM621,_xlpm.PlanConv,AN621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621" cm="1">
        <f t="array" ref="AQ621">_xlfn.LET(_xlpm.N,$B$49,_xlpm.R,$B$48,_xlpm.Start,$B$47,_xlpm.PlanWD,AL621,_xlpm.PlanRoth,AM621,_xlpm.PlanConv,AN621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964577.437147939</v>
      </c>
      <c r="AR621" cm="1">
        <f t="array" ref="AR621">_xlfn.LET(_xlpm.N,$B$49,_xlpm.R,$B$48,_xlpm.Start,$B$47,_xlpm.PlanWD,AL621,_xlpm.PlanRoth,AM621,_xlpm.PlanConv,AN621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943585.41019608243</v>
      </c>
      <c r="AS621">
        <f>--AND(AK621&lt;=SUM('Retirement Gap'!$B$24:$B$25,'Retirement Gap'!$B$27),AL621+AN621&lt;=$B$47,AM621&lt;='Retirement Gap'!$B$29,ABS(AK621+AL621+AM621-$B$10)&lt;1)</f>
        <v>1</v>
      </c>
      <c r="AT621" cm="1">
        <f t="array" ref="AT621">IF(AS621=0,1E+99,_xlfn.SWITCH(LEFT($E$39,1),"1",AO621,"2",AP621*1000000000+AO621,"3",-AQ621,"4",AO621+AP621*25000+AR621*0.005-AQ621*0.0001,AO621))</f>
        <v>-964577.437147939</v>
      </c>
    </row>
    <row r="622" spans="33:46" x14ac:dyDescent="0.55000000000000004">
      <c r="AG622">
        <f t="shared" si="66"/>
        <v>621</v>
      </c>
      <c r="AH622">
        <f t="shared" si="67"/>
        <v>0.9</v>
      </c>
      <c r="AI622">
        <f t="shared" si="68"/>
        <v>0.4</v>
      </c>
      <c r="AJ622">
        <f t="shared" si="69"/>
        <v>0.4</v>
      </c>
      <c r="AK622">
        <f t="shared" si="70"/>
        <v>3644.6400000000008</v>
      </c>
      <c r="AL622">
        <f t="shared" si="71"/>
        <v>54669.599999999999</v>
      </c>
      <c r="AM622">
        <f>MIN(MAX(0,$B$10-AL622)*AI622,'Retirement Gap'!$B$29)</f>
        <v>2429.7600000000007</v>
      </c>
      <c r="AN622">
        <f>IF($E$40="B - Withdrawals + Roth conversions",AJ622*MAX(0,MIN($B$47-AL622,MIN($B$59,IRMAA!$C$16)-(AL622+$B$8*0.85+AK622*$B$46))),0)</f>
        <v>0</v>
      </c>
      <c r="AO622" cm="1">
        <f t="array" ref="AO622">_xlfn.LET(_xlpm.N,$B$49,_xlpm.R,$B$48,_xlpm.Start,$B$47,_xlpm.PlanWD,AL622,_xlpm.PlanRoth,AM622,_xlpm.PlanConv,AN622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41222.32</v>
      </c>
      <c r="AP622" cm="1">
        <f t="array" ref="AP622">_xlfn.LET(_xlpm.N,$B$49,_xlpm.R,$B$48,_xlpm.Start,$B$47,_xlpm.PlanWD,AL622,_xlpm.PlanRoth,AM622,_xlpm.PlanConv,AN622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622" cm="1">
        <f t="array" ref="AQ622">_xlfn.LET(_xlpm.N,$B$49,_xlpm.R,$B$48,_xlpm.Start,$B$47,_xlpm.PlanWD,AL622,_xlpm.PlanRoth,AM622,_xlpm.PlanConv,AN622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964577.437147939</v>
      </c>
      <c r="AR622" cm="1">
        <f t="array" ref="AR622">_xlfn.LET(_xlpm.N,$B$49,_xlpm.R,$B$48,_xlpm.Start,$B$47,_xlpm.PlanWD,AL622,_xlpm.PlanRoth,AM622,_xlpm.PlanConv,AN622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943585.41019608243</v>
      </c>
      <c r="AS622">
        <f>--AND(AK622&lt;=SUM('Retirement Gap'!$B$24:$B$25,'Retirement Gap'!$B$27),AL622+AN622&lt;=$B$47,AM622&lt;='Retirement Gap'!$B$29,ABS(AK622+AL622+AM622-$B$10)&lt;1)</f>
        <v>1</v>
      </c>
      <c r="AT622" cm="1">
        <f t="array" ref="AT622">IF(AS622=0,1E+99,_xlfn.SWITCH(LEFT($E$39,1),"1",AO622,"2",AP622*1000000000+AO622,"3",-AQ622,"4",AO622+AP622*25000+AR622*0.005-AQ622*0.0001,AO622))</f>
        <v>-964577.437147939</v>
      </c>
    </row>
    <row r="623" spans="33:46" x14ac:dyDescent="0.55000000000000004">
      <c r="AG623">
        <f t="shared" si="66"/>
        <v>622</v>
      </c>
      <c r="AH623">
        <f t="shared" si="67"/>
        <v>0.9</v>
      </c>
      <c r="AI623">
        <f t="shared" si="68"/>
        <v>0.4</v>
      </c>
      <c r="AJ623">
        <f t="shared" si="69"/>
        <v>0.6</v>
      </c>
      <c r="AK623">
        <f t="shared" si="70"/>
        <v>3644.6400000000008</v>
      </c>
      <c r="AL623">
        <f t="shared" si="71"/>
        <v>54669.599999999999</v>
      </c>
      <c r="AM623">
        <f>MIN(MAX(0,$B$10-AL623)*AI623,'Retirement Gap'!$B$29)</f>
        <v>2429.7600000000007</v>
      </c>
      <c r="AN623">
        <f>IF($E$40="B - Withdrawals + Roth conversions",AJ623*MAX(0,MIN($B$47-AL623,MIN($B$59,IRMAA!$C$16)-(AL623+$B$8*0.85+AK623*$B$46))),0)</f>
        <v>0</v>
      </c>
      <c r="AO623" cm="1">
        <f t="array" ref="AO623">_xlfn.LET(_xlpm.N,$B$49,_xlpm.R,$B$48,_xlpm.Start,$B$47,_xlpm.PlanWD,AL623,_xlpm.PlanRoth,AM623,_xlpm.PlanConv,AN623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41222.32</v>
      </c>
      <c r="AP623" cm="1">
        <f t="array" ref="AP623">_xlfn.LET(_xlpm.N,$B$49,_xlpm.R,$B$48,_xlpm.Start,$B$47,_xlpm.PlanWD,AL623,_xlpm.PlanRoth,AM623,_xlpm.PlanConv,AN623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623" cm="1">
        <f t="array" ref="AQ623">_xlfn.LET(_xlpm.N,$B$49,_xlpm.R,$B$48,_xlpm.Start,$B$47,_xlpm.PlanWD,AL623,_xlpm.PlanRoth,AM623,_xlpm.PlanConv,AN623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964577.437147939</v>
      </c>
      <c r="AR623" cm="1">
        <f t="array" ref="AR623">_xlfn.LET(_xlpm.N,$B$49,_xlpm.R,$B$48,_xlpm.Start,$B$47,_xlpm.PlanWD,AL623,_xlpm.PlanRoth,AM623,_xlpm.PlanConv,AN623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943585.41019608243</v>
      </c>
      <c r="AS623">
        <f>--AND(AK623&lt;=SUM('Retirement Gap'!$B$24:$B$25,'Retirement Gap'!$B$27),AL623+AN623&lt;=$B$47,AM623&lt;='Retirement Gap'!$B$29,ABS(AK623+AL623+AM623-$B$10)&lt;1)</f>
        <v>1</v>
      </c>
      <c r="AT623" cm="1">
        <f t="array" ref="AT623">IF(AS623=0,1E+99,_xlfn.SWITCH(LEFT($E$39,1),"1",AO623,"2",AP623*1000000000+AO623,"3",-AQ623,"4",AO623+AP623*25000+AR623*0.005-AQ623*0.0001,AO623))</f>
        <v>-964577.437147939</v>
      </c>
    </row>
    <row r="624" spans="33:46" x14ac:dyDescent="0.55000000000000004">
      <c r="AG624">
        <f t="shared" si="66"/>
        <v>623</v>
      </c>
      <c r="AH624">
        <f t="shared" si="67"/>
        <v>0.9</v>
      </c>
      <c r="AI624">
        <f t="shared" si="68"/>
        <v>0.4</v>
      </c>
      <c r="AJ624">
        <f t="shared" si="69"/>
        <v>0.8</v>
      </c>
      <c r="AK624">
        <f t="shared" si="70"/>
        <v>3644.6400000000008</v>
      </c>
      <c r="AL624">
        <f t="shared" si="71"/>
        <v>54669.599999999999</v>
      </c>
      <c r="AM624">
        <f>MIN(MAX(0,$B$10-AL624)*AI624,'Retirement Gap'!$B$29)</f>
        <v>2429.7600000000007</v>
      </c>
      <c r="AN624">
        <f>IF($E$40="B - Withdrawals + Roth conversions",AJ624*MAX(0,MIN($B$47-AL624,MIN($B$59,IRMAA!$C$16)-(AL624+$B$8*0.85+AK624*$B$46))),0)</f>
        <v>0</v>
      </c>
      <c r="AO624" cm="1">
        <f t="array" ref="AO624">_xlfn.LET(_xlpm.N,$B$49,_xlpm.R,$B$48,_xlpm.Start,$B$47,_xlpm.PlanWD,AL624,_xlpm.PlanRoth,AM624,_xlpm.PlanConv,AN624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41222.32</v>
      </c>
      <c r="AP624" cm="1">
        <f t="array" ref="AP624">_xlfn.LET(_xlpm.N,$B$49,_xlpm.R,$B$48,_xlpm.Start,$B$47,_xlpm.PlanWD,AL624,_xlpm.PlanRoth,AM624,_xlpm.PlanConv,AN624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624" cm="1">
        <f t="array" ref="AQ624">_xlfn.LET(_xlpm.N,$B$49,_xlpm.R,$B$48,_xlpm.Start,$B$47,_xlpm.PlanWD,AL624,_xlpm.PlanRoth,AM624,_xlpm.PlanConv,AN624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964577.437147939</v>
      </c>
      <c r="AR624" cm="1">
        <f t="array" ref="AR624">_xlfn.LET(_xlpm.N,$B$49,_xlpm.R,$B$48,_xlpm.Start,$B$47,_xlpm.PlanWD,AL624,_xlpm.PlanRoth,AM624,_xlpm.PlanConv,AN624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943585.41019608243</v>
      </c>
      <c r="AS624">
        <f>--AND(AK624&lt;=SUM('Retirement Gap'!$B$24:$B$25,'Retirement Gap'!$B$27),AL624+AN624&lt;=$B$47,AM624&lt;='Retirement Gap'!$B$29,ABS(AK624+AL624+AM624-$B$10)&lt;1)</f>
        <v>1</v>
      </c>
      <c r="AT624" cm="1">
        <f t="array" ref="AT624">IF(AS624=0,1E+99,_xlfn.SWITCH(LEFT($E$39,1),"1",AO624,"2",AP624*1000000000+AO624,"3",-AQ624,"4",AO624+AP624*25000+AR624*0.005-AQ624*0.0001,AO624))</f>
        <v>-964577.437147939</v>
      </c>
    </row>
    <row r="625" spans="33:46" x14ac:dyDescent="0.55000000000000004">
      <c r="AG625">
        <f t="shared" si="66"/>
        <v>624</v>
      </c>
      <c r="AH625">
        <f t="shared" si="67"/>
        <v>0.9</v>
      </c>
      <c r="AI625">
        <f t="shared" si="68"/>
        <v>0.4</v>
      </c>
      <c r="AJ625">
        <f t="shared" si="69"/>
        <v>1</v>
      </c>
      <c r="AK625">
        <f t="shared" si="70"/>
        <v>3644.6400000000008</v>
      </c>
      <c r="AL625">
        <f t="shared" si="71"/>
        <v>54669.599999999999</v>
      </c>
      <c r="AM625">
        <f>MIN(MAX(0,$B$10-AL625)*AI625,'Retirement Gap'!$B$29)</f>
        <v>2429.7600000000007</v>
      </c>
      <c r="AN625">
        <f>IF($E$40="B - Withdrawals + Roth conversions",AJ625*MAX(0,MIN($B$47-AL625,MIN($B$59,IRMAA!$C$16)-(AL625+$B$8*0.85+AK625*$B$46))),0)</f>
        <v>0</v>
      </c>
      <c r="AO625" cm="1">
        <f t="array" ref="AO625">_xlfn.LET(_xlpm.N,$B$49,_xlpm.R,$B$48,_xlpm.Start,$B$47,_xlpm.PlanWD,AL625,_xlpm.PlanRoth,AM625,_xlpm.PlanConv,AN625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41222.32</v>
      </c>
      <c r="AP625" cm="1">
        <f t="array" ref="AP625">_xlfn.LET(_xlpm.N,$B$49,_xlpm.R,$B$48,_xlpm.Start,$B$47,_xlpm.PlanWD,AL625,_xlpm.PlanRoth,AM625,_xlpm.PlanConv,AN625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625" cm="1">
        <f t="array" ref="AQ625">_xlfn.LET(_xlpm.N,$B$49,_xlpm.R,$B$48,_xlpm.Start,$B$47,_xlpm.PlanWD,AL625,_xlpm.PlanRoth,AM625,_xlpm.PlanConv,AN625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964577.437147939</v>
      </c>
      <c r="AR625" cm="1">
        <f t="array" ref="AR625">_xlfn.LET(_xlpm.N,$B$49,_xlpm.R,$B$48,_xlpm.Start,$B$47,_xlpm.PlanWD,AL625,_xlpm.PlanRoth,AM625,_xlpm.PlanConv,AN625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943585.41019608243</v>
      </c>
      <c r="AS625">
        <f>--AND(AK625&lt;=SUM('Retirement Gap'!$B$24:$B$25,'Retirement Gap'!$B$27),AL625+AN625&lt;=$B$47,AM625&lt;='Retirement Gap'!$B$29,ABS(AK625+AL625+AM625-$B$10)&lt;1)</f>
        <v>1</v>
      </c>
      <c r="AT625" cm="1">
        <f t="array" ref="AT625">IF(AS625=0,1E+99,_xlfn.SWITCH(LEFT($E$39,1),"1",AO625,"2",AP625*1000000000+AO625,"3",-AQ625,"4",AO625+AP625*25000+AR625*0.005-AQ625*0.0001,AO625))</f>
        <v>-964577.437147939</v>
      </c>
    </row>
    <row r="626" spans="33:46" x14ac:dyDescent="0.55000000000000004">
      <c r="AG626">
        <f t="shared" si="66"/>
        <v>625</v>
      </c>
      <c r="AH626">
        <f t="shared" si="67"/>
        <v>0.9</v>
      </c>
      <c r="AI626">
        <f t="shared" si="68"/>
        <v>0.5</v>
      </c>
      <c r="AJ626">
        <f t="shared" si="69"/>
        <v>0</v>
      </c>
      <c r="AK626">
        <f t="shared" si="70"/>
        <v>3037.2000000000007</v>
      </c>
      <c r="AL626">
        <f t="shared" si="71"/>
        <v>54669.599999999999</v>
      </c>
      <c r="AM626">
        <f>MIN(MAX(0,$B$10-AL626)*AI626,'Retirement Gap'!$B$29)</f>
        <v>3037.2000000000007</v>
      </c>
      <c r="AN626">
        <f>IF($E$40="B - Withdrawals + Roth conversions",AJ626*MAX(0,MIN($B$47-AL626,MIN($B$59,IRMAA!$C$16)-(AL626+$B$8*0.85+AK626*$B$46))),0)</f>
        <v>0</v>
      </c>
      <c r="AO626" cm="1">
        <f t="array" ref="AO626">_xlfn.LET(_xlpm.N,$B$49,_xlpm.R,$B$48,_xlpm.Start,$B$47,_xlpm.PlanWD,AL626,_xlpm.PlanRoth,AM626,_xlpm.PlanConv,AN626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41222.32</v>
      </c>
      <c r="AP626" cm="1">
        <f t="array" ref="AP626">_xlfn.LET(_xlpm.N,$B$49,_xlpm.R,$B$48,_xlpm.Start,$B$47,_xlpm.PlanWD,AL626,_xlpm.PlanRoth,AM626,_xlpm.PlanConv,AN626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626" cm="1">
        <f t="array" ref="AQ626">_xlfn.LET(_xlpm.N,$B$49,_xlpm.R,$B$48,_xlpm.Start,$B$47,_xlpm.PlanWD,AL626,_xlpm.PlanRoth,AM626,_xlpm.PlanConv,AN626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964577.437147939</v>
      </c>
      <c r="AR626" cm="1">
        <f t="array" ref="AR626">_xlfn.LET(_xlpm.N,$B$49,_xlpm.R,$B$48,_xlpm.Start,$B$47,_xlpm.PlanWD,AL626,_xlpm.PlanRoth,AM626,_xlpm.PlanConv,AN626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943585.41019608243</v>
      </c>
      <c r="AS626">
        <f>--AND(AK626&lt;=SUM('Retirement Gap'!$B$24:$B$25,'Retirement Gap'!$B$27),AL626+AN626&lt;=$B$47,AM626&lt;='Retirement Gap'!$B$29,ABS(AK626+AL626+AM626-$B$10)&lt;1)</f>
        <v>1</v>
      </c>
      <c r="AT626" cm="1">
        <f t="array" ref="AT626">IF(AS626=0,1E+99,_xlfn.SWITCH(LEFT($E$39,1),"1",AO626,"2",AP626*1000000000+AO626,"3",-AQ626,"4",AO626+AP626*25000+AR626*0.005-AQ626*0.0001,AO626))</f>
        <v>-964577.437147939</v>
      </c>
    </row>
    <row r="627" spans="33:46" x14ac:dyDescent="0.55000000000000004">
      <c r="AG627">
        <f t="shared" si="66"/>
        <v>626</v>
      </c>
      <c r="AH627">
        <f t="shared" si="67"/>
        <v>0.9</v>
      </c>
      <c r="AI627">
        <f t="shared" si="68"/>
        <v>0.5</v>
      </c>
      <c r="AJ627">
        <f t="shared" si="69"/>
        <v>0.2</v>
      </c>
      <c r="AK627">
        <f t="shared" si="70"/>
        <v>3037.2000000000007</v>
      </c>
      <c r="AL627">
        <f t="shared" si="71"/>
        <v>54669.599999999999</v>
      </c>
      <c r="AM627">
        <f>MIN(MAX(0,$B$10-AL627)*AI627,'Retirement Gap'!$B$29)</f>
        <v>3037.2000000000007</v>
      </c>
      <c r="AN627">
        <f>IF($E$40="B - Withdrawals + Roth conversions",AJ627*MAX(0,MIN($B$47-AL627,MIN($B$59,IRMAA!$C$16)-(AL627+$B$8*0.85+AK627*$B$46))),0)</f>
        <v>0</v>
      </c>
      <c r="AO627" cm="1">
        <f t="array" ref="AO627">_xlfn.LET(_xlpm.N,$B$49,_xlpm.R,$B$48,_xlpm.Start,$B$47,_xlpm.PlanWD,AL627,_xlpm.PlanRoth,AM627,_xlpm.PlanConv,AN627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41222.32</v>
      </c>
      <c r="AP627" cm="1">
        <f t="array" ref="AP627">_xlfn.LET(_xlpm.N,$B$49,_xlpm.R,$B$48,_xlpm.Start,$B$47,_xlpm.PlanWD,AL627,_xlpm.PlanRoth,AM627,_xlpm.PlanConv,AN627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627" cm="1">
        <f t="array" ref="AQ627">_xlfn.LET(_xlpm.N,$B$49,_xlpm.R,$B$48,_xlpm.Start,$B$47,_xlpm.PlanWD,AL627,_xlpm.PlanRoth,AM627,_xlpm.PlanConv,AN627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964577.437147939</v>
      </c>
      <c r="AR627" cm="1">
        <f t="array" ref="AR627">_xlfn.LET(_xlpm.N,$B$49,_xlpm.R,$B$48,_xlpm.Start,$B$47,_xlpm.PlanWD,AL627,_xlpm.PlanRoth,AM627,_xlpm.PlanConv,AN627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943585.41019608243</v>
      </c>
      <c r="AS627">
        <f>--AND(AK627&lt;=SUM('Retirement Gap'!$B$24:$B$25,'Retirement Gap'!$B$27),AL627+AN627&lt;=$B$47,AM627&lt;='Retirement Gap'!$B$29,ABS(AK627+AL627+AM627-$B$10)&lt;1)</f>
        <v>1</v>
      </c>
      <c r="AT627" cm="1">
        <f t="array" ref="AT627">IF(AS627=0,1E+99,_xlfn.SWITCH(LEFT($E$39,1),"1",AO627,"2",AP627*1000000000+AO627,"3",-AQ627,"4",AO627+AP627*25000+AR627*0.005-AQ627*0.0001,AO627))</f>
        <v>-964577.437147939</v>
      </c>
    </row>
    <row r="628" spans="33:46" x14ac:dyDescent="0.55000000000000004">
      <c r="AG628">
        <f t="shared" si="66"/>
        <v>627</v>
      </c>
      <c r="AH628">
        <f t="shared" si="67"/>
        <v>0.9</v>
      </c>
      <c r="AI628">
        <f t="shared" si="68"/>
        <v>0.5</v>
      </c>
      <c r="AJ628">
        <f t="shared" si="69"/>
        <v>0.4</v>
      </c>
      <c r="AK628">
        <f t="shared" si="70"/>
        <v>3037.2000000000007</v>
      </c>
      <c r="AL628">
        <f t="shared" si="71"/>
        <v>54669.599999999999</v>
      </c>
      <c r="AM628">
        <f>MIN(MAX(0,$B$10-AL628)*AI628,'Retirement Gap'!$B$29)</f>
        <v>3037.2000000000007</v>
      </c>
      <c r="AN628">
        <f>IF($E$40="B - Withdrawals + Roth conversions",AJ628*MAX(0,MIN($B$47-AL628,MIN($B$59,IRMAA!$C$16)-(AL628+$B$8*0.85+AK628*$B$46))),0)</f>
        <v>0</v>
      </c>
      <c r="AO628" cm="1">
        <f t="array" ref="AO628">_xlfn.LET(_xlpm.N,$B$49,_xlpm.R,$B$48,_xlpm.Start,$B$47,_xlpm.PlanWD,AL628,_xlpm.PlanRoth,AM628,_xlpm.PlanConv,AN628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41222.32</v>
      </c>
      <c r="AP628" cm="1">
        <f t="array" ref="AP628">_xlfn.LET(_xlpm.N,$B$49,_xlpm.R,$B$48,_xlpm.Start,$B$47,_xlpm.PlanWD,AL628,_xlpm.PlanRoth,AM628,_xlpm.PlanConv,AN628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628" cm="1">
        <f t="array" ref="AQ628">_xlfn.LET(_xlpm.N,$B$49,_xlpm.R,$B$48,_xlpm.Start,$B$47,_xlpm.PlanWD,AL628,_xlpm.PlanRoth,AM628,_xlpm.PlanConv,AN628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964577.437147939</v>
      </c>
      <c r="AR628" cm="1">
        <f t="array" ref="AR628">_xlfn.LET(_xlpm.N,$B$49,_xlpm.R,$B$48,_xlpm.Start,$B$47,_xlpm.PlanWD,AL628,_xlpm.PlanRoth,AM628,_xlpm.PlanConv,AN628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943585.41019608243</v>
      </c>
      <c r="AS628">
        <f>--AND(AK628&lt;=SUM('Retirement Gap'!$B$24:$B$25,'Retirement Gap'!$B$27),AL628+AN628&lt;=$B$47,AM628&lt;='Retirement Gap'!$B$29,ABS(AK628+AL628+AM628-$B$10)&lt;1)</f>
        <v>1</v>
      </c>
      <c r="AT628" cm="1">
        <f t="array" ref="AT628">IF(AS628=0,1E+99,_xlfn.SWITCH(LEFT($E$39,1),"1",AO628,"2",AP628*1000000000+AO628,"3",-AQ628,"4",AO628+AP628*25000+AR628*0.005-AQ628*0.0001,AO628))</f>
        <v>-964577.437147939</v>
      </c>
    </row>
    <row r="629" spans="33:46" x14ac:dyDescent="0.55000000000000004">
      <c r="AG629">
        <f t="shared" si="66"/>
        <v>628</v>
      </c>
      <c r="AH629">
        <f t="shared" si="67"/>
        <v>0.9</v>
      </c>
      <c r="AI629">
        <f t="shared" si="68"/>
        <v>0.5</v>
      </c>
      <c r="AJ629">
        <f t="shared" si="69"/>
        <v>0.6</v>
      </c>
      <c r="AK629">
        <f t="shared" si="70"/>
        <v>3037.2000000000007</v>
      </c>
      <c r="AL629">
        <f t="shared" si="71"/>
        <v>54669.599999999999</v>
      </c>
      <c r="AM629">
        <f>MIN(MAX(0,$B$10-AL629)*AI629,'Retirement Gap'!$B$29)</f>
        <v>3037.2000000000007</v>
      </c>
      <c r="AN629">
        <f>IF($E$40="B - Withdrawals + Roth conversions",AJ629*MAX(0,MIN($B$47-AL629,MIN($B$59,IRMAA!$C$16)-(AL629+$B$8*0.85+AK629*$B$46))),0)</f>
        <v>0</v>
      </c>
      <c r="AO629" cm="1">
        <f t="array" ref="AO629">_xlfn.LET(_xlpm.N,$B$49,_xlpm.R,$B$48,_xlpm.Start,$B$47,_xlpm.PlanWD,AL629,_xlpm.PlanRoth,AM629,_xlpm.PlanConv,AN629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41222.32</v>
      </c>
      <c r="AP629" cm="1">
        <f t="array" ref="AP629">_xlfn.LET(_xlpm.N,$B$49,_xlpm.R,$B$48,_xlpm.Start,$B$47,_xlpm.PlanWD,AL629,_xlpm.PlanRoth,AM629,_xlpm.PlanConv,AN629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629" cm="1">
        <f t="array" ref="AQ629">_xlfn.LET(_xlpm.N,$B$49,_xlpm.R,$B$48,_xlpm.Start,$B$47,_xlpm.PlanWD,AL629,_xlpm.PlanRoth,AM629,_xlpm.PlanConv,AN629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964577.437147939</v>
      </c>
      <c r="AR629" cm="1">
        <f t="array" ref="AR629">_xlfn.LET(_xlpm.N,$B$49,_xlpm.R,$B$48,_xlpm.Start,$B$47,_xlpm.PlanWD,AL629,_xlpm.PlanRoth,AM629,_xlpm.PlanConv,AN629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943585.41019608243</v>
      </c>
      <c r="AS629">
        <f>--AND(AK629&lt;=SUM('Retirement Gap'!$B$24:$B$25,'Retirement Gap'!$B$27),AL629+AN629&lt;=$B$47,AM629&lt;='Retirement Gap'!$B$29,ABS(AK629+AL629+AM629-$B$10)&lt;1)</f>
        <v>1</v>
      </c>
      <c r="AT629" cm="1">
        <f t="array" ref="AT629">IF(AS629=0,1E+99,_xlfn.SWITCH(LEFT($E$39,1),"1",AO629,"2",AP629*1000000000+AO629,"3",-AQ629,"4",AO629+AP629*25000+AR629*0.005-AQ629*0.0001,AO629))</f>
        <v>-964577.437147939</v>
      </c>
    </row>
    <row r="630" spans="33:46" x14ac:dyDescent="0.55000000000000004">
      <c r="AG630">
        <f t="shared" si="66"/>
        <v>629</v>
      </c>
      <c r="AH630">
        <f t="shared" si="67"/>
        <v>0.9</v>
      </c>
      <c r="AI630">
        <f t="shared" si="68"/>
        <v>0.5</v>
      </c>
      <c r="AJ630">
        <f t="shared" si="69"/>
        <v>0.8</v>
      </c>
      <c r="AK630">
        <f t="shared" si="70"/>
        <v>3037.2000000000007</v>
      </c>
      <c r="AL630">
        <f t="shared" si="71"/>
        <v>54669.599999999999</v>
      </c>
      <c r="AM630">
        <f>MIN(MAX(0,$B$10-AL630)*AI630,'Retirement Gap'!$B$29)</f>
        <v>3037.2000000000007</v>
      </c>
      <c r="AN630">
        <f>IF($E$40="B - Withdrawals + Roth conversions",AJ630*MAX(0,MIN($B$47-AL630,MIN($B$59,IRMAA!$C$16)-(AL630+$B$8*0.85+AK630*$B$46))),0)</f>
        <v>0</v>
      </c>
      <c r="AO630" cm="1">
        <f t="array" ref="AO630">_xlfn.LET(_xlpm.N,$B$49,_xlpm.R,$B$48,_xlpm.Start,$B$47,_xlpm.PlanWD,AL630,_xlpm.PlanRoth,AM630,_xlpm.PlanConv,AN630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41222.32</v>
      </c>
      <c r="AP630" cm="1">
        <f t="array" ref="AP630">_xlfn.LET(_xlpm.N,$B$49,_xlpm.R,$B$48,_xlpm.Start,$B$47,_xlpm.PlanWD,AL630,_xlpm.PlanRoth,AM630,_xlpm.PlanConv,AN630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630" cm="1">
        <f t="array" ref="AQ630">_xlfn.LET(_xlpm.N,$B$49,_xlpm.R,$B$48,_xlpm.Start,$B$47,_xlpm.PlanWD,AL630,_xlpm.PlanRoth,AM630,_xlpm.PlanConv,AN630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964577.437147939</v>
      </c>
      <c r="AR630" cm="1">
        <f t="array" ref="AR630">_xlfn.LET(_xlpm.N,$B$49,_xlpm.R,$B$48,_xlpm.Start,$B$47,_xlpm.PlanWD,AL630,_xlpm.PlanRoth,AM630,_xlpm.PlanConv,AN630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943585.41019608243</v>
      </c>
      <c r="AS630">
        <f>--AND(AK630&lt;=SUM('Retirement Gap'!$B$24:$B$25,'Retirement Gap'!$B$27),AL630+AN630&lt;=$B$47,AM630&lt;='Retirement Gap'!$B$29,ABS(AK630+AL630+AM630-$B$10)&lt;1)</f>
        <v>1</v>
      </c>
      <c r="AT630" cm="1">
        <f t="array" ref="AT630">IF(AS630=0,1E+99,_xlfn.SWITCH(LEFT($E$39,1),"1",AO630,"2",AP630*1000000000+AO630,"3",-AQ630,"4",AO630+AP630*25000+AR630*0.005-AQ630*0.0001,AO630))</f>
        <v>-964577.437147939</v>
      </c>
    </row>
    <row r="631" spans="33:46" x14ac:dyDescent="0.55000000000000004">
      <c r="AG631">
        <f t="shared" si="66"/>
        <v>630</v>
      </c>
      <c r="AH631">
        <f t="shared" si="67"/>
        <v>0.9</v>
      </c>
      <c r="AI631">
        <f t="shared" si="68"/>
        <v>0.5</v>
      </c>
      <c r="AJ631">
        <f t="shared" si="69"/>
        <v>1</v>
      </c>
      <c r="AK631">
        <f t="shared" si="70"/>
        <v>3037.2000000000007</v>
      </c>
      <c r="AL631">
        <f t="shared" si="71"/>
        <v>54669.599999999999</v>
      </c>
      <c r="AM631">
        <f>MIN(MAX(0,$B$10-AL631)*AI631,'Retirement Gap'!$B$29)</f>
        <v>3037.2000000000007</v>
      </c>
      <c r="AN631">
        <f>IF($E$40="B - Withdrawals + Roth conversions",AJ631*MAX(0,MIN($B$47-AL631,MIN($B$59,IRMAA!$C$16)-(AL631+$B$8*0.85+AK631*$B$46))),0)</f>
        <v>0</v>
      </c>
      <c r="AO631" cm="1">
        <f t="array" ref="AO631">_xlfn.LET(_xlpm.N,$B$49,_xlpm.R,$B$48,_xlpm.Start,$B$47,_xlpm.PlanWD,AL631,_xlpm.PlanRoth,AM631,_xlpm.PlanConv,AN631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41222.32</v>
      </c>
      <c r="AP631" cm="1">
        <f t="array" ref="AP631">_xlfn.LET(_xlpm.N,$B$49,_xlpm.R,$B$48,_xlpm.Start,$B$47,_xlpm.PlanWD,AL631,_xlpm.PlanRoth,AM631,_xlpm.PlanConv,AN631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631" cm="1">
        <f t="array" ref="AQ631">_xlfn.LET(_xlpm.N,$B$49,_xlpm.R,$B$48,_xlpm.Start,$B$47,_xlpm.PlanWD,AL631,_xlpm.PlanRoth,AM631,_xlpm.PlanConv,AN631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964577.437147939</v>
      </c>
      <c r="AR631" cm="1">
        <f t="array" ref="AR631">_xlfn.LET(_xlpm.N,$B$49,_xlpm.R,$B$48,_xlpm.Start,$B$47,_xlpm.PlanWD,AL631,_xlpm.PlanRoth,AM631,_xlpm.PlanConv,AN631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943585.41019608243</v>
      </c>
      <c r="AS631">
        <f>--AND(AK631&lt;=SUM('Retirement Gap'!$B$24:$B$25,'Retirement Gap'!$B$27),AL631+AN631&lt;=$B$47,AM631&lt;='Retirement Gap'!$B$29,ABS(AK631+AL631+AM631-$B$10)&lt;1)</f>
        <v>1</v>
      </c>
      <c r="AT631" cm="1">
        <f t="array" ref="AT631">IF(AS631=0,1E+99,_xlfn.SWITCH(LEFT($E$39,1),"1",AO631,"2",AP631*1000000000+AO631,"3",-AQ631,"4",AO631+AP631*25000+AR631*0.005-AQ631*0.0001,AO631))</f>
        <v>-964577.437147939</v>
      </c>
    </row>
    <row r="632" spans="33:46" x14ac:dyDescent="0.55000000000000004">
      <c r="AG632">
        <f t="shared" si="66"/>
        <v>631</v>
      </c>
      <c r="AH632">
        <f t="shared" si="67"/>
        <v>0.9</v>
      </c>
      <c r="AI632">
        <f t="shared" si="68"/>
        <v>0.6</v>
      </c>
      <c r="AJ632">
        <f t="shared" si="69"/>
        <v>0</v>
      </c>
      <c r="AK632">
        <f t="shared" si="70"/>
        <v>2429.7600000000007</v>
      </c>
      <c r="AL632">
        <f t="shared" si="71"/>
        <v>54669.599999999999</v>
      </c>
      <c r="AM632">
        <f>MIN(MAX(0,$B$10-AL632)*AI632,'Retirement Gap'!$B$29)</f>
        <v>3644.6400000000008</v>
      </c>
      <c r="AN632">
        <f>IF($E$40="B - Withdrawals + Roth conversions",AJ632*MAX(0,MIN($B$47-AL632,MIN($B$59,IRMAA!$C$16)-(AL632+$B$8*0.85+AK632*$B$46))),0)</f>
        <v>0</v>
      </c>
      <c r="AO632" cm="1">
        <f t="array" ref="AO632">_xlfn.LET(_xlpm.N,$B$49,_xlpm.R,$B$48,_xlpm.Start,$B$47,_xlpm.PlanWD,AL632,_xlpm.PlanRoth,AM632,_xlpm.PlanConv,AN632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41222.32</v>
      </c>
      <c r="AP632" cm="1">
        <f t="array" ref="AP632">_xlfn.LET(_xlpm.N,$B$49,_xlpm.R,$B$48,_xlpm.Start,$B$47,_xlpm.PlanWD,AL632,_xlpm.PlanRoth,AM632,_xlpm.PlanConv,AN632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632" cm="1">
        <f t="array" ref="AQ632">_xlfn.LET(_xlpm.N,$B$49,_xlpm.R,$B$48,_xlpm.Start,$B$47,_xlpm.PlanWD,AL632,_xlpm.PlanRoth,AM632,_xlpm.PlanConv,AN632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964577.437147939</v>
      </c>
      <c r="AR632" cm="1">
        <f t="array" ref="AR632">_xlfn.LET(_xlpm.N,$B$49,_xlpm.R,$B$48,_xlpm.Start,$B$47,_xlpm.PlanWD,AL632,_xlpm.PlanRoth,AM632,_xlpm.PlanConv,AN632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943585.41019608243</v>
      </c>
      <c r="AS632">
        <f>--AND(AK632&lt;=SUM('Retirement Gap'!$B$24:$B$25,'Retirement Gap'!$B$27),AL632+AN632&lt;=$B$47,AM632&lt;='Retirement Gap'!$B$29,ABS(AK632+AL632+AM632-$B$10)&lt;1)</f>
        <v>1</v>
      </c>
      <c r="AT632" cm="1">
        <f t="array" ref="AT632">IF(AS632=0,1E+99,_xlfn.SWITCH(LEFT($E$39,1),"1",AO632,"2",AP632*1000000000+AO632,"3",-AQ632,"4",AO632+AP632*25000+AR632*0.005-AQ632*0.0001,AO632))</f>
        <v>-964577.437147939</v>
      </c>
    </row>
    <row r="633" spans="33:46" x14ac:dyDescent="0.55000000000000004">
      <c r="AG633">
        <f t="shared" si="66"/>
        <v>632</v>
      </c>
      <c r="AH633">
        <f t="shared" si="67"/>
        <v>0.9</v>
      </c>
      <c r="AI633">
        <f t="shared" si="68"/>
        <v>0.6</v>
      </c>
      <c r="AJ633">
        <f t="shared" si="69"/>
        <v>0.2</v>
      </c>
      <c r="AK633">
        <f t="shared" si="70"/>
        <v>2429.7600000000007</v>
      </c>
      <c r="AL633">
        <f t="shared" si="71"/>
        <v>54669.599999999999</v>
      </c>
      <c r="AM633">
        <f>MIN(MAX(0,$B$10-AL633)*AI633,'Retirement Gap'!$B$29)</f>
        <v>3644.6400000000008</v>
      </c>
      <c r="AN633">
        <f>IF($E$40="B - Withdrawals + Roth conversions",AJ633*MAX(0,MIN($B$47-AL633,MIN($B$59,IRMAA!$C$16)-(AL633+$B$8*0.85+AK633*$B$46))),0)</f>
        <v>0</v>
      </c>
      <c r="AO633" cm="1">
        <f t="array" ref="AO633">_xlfn.LET(_xlpm.N,$B$49,_xlpm.R,$B$48,_xlpm.Start,$B$47,_xlpm.PlanWD,AL633,_xlpm.PlanRoth,AM633,_xlpm.PlanConv,AN633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41222.32</v>
      </c>
      <c r="AP633" cm="1">
        <f t="array" ref="AP633">_xlfn.LET(_xlpm.N,$B$49,_xlpm.R,$B$48,_xlpm.Start,$B$47,_xlpm.PlanWD,AL633,_xlpm.PlanRoth,AM633,_xlpm.PlanConv,AN633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633" cm="1">
        <f t="array" ref="AQ633">_xlfn.LET(_xlpm.N,$B$49,_xlpm.R,$B$48,_xlpm.Start,$B$47,_xlpm.PlanWD,AL633,_xlpm.PlanRoth,AM633,_xlpm.PlanConv,AN633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964577.437147939</v>
      </c>
      <c r="AR633" cm="1">
        <f t="array" ref="AR633">_xlfn.LET(_xlpm.N,$B$49,_xlpm.R,$B$48,_xlpm.Start,$B$47,_xlpm.PlanWD,AL633,_xlpm.PlanRoth,AM633,_xlpm.PlanConv,AN633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943585.41019608243</v>
      </c>
      <c r="AS633">
        <f>--AND(AK633&lt;=SUM('Retirement Gap'!$B$24:$B$25,'Retirement Gap'!$B$27),AL633+AN633&lt;=$B$47,AM633&lt;='Retirement Gap'!$B$29,ABS(AK633+AL633+AM633-$B$10)&lt;1)</f>
        <v>1</v>
      </c>
      <c r="AT633" cm="1">
        <f t="array" ref="AT633">IF(AS633=0,1E+99,_xlfn.SWITCH(LEFT($E$39,1),"1",AO633,"2",AP633*1000000000+AO633,"3",-AQ633,"4",AO633+AP633*25000+AR633*0.005-AQ633*0.0001,AO633))</f>
        <v>-964577.437147939</v>
      </c>
    </row>
    <row r="634" spans="33:46" x14ac:dyDescent="0.55000000000000004">
      <c r="AG634">
        <f t="shared" si="66"/>
        <v>633</v>
      </c>
      <c r="AH634">
        <f t="shared" si="67"/>
        <v>0.9</v>
      </c>
      <c r="AI634">
        <f t="shared" si="68"/>
        <v>0.6</v>
      </c>
      <c r="AJ634">
        <f t="shared" si="69"/>
        <v>0.4</v>
      </c>
      <c r="AK634">
        <f t="shared" si="70"/>
        <v>2429.7600000000007</v>
      </c>
      <c r="AL634">
        <f t="shared" si="71"/>
        <v>54669.599999999999</v>
      </c>
      <c r="AM634">
        <f>MIN(MAX(0,$B$10-AL634)*AI634,'Retirement Gap'!$B$29)</f>
        <v>3644.6400000000008</v>
      </c>
      <c r="AN634">
        <f>IF($E$40="B - Withdrawals + Roth conversions",AJ634*MAX(0,MIN($B$47-AL634,MIN($B$59,IRMAA!$C$16)-(AL634+$B$8*0.85+AK634*$B$46))),0)</f>
        <v>0</v>
      </c>
      <c r="AO634" cm="1">
        <f t="array" ref="AO634">_xlfn.LET(_xlpm.N,$B$49,_xlpm.R,$B$48,_xlpm.Start,$B$47,_xlpm.PlanWD,AL634,_xlpm.PlanRoth,AM634,_xlpm.PlanConv,AN634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41222.32</v>
      </c>
      <c r="AP634" cm="1">
        <f t="array" ref="AP634">_xlfn.LET(_xlpm.N,$B$49,_xlpm.R,$B$48,_xlpm.Start,$B$47,_xlpm.PlanWD,AL634,_xlpm.PlanRoth,AM634,_xlpm.PlanConv,AN634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634" cm="1">
        <f t="array" ref="AQ634">_xlfn.LET(_xlpm.N,$B$49,_xlpm.R,$B$48,_xlpm.Start,$B$47,_xlpm.PlanWD,AL634,_xlpm.PlanRoth,AM634,_xlpm.PlanConv,AN634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964577.437147939</v>
      </c>
      <c r="AR634" cm="1">
        <f t="array" ref="AR634">_xlfn.LET(_xlpm.N,$B$49,_xlpm.R,$B$48,_xlpm.Start,$B$47,_xlpm.PlanWD,AL634,_xlpm.PlanRoth,AM634,_xlpm.PlanConv,AN634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943585.41019608243</v>
      </c>
      <c r="AS634">
        <f>--AND(AK634&lt;=SUM('Retirement Gap'!$B$24:$B$25,'Retirement Gap'!$B$27),AL634+AN634&lt;=$B$47,AM634&lt;='Retirement Gap'!$B$29,ABS(AK634+AL634+AM634-$B$10)&lt;1)</f>
        <v>1</v>
      </c>
      <c r="AT634" cm="1">
        <f t="array" ref="AT634">IF(AS634=0,1E+99,_xlfn.SWITCH(LEFT($E$39,1),"1",AO634,"2",AP634*1000000000+AO634,"3",-AQ634,"4",AO634+AP634*25000+AR634*0.005-AQ634*0.0001,AO634))</f>
        <v>-964577.437147939</v>
      </c>
    </row>
    <row r="635" spans="33:46" x14ac:dyDescent="0.55000000000000004">
      <c r="AG635">
        <f t="shared" si="66"/>
        <v>634</v>
      </c>
      <c r="AH635">
        <f t="shared" si="67"/>
        <v>0.9</v>
      </c>
      <c r="AI635">
        <f t="shared" si="68"/>
        <v>0.6</v>
      </c>
      <c r="AJ635">
        <f t="shared" si="69"/>
        <v>0.6</v>
      </c>
      <c r="AK635">
        <f t="shared" si="70"/>
        <v>2429.7600000000007</v>
      </c>
      <c r="AL635">
        <f t="shared" si="71"/>
        <v>54669.599999999999</v>
      </c>
      <c r="AM635">
        <f>MIN(MAX(0,$B$10-AL635)*AI635,'Retirement Gap'!$B$29)</f>
        <v>3644.6400000000008</v>
      </c>
      <c r="AN635">
        <f>IF($E$40="B - Withdrawals + Roth conversions",AJ635*MAX(0,MIN($B$47-AL635,MIN($B$59,IRMAA!$C$16)-(AL635+$B$8*0.85+AK635*$B$46))),0)</f>
        <v>0</v>
      </c>
      <c r="AO635" cm="1">
        <f t="array" ref="AO635">_xlfn.LET(_xlpm.N,$B$49,_xlpm.R,$B$48,_xlpm.Start,$B$47,_xlpm.PlanWD,AL635,_xlpm.PlanRoth,AM635,_xlpm.PlanConv,AN635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41222.32</v>
      </c>
      <c r="AP635" cm="1">
        <f t="array" ref="AP635">_xlfn.LET(_xlpm.N,$B$49,_xlpm.R,$B$48,_xlpm.Start,$B$47,_xlpm.PlanWD,AL635,_xlpm.PlanRoth,AM635,_xlpm.PlanConv,AN635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635" cm="1">
        <f t="array" ref="AQ635">_xlfn.LET(_xlpm.N,$B$49,_xlpm.R,$B$48,_xlpm.Start,$B$47,_xlpm.PlanWD,AL635,_xlpm.PlanRoth,AM635,_xlpm.PlanConv,AN635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964577.437147939</v>
      </c>
      <c r="AR635" cm="1">
        <f t="array" ref="AR635">_xlfn.LET(_xlpm.N,$B$49,_xlpm.R,$B$48,_xlpm.Start,$B$47,_xlpm.PlanWD,AL635,_xlpm.PlanRoth,AM635,_xlpm.PlanConv,AN635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943585.41019608243</v>
      </c>
      <c r="AS635">
        <f>--AND(AK635&lt;=SUM('Retirement Gap'!$B$24:$B$25,'Retirement Gap'!$B$27),AL635+AN635&lt;=$B$47,AM635&lt;='Retirement Gap'!$B$29,ABS(AK635+AL635+AM635-$B$10)&lt;1)</f>
        <v>1</v>
      </c>
      <c r="AT635" cm="1">
        <f t="array" ref="AT635">IF(AS635=0,1E+99,_xlfn.SWITCH(LEFT($E$39,1),"1",AO635,"2",AP635*1000000000+AO635,"3",-AQ635,"4",AO635+AP635*25000+AR635*0.005-AQ635*0.0001,AO635))</f>
        <v>-964577.437147939</v>
      </c>
    </row>
    <row r="636" spans="33:46" x14ac:dyDescent="0.55000000000000004">
      <c r="AG636">
        <f t="shared" si="66"/>
        <v>635</v>
      </c>
      <c r="AH636">
        <f t="shared" si="67"/>
        <v>0.9</v>
      </c>
      <c r="AI636">
        <f t="shared" si="68"/>
        <v>0.6</v>
      </c>
      <c r="AJ636">
        <f t="shared" si="69"/>
        <v>0.8</v>
      </c>
      <c r="AK636">
        <f t="shared" si="70"/>
        <v>2429.7600000000007</v>
      </c>
      <c r="AL636">
        <f t="shared" si="71"/>
        <v>54669.599999999999</v>
      </c>
      <c r="AM636">
        <f>MIN(MAX(0,$B$10-AL636)*AI636,'Retirement Gap'!$B$29)</f>
        <v>3644.6400000000008</v>
      </c>
      <c r="AN636">
        <f>IF($E$40="B - Withdrawals + Roth conversions",AJ636*MAX(0,MIN($B$47-AL636,MIN($B$59,IRMAA!$C$16)-(AL636+$B$8*0.85+AK636*$B$46))),0)</f>
        <v>0</v>
      </c>
      <c r="AO636" cm="1">
        <f t="array" ref="AO636">_xlfn.LET(_xlpm.N,$B$49,_xlpm.R,$B$48,_xlpm.Start,$B$47,_xlpm.PlanWD,AL636,_xlpm.PlanRoth,AM636,_xlpm.PlanConv,AN636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41222.32</v>
      </c>
      <c r="AP636" cm="1">
        <f t="array" ref="AP636">_xlfn.LET(_xlpm.N,$B$49,_xlpm.R,$B$48,_xlpm.Start,$B$47,_xlpm.PlanWD,AL636,_xlpm.PlanRoth,AM636,_xlpm.PlanConv,AN636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636" cm="1">
        <f t="array" ref="AQ636">_xlfn.LET(_xlpm.N,$B$49,_xlpm.R,$B$48,_xlpm.Start,$B$47,_xlpm.PlanWD,AL636,_xlpm.PlanRoth,AM636,_xlpm.PlanConv,AN636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964577.437147939</v>
      </c>
      <c r="AR636" cm="1">
        <f t="array" ref="AR636">_xlfn.LET(_xlpm.N,$B$49,_xlpm.R,$B$48,_xlpm.Start,$B$47,_xlpm.PlanWD,AL636,_xlpm.PlanRoth,AM636,_xlpm.PlanConv,AN636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943585.41019608243</v>
      </c>
      <c r="AS636">
        <f>--AND(AK636&lt;=SUM('Retirement Gap'!$B$24:$B$25,'Retirement Gap'!$B$27),AL636+AN636&lt;=$B$47,AM636&lt;='Retirement Gap'!$B$29,ABS(AK636+AL636+AM636-$B$10)&lt;1)</f>
        <v>1</v>
      </c>
      <c r="AT636" cm="1">
        <f t="array" ref="AT636">IF(AS636=0,1E+99,_xlfn.SWITCH(LEFT($E$39,1),"1",AO636,"2",AP636*1000000000+AO636,"3",-AQ636,"4",AO636+AP636*25000+AR636*0.005-AQ636*0.0001,AO636))</f>
        <v>-964577.437147939</v>
      </c>
    </row>
    <row r="637" spans="33:46" x14ac:dyDescent="0.55000000000000004">
      <c r="AG637">
        <f t="shared" si="66"/>
        <v>636</v>
      </c>
      <c r="AH637">
        <f t="shared" si="67"/>
        <v>0.9</v>
      </c>
      <c r="AI637">
        <f t="shared" si="68"/>
        <v>0.6</v>
      </c>
      <c r="AJ637">
        <f t="shared" si="69"/>
        <v>1</v>
      </c>
      <c r="AK637">
        <f t="shared" si="70"/>
        <v>2429.7600000000007</v>
      </c>
      <c r="AL637">
        <f t="shared" si="71"/>
        <v>54669.599999999999</v>
      </c>
      <c r="AM637">
        <f>MIN(MAX(0,$B$10-AL637)*AI637,'Retirement Gap'!$B$29)</f>
        <v>3644.6400000000008</v>
      </c>
      <c r="AN637">
        <f>IF($E$40="B - Withdrawals + Roth conversions",AJ637*MAX(0,MIN($B$47-AL637,MIN($B$59,IRMAA!$C$16)-(AL637+$B$8*0.85+AK637*$B$46))),0)</f>
        <v>0</v>
      </c>
      <c r="AO637" cm="1">
        <f t="array" ref="AO637">_xlfn.LET(_xlpm.N,$B$49,_xlpm.R,$B$48,_xlpm.Start,$B$47,_xlpm.PlanWD,AL637,_xlpm.PlanRoth,AM637,_xlpm.PlanConv,AN637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41222.32</v>
      </c>
      <c r="AP637" cm="1">
        <f t="array" ref="AP637">_xlfn.LET(_xlpm.N,$B$49,_xlpm.R,$B$48,_xlpm.Start,$B$47,_xlpm.PlanWD,AL637,_xlpm.PlanRoth,AM637,_xlpm.PlanConv,AN637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637" cm="1">
        <f t="array" ref="AQ637">_xlfn.LET(_xlpm.N,$B$49,_xlpm.R,$B$48,_xlpm.Start,$B$47,_xlpm.PlanWD,AL637,_xlpm.PlanRoth,AM637,_xlpm.PlanConv,AN637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964577.437147939</v>
      </c>
      <c r="AR637" cm="1">
        <f t="array" ref="AR637">_xlfn.LET(_xlpm.N,$B$49,_xlpm.R,$B$48,_xlpm.Start,$B$47,_xlpm.PlanWD,AL637,_xlpm.PlanRoth,AM637,_xlpm.PlanConv,AN637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943585.41019608243</v>
      </c>
      <c r="AS637">
        <f>--AND(AK637&lt;=SUM('Retirement Gap'!$B$24:$B$25,'Retirement Gap'!$B$27),AL637+AN637&lt;=$B$47,AM637&lt;='Retirement Gap'!$B$29,ABS(AK637+AL637+AM637-$B$10)&lt;1)</f>
        <v>1</v>
      </c>
      <c r="AT637" cm="1">
        <f t="array" ref="AT637">IF(AS637=0,1E+99,_xlfn.SWITCH(LEFT($E$39,1),"1",AO637,"2",AP637*1000000000+AO637,"3",-AQ637,"4",AO637+AP637*25000+AR637*0.005-AQ637*0.0001,AO637))</f>
        <v>-964577.437147939</v>
      </c>
    </row>
    <row r="638" spans="33:46" x14ac:dyDescent="0.55000000000000004">
      <c r="AG638">
        <f t="shared" si="66"/>
        <v>637</v>
      </c>
      <c r="AH638">
        <f t="shared" si="67"/>
        <v>0.9</v>
      </c>
      <c r="AI638">
        <f t="shared" si="68"/>
        <v>0.7</v>
      </c>
      <c r="AJ638">
        <f t="shared" si="69"/>
        <v>0</v>
      </c>
      <c r="AK638">
        <f t="shared" si="70"/>
        <v>1822.3200000000006</v>
      </c>
      <c r="AL638">
        <f t="shared" si="71"/>
        <v>54669.599999999999</v>
      </c>
      <c r="AM638">
        <f>MIN(MAX(0,$B$10-AL638)*AI638,'Retirement Gap'!$B$29)</f>
        <v>4252.0800000000008</v>
      </c>
      <c r="AN638">
        <f>IF($E$40="B - Withdrawals + Roth conversions",AJ638*MAX(0,MIN($B$47-AL638,MIN($B$59,IRMAA!$C$16)-(AL638+$B$8*0.85+AK638*$B$46))),0)</f>
        <v>0</v>
      </c>
      <c r="AO638" cm="1">
        <f t="array" ref="AO638">_xlfn.LET(_xlpm.N,$B$49,_xlpm.R,$B$48,_xlpm.Start,$B$47,_xlpm.PlanWD,AL638,_xlpm.PlanRoth,AM638,_xlpm.PlanConv,AN638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41222.32</v>
      </c>
      <c r="AP638" cm="1">
        <f t="array" ref="AP638">_xlfn.LET(_xlpm.N,$B$49,_xlpm.R,$B$48,_xlpm.Start,$B$47,_xlpm.PlanWD,AL638,_xlpm.PlanRoth,AM638,_xlpm.PlanConv,AN638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638" cm="1">
        <f t="array" ref="AQ638">_xlfn.LET(_xlpm.N,$B$49,_xlpm.R,$B$48,_xlpm.Start,$B$47,_xlpm.PlanWD,AL638,_xlpm.PlanRoth,AM638,_xlpm.PlanConv,AN638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964577.437147939</v>
      </c>
      <c r="AR638" cm="1">
        <f t="array" ref="AR638">_xlfn.LET(_xlpm.N,$B$49,_xlpm.R,$B$48,_xlpm.Start,$B$47,_xlpm.PlanWD,AL638,_xlpm.PlanRoth,AM638,_xlpm.PlanConv,AN638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943585.41019608243</v>
      </c>
      <c r="AS638">
        <f>--AND(AK638&lt;=SUM('Retirement Gap'!$B$24:$B$25,'Retirement Gap'!$B$27),AL638+AN638&lt;=$B$47,AM638&lt;='Retirement Gap'!$B$29,ABS(AK638+AL638+AM638-$B$10)&lt;1)</f>
        <v>1</v>
      </c>
      <c r="AT638" cm="1">
        <f t="array" ref="AT638">IF(AS638=0,1E+99,_xlfn.SWITCH(LEFT($E$39,1),"1",AO638,"2",AP638*1000000000+AO638,"3",-AQ638,"4",AO638+AP638*25000+AR638*0.005-AQ638*0.0001,AO638))</f>
        <v>-964577.437147939</v>
      </c>
    </row>
    <row r="639" spans="33:46" x14ac:dyDescent="0.55000000000000004">
      <c r="AG639">
        <f t="shared" si="66"/>
        <v>638</v>
      </c>
      <c r="AH639">
        <f t="shared" si="67"/>
        <v>0.9</v>
      </c>
      <c r="AI639">
        <f t="shared" si="68"/>
        <v>0.7</v>
      </c>
      <c r="AJ639">
        <f t="shared" si="69"/>
        <v>0.2</v>
      </c>
      <c r="AK639">
        <f t="shared" si="70"/>
        <v>1822.3200000000006</v>
      </c>
      <c r="AL639">
        <f t="shared" si="71"/>
        <v>54669.599999999999</v>
      </c>
      <c r="AM639">
        <f>MIN(MAX(0,$B$10-AL639)*AI639,'Retirement Gap'!$B$29)</f>
        <v>4252.0800000000008</v>
      </c>
      <c r="AN639">
        <f>IF($E$40="B - Withdrawals + Roth conversions",AJ639*MAX(0,MIN($B$47-AL639,MIN($B$59,IRMAA!$C$16)-(AL639+$B$8*0.85+AK639*$B$46))),0)</f>
        <v>0</v>
      </c>
      <c r="AO639" cm="1">
        <f t="array" ref="AO639">_xlfn.LET(_xlpm.N,$B$49,_xlpm.R,$B$48,_xlpm.Start,$B$47,_xlpm.PlanWD,AL639,_xlpm.PlanRoth,AM639,_xlpm.PlanConv,AN639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41222.32</v>
      </c>
      <c r="AP639" cm="1">
        <f t="array" ref="AP639">_xlfn.LET(_xlpm.N,$B$49,_xlpm.R,$B$48,_xlpm.Start,$B$47,_xlpm.PlanWD,AL639,_xlpm.PlanRoth,AM639,_xlpm.PlanConv,AN639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639" cm="1">
        <f t="array" ref="AQ639">_xlfn.LET(_xlpm.N,$B$49,_xlpm.R,$B$48,_xlpm.Start,$B$47,_xlpm.PlanWD,AL639,_xlpm.PlanRoth,AM639,_xlpm.PlanConv,AN639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964577.437147939</v>
      </c>
      <c r="AR639" cm="1">
        <f t="array" ref="AR639">_xlfn.LET(_xlpm.N,$B$49,_xlpm.R,$B$48,_xlpm.Start,$B$47,_xlpm.PlanWD,AL639,_xlpm.PlanRoth,AM639,_xlpm.PlanConv,AN639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943585.41019608243</v>
      </c>
      <c r="AS639">
        <f>--AND(AK639&lt;=SUM('Retirement Gap'!$B$24:$B$25,'Retirement Gap'!$B$27),AL639+AN639&lt;=$B$47,AM639&lt;='Retirement Gap'!$B$29,ABS(AK639+AL639+AM639-$B$10)&lt;1)</f>
        <v>1</v>
      </c>
      <c r="AT639" cm="1">
        <f t="array" ref="AT639">IF(AS639=0,1E+99,_xlfn.SWITCH(LEFT($E$39,1),"1",AO639,"2",AP639*1000000000+AO639,"3",-AQ639,"4",AO639+AP639*25000+AR639*0.005-AQ639*0.0001,AO639))</f>
        <v>-964577.437147939</v>
      </c>
    </row>
    <row r="640" spans="33:46" x14ac:dyDescent="0.55000000000000004">
      <c r="AG640">
        <f t="shared" si="66"/>
        <v>639</v>
      </c>
      <c r="AH640">
        <f t="shared" si="67"/>
        <v>0.9</v>
      </c>
      <c r="AI640">
        <f t="shared" si="68"/>
        <v>0.7</v>
      </c>
      <c r="AJ640">
        <f t="shared" si="69"/>
        <v>0.4</v>
      </c>
      <c r="AK640">
        <f t="shared" si="70"/>
        <v>1822.3200000000006</v>
      </c>
      <c r="AL640">
        <f t="shared" si="71"/>
        <v>54669.599999999999</v>
      </c>
      <c r="AM640">
        <f>MIN(MAX(0,$B$10-AL640)*AI640,'Retirement Gap'!$B$29)</f>
        <v>4252.0800000000008</v>
      </c>
      <c r="AN640">
        <f>IF($E$40="B - Withdrawals + Roth conversions",AJ640*MAX(0,MIN($B$47-AL640,MIN($B$59,IRMAA!$C$16)-(AL640+$B$8*0.85+AK640*$B$46))),0)</f>
        <v>0</v>
      </c>
      <c r="AO640" cm="1">
        <f t="array" ref="AO640">_xlfn.LET(_xlpm.N,$B$49,_xlpm.R,$B$48,_xlpm.Start,$B$47,_xlpm.PlanWD,AL640,_xlpm.PlanRoth,AM640,_xlpm.PlanConv,AN640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41222.32</v>
      </c>
      <c r="AP640" cm="1">
        <f t="array" ref="AP640">_xlfn.LET(_xlpm.N,$B$49,_xlpm.R,$B$48,_xlpm.Start,$B$47,_xlpm.PlanWD,AL640,_xlpm.PlanRoth,AM640,_xlpm.PlanConv,AN640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640" cm="1">
        <f t="array" ref="AQ640">_xlfn.LET(_xlpm.N,$B$49,_xlpm.R,$B$48,_xlpm.Start,$B$47,_xlpm.PlanWD,AL640,_xlpm.PlanRoth,AM640,_xlpm.PlanConv,AN640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964577.437147939</v>
      </c>
      <c r="AR640" cm="1">
        <f t="array" ref="AR640">_xlfn.LET(_xlpm.N,$B$49,_xlpm.R,$B$48,_xlpm.Start,$B$47,_xlpm.PlanWD,AL640,_xlpm.PlanRoth,AM640,_xlpm.PlanConv,AN640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943585.41019608243</v>
      </c>
      <c r="AS640">
        <f>--AND(AK640&lt;=SUM('Retirement Gap'!$B$24:$B$25,'Retirement Gap'!$B$27),AL640+AN640&lt;=$B$47,AM640&lt;='Retirement Gap'!$B$29,ABS(AK640+AL640+AM640-$B$10)&lt;1)</f>
        <v>1</v>
      </c>
      <c r="AT640" cm="1">
        <f t="array" ref="AT640">IF(AS640=0,1E+99,_xlfn.SWITCH(LEFT($E$39,1),"1",AO640,"2",AP640*1000000000+AO640,"3",-AQ640,"4",AO640+AP640*25000+AR640*0.005-AQ640*0.0001,AO640))</f>
        <v>-964577.437147939</v>
      </c>
    </row>
    <row r="641" spans="33:46" x14ac:dyDescent="0.55000000000000004">
      <c r="AG641">
        <f t="shared" si="66"/>
        <v>640</v>
      </c>
      <c r="AH641">
        <f t="shared" si="67"/>
        <v>0.9</v>
      </c>
      <c r="AI641">
        <f t="shared" si="68"/>
        <v>0.7</v>
      </c>
      <c r="AJ641">
        <f t="shared" si="69"/>
        <v>0.6</v>
      </c>
      <c r="AK641">
        <f t="shared" si="70"/>
        <v>1822.3200000000006</v>
      </c>
      <c r="AL641">
        <f t="shared" si="71"/>
        <v>54669.599999999999</v>
      </c>
      <c r="AM641">
        <f>MIN(MAX(0,$B$10-AL641)*AI641,'Retirement Gap'!$B$29)</f>
        <v>4252.0800000000008</v>
      </c>
      <c r="AN641">
        <f>IF($E$40="B - Withdrawals + Roth conversions",AJ641*MAX(0,MIN($B$47-AL641,MIN($B$59,IRMAA!$C$16)-(AL641+$B$8*0.85+AK641*$B$46))),0)</f>
        <v>0</v>
      </c>
      <c r="AO641" cm="1">
        <f t="array" ref="AO641">_xlfn.LET(_xlpm.N,$B$49,_xlpm.R,$B$48,_xlpm.Start,$B$47,_xlpm.PlanWD,AL641,_xlpm.PlanRoth,AM641,_xlpm.PlanConv,AN641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41222.32</v>
      </c>
      <c r="AP641" cm="1">
        <f t="array" ref="AP641">_xlfn.LET(_xlpm.N,$B$49,_xlpm.R,$B$48,_xlpm.Start,$B$47,_xlpm.PlanWD,AL641,_xlpm.PlanRoth,AM641,_xlpm.PlanConv,AN641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641" cm="1">
        <f t="array" ref="AQ641">_xlfn.LET(_xlpm.N,$B$49,_xlpm.R,$B$48,_xlpm.Start,$B$47,_xlpm.PlanWD,AL641,_xlpm.PlanRoth,AM641,_xlpm.PlanConv,AN641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964577.437147939</v>
      </c>
      <c r="AR641" cm="1">
        <f t="array" ref="AR641">_xlfn.LET(_xlpm.N,$B$49,_xlpm.R,$B$48,_xlpm.Start,$B$47,_xlpm.PlanWD,AL641,_xlpm.PlanRoth,AM641,_xlpm.PlanConv,AN641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943585.41019608243</v>
      </c>
      <c r="AS641">
        <f>--AND(AK641&lt;=SUM('Retirement Gap'!$B$24:$B$25,'Retirement Gap'!$B$27),AL641+AN641&lt;=$B$47,AM641&lt;='Retirement Gap'!$B$29,ABS(AK641+AL641+AM641-$B$10)&lt;1)</f>
        <v>1</v>
      </c>
      <c r="AT641" cm="1">
        <f t="array" ref="AT641">IF(AS641=0,1E+99,_xlfn.SWITCH(LEFT($E$39,1),"1",AO641,"2",AP641*1000000000+AO641,"3",-AQ641,"4",AO641+AP641*25000+AR641*0.005-AQ641*0.0001,AO641))</f>
        <v>-964577.437147939</v>
      </c>
    </row>
    <row r="642" spans="33:46" x14ac:dyDescent="0.55000000000000004">
      <c r="AG642">
        <f t="shared" si="66"/>
        <v>641</v>
      </c>
      <c r="AH642">
        <f t="shared" si="67"/>
        <v>0.9</v>
      </c>
      <c r="AI642">
        <f t="shared" si="68"/>
        <v>0.7</v>
      </c>
      <c r="AJ642">
        <f t="shared" si="69"/>
        <v>0.8</v>
      </c>
      <c r="AK642">
        <f t="shared" si="70"/>
        <v>1822.3200000000006</v>
      </c>
      <c r="AL642">
        <f t="shared" si="71"/>
        <v>54669.599999999999</v>
      </c>
      <c r="AM642">
        <f>MIN(MAX(0,$B$10-AL642)*AI642,'Retirement Gap'!$B$29)</f>
        <v>4252.0800000000008</v>
      </c>
      <c r="AN642">
        <f>IF($E$40="B - Withdrawals + Roth conversions",AJ642*MAX(0,MIN($B$47-AL642,MIN($B$59,IRMAA!$C$16)-(AL642+$B$8*0.85+AK642*$B$46))),0)</f>
        <v>0</v>
      </c>
      <c r="AO642" cm="1">
        <f t="array" ref="AO642">_xlfn.LET(_xlpm.N,$B$49,_xlpm.R,$B$48,_xlpm.Start,$B$47,_xlpm.PlanWD,AL642,_xlpm.PlanRoth,AM642,_xlpm.PlanConv,AN642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41222.32</v>
      </c>
      <c r="AP642" cm="1">
        <f t="array" ref="AP642">_xlfn.LET(_xlpm.N,$B$49,_xlpm.R,$B$48,_xlpm.Start,$B$47,_xlpm.PlanWD,AL642,_xlpm.PlanRoth,AM642,_xlpm.PlanConv,AN642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642" cm="1">
        <f t="array" ref="AQ642">_xlfn.LET(_xlpm.N,$B$49,_xlpm.R,$B$48,_xlpm.Start,$B$47,_xlpm.PlanWD,AL642,_xlpm.PlanRoth,AM642,_xlpm.PlanConv,AN642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964577.437147939</v>
      </c>
      <c r="AR642" cm="1">
        <f t="array" ref="AR642">_xlfn.LET(_xlpm.N,$B$49,_xlpm.R,$B$48,_xlpm.Start,$B$47,_xlpm.PlanWD,AL642,_xlpm.PlanRoth,AM642,_xlpm.PlanConv,AN642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943585.41019608243</v>
      </c>
      <c r="AS642">
        <f>--AND(AK642&lt;=SUM('Retirement Gap'!$B$24:$B$25,'Retirement Gap'!$B$27),AL642+AN642&lt;=$B$47,AM642&lt;='Retirement Gap'!$B$29,ABS(AK642+AL642+AM642-$B$10)&lt;1)</f>
        <v>1</v>
      </c>
      <c r="AT642" cm="1">
        <f t="array" ref="AT642">IF(AS642=0,1E+99,_xlfn.SWITCH(LEFT($E$39,1),"1",AO642,"2",AP642*1000000000+AO642,"3",-AQ642,"4",AO642+AP642*25000+AR642*0.005-AQ642*0.0001,AO642))</f>
        <v>-964577.437147939</v>
      </c>
    </row>
    <row r="643" spans="33:46" x14ac:dyDescent="0.55000000000000004">
      <c r="AG643">
        <f t="shared" ref="AG643:AG706" si="72">ROW()-1</f>
        <v>642</v>
      </c>
      <c r="AH643">
        <f t="shared" ref="AH643:AH706" si="73">INT((AG643-1)/66)/10</f>
        <v>0.9</v>
      </c>
      <c r="AI643">
        <f t="shared" ref="AI643:AI706" si="74">MOD(INT((AG643-1)/6),11)/10</f>
        <v>0.7</v>
      </c>
      <c r="AJ643">
        <f t="shared" ref="AJ643:AJ706" si="75">MOD(AG643-1,6)/5</f>
        <v>1</v>
      </c>
      <c r="AK643">
        <f t="shared" ref="AK643:AK706" si="76">MAX(0,$B$10-AL643-AM643)</f>
        <v>1822.3200000000006</v>
      </c>
      <c r="AL643">
        <f t="shared" ref="AL643:AL706" si="77">MIN($B$10*AH643,$B$47)</f>
        <v>54669.599999999999</v>
      </c>
      <c r="AM643">
        <f>MIN(MAX(0,$B$10-AL643)*AI643,'Retirement Gap'!$B$29)</f>
        <v>4252.0800000000008</v>
      </c>
      <c r="AN643">
        <f>IF($E$40="B - Withdrawals + Roth conversions",AJ643*MAX(0,MIN($B$47-AL643,MIN($B$59,IRMAA!$C$16)-(AL643+$B$8*0.85+AK643*$B$46))),0)</f>
        <v>0</v>
      </c>
      <c r="AO643" cm="1">
        <f t="array" ref="AO643">_xlfn.LET(_xlpm.N,$B$49,_xlpm.R,$B$48,_xlpm.Start,$B$47,_xlpm.PlanWD,AL643,_xlpm.PlanRoth,AM643,_xlpm.PlanConv,AN643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41222.32</v>
      </c>
      <c r="AP643" cm="1">
        <f t="array" ref="AP643">_xlfn.LET(_xlpm.N,$B$49,_xlpm.R,$B$48,_xlpm.Start,$B$47,_xlpm.PlanWD,AL643,_xlpm.PlanRoth,AM643,_xlpm.PlanConv,AN643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643" cm="1">
        <f t="array" ref="AQ643">_xlfn.LET(_xlpm.N,$B$49,_xlpm.R,$B$48,_xlpm.Start,$B$47,_xlpm.PlanWD,AL643,_xlpm.PlanRoth,AM643,_xlpm.PlanConv,AN643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964577.437147939</v>
      </c>
      <c r="AR643" cm="1">
        <f t="array" ref="AR643">_xlfn.LET(_xlpm.N,$B$49,_xlpm.R,$B$48,_xlpm.Start,$B$47,_xlpm.PlanWD,AL643,_xlpm.PlanRoth,AM643,_xlpm.PlanConv,AN643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943585.41019608243</v>
      </c>
      <c r="AS643">
        <f>--AND(AK643&lt;=SUM('Retirement Gap'!$B$24:$B$25,'Retirement Gap'!$B$27),AL643+AN643&lt;=$B$47,AM643&lt;='Retirement Gap'!$B$29,ABS(AK643+AL643+AM643-$B$10)&lt;1)</f>
        <v>1</v>
      </c>
      <c r="AT643" cm="1">
        <f t="array" ref="AT643">IF(AS643=0,1E+99,_xlfn.SWITCH(LEFT($E$39,1),"1",AO643,"2",AP643*1000000000+AO643,"3",-AQ643,"4",AO643+AP643*25000+AR643*0.005-AQ643*0.0001,AO643))</f>
        <v>-964577.437147939</v>
      </c>
    </row>
    <row r="644" spans="33:46" x14ac:dyDescent="0.55000000000000004">
      <c r="AG644">
        <f t="shared" si="72"/>
        <v>643</v>
      </c>
      <c r="AH644">
        <f t="shared" si="73"/>
        <v>0.9</v>
      </c>
      <c r="AI644">
        <f t="shared" si="74"/>
        <v>0.8</v>
      </c>
      <c r="AJ644">
        <f t="shared" si="75"/>
        <v>0</v>
      </c>
      <c r="AK644">
        <f t="shared" si="76"/>
        <v>1214.8800000000001</v>
      </c>
      <c r="AL644">
        <f t="shared" si="77"/>
        <v>54669.599999999999</v>
      </c>
      <c r="AM644">
        <f>MIN(MAX(0,$B$10-AL644)*AI644,'Retirement Gap'!$B$29)</f>
        <v>4859.5200000000013</v>
      </c>
      <c r="AN644">
        <f>IF($E$40="B - Withdrawals + Roth conversions",AJ644*MAX(0,MIN($B$47-AL644,MIN($B$59,IRMAA!$C$16)-(AL644+$B$8*0.85+AK644*$B$46))),0)</f>
        <v>0</v>
      </c>
      <c r="AO644" cm="1">
        <f t="array" ref="AO644">_xlfn.LET(_xlpm.N,$B$49,_xlpm.R,$B$48,_xlpm.Start,$B$47,_xlpm.PlanWD,AL644,_xlpm.PlanRoth,AM644,_xlpm.PlanConv,AN644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41222.32</v>
      </c>
      <c r="AP644" cm="1">
        <f t="array" ref="AP644">_xlfn.LET(_xlpm.N,$B$49,_xlpm.R,$B$48,_xlpm.Start,$B$47,_xlpm.PlanWD,AL644,_xlpm.PlanRoth,AM644,_xlpm.PlanConv,AN644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644" cm="1">
        <f t="array" ref="AQ644">_xlfn.LET(_xlpm.N,$B$49,_xlpm.R,$B$48,_xlpm.Start,$B$47,_xlpm.PlanWD,AL644,_xlpm.PlanRoth,AM644,_xlpm.PlanConv,AN644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964577.437147939</v>
      </c>
      <c r="AR644" cm="1">
        <f t="array" ref="AR644">_xlfn.LET(_xlpm.N,$B$49,_xlpm.R,$B$48,_xlpm.Start,$B$47,_xlpm.PlanWD,AL644,_xlpm.PlanRoth,AM644,_xlpm.PlanConv,AN644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943585.41019608243</v>
      </c>
      <c r="AS644">
        <f>--AND(AK644&lt;=SUM('Retirement Gap'!$B$24:$B$25,'Retirement Gap'!$B$27),AL644+AN644&lt;=$B$47,AM644&lt;='Retirement Gap'!$B$29,ABS(AK644+AL644+AM644-$B$10)&lt;1)</f>
        <v>1</v>
      </c>
      <c r="AT644" cm="1">
        <f t="array" ref="AT644">IF(AS644=0,1E+99,_xlfn.SWITCH(LEFT($E$39,1),"1",AO644,"2",AP644*1000000000+AO644,"3",-AQ644,"4",AO644+AP644*25000+AR644*0.005-AQ644*0.0001,AO644))</f>
        <v>-964577.437147939</v>
      </c>
    </row>
    <row r="645" spans="33:46" x14ac:dyDescent="0.55000000000000004">
      <c r="AG645">
        <f t="shared" si="72"/>
        <v>644</v>
      </c>
      <c r="AH645">
        <f t="shared" si="73"/>
        <v>0.9</v>
      </c>
      <c r="AI645">
        <f t="shared" si="74"/>
        <v>0.8</v>
      </c>
      <c r="AJ645">
        <f t="shared" si="75"/>
        <v>0.2</v>
      </c>
      <c r="AK645">
        <f t="shared" si="76"/>
        <v>1214.8800000000001</v>
      </c>
      <c r="AL645">
        <f t="shared" si="77"/>
        <v>54669.599999999999</v>
      </c>
      <c r="AM645">
        <f>MIN(MAX(0,$B$10-AL645)*AI645,'Retirement Gap'!$B$29)</f>
        <v>4859.5200000000013</v>
      </c>
      <c r="AN645">
        <f>IF($E$40="B - Withdrawals + Roth conversions",AJ645*MAX(0,MIN($B$47-AL645,MIN($B$59,IRMAA!$C$16)-(AL645+$B$8*0.85+AK645*$B$46))),0)</f>
        <v>0</v>
      </c>
      <c r="AO645" cm="1">
        <f t="array" ref="AO645">_xlfn.LET(_xlpm.N,$B$49,_xlpm.R,$B$48,_xlpm.Start,$B$47,_xlpm.PlanWD,AL645,_xlpm.PlanRoth,AM645,_xlpm.PlanConv,AN645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41222.32</v>
      </c>
      <c r="AP645" cm="1">
        <f t="array" ref="AP645">_xlfn.LET(_xlpm.N,$B$49,_xlpm.R,$B$48,_xlpm.Start,$B$47,_xlpm.PlanWD,AL645,_xlpm.PlanRoth,AM645,_xlpm.PlanConv,AN645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645" cm="1">
        <f t="array" ref="AQ645">_xlfn.LET(_xlpm.N,$B$49,_xlpm.R,$B$48,_xlpm.Start,$B$47,_xlpm.PlanWD,AL645,_xlpm.PlanRoth,AM645,_xlpm.PlanConv,AN645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964577.437147939</v>
      </c>
      <c r="AR645" cm="1">
        <f t="array" ref="AR645">_xlfn.LET(_xlpm.N,$B$49,_xlpm.R,$B$48,_xlpm.Start,$B$47,_xlpm.PlanWD,AL645,_xlpm.PlanRoth,AM645,_xlpm.PlanConv,AN645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943585.41019608243</v>
      </c>
      <c r="AS645">
        <f>--AND(AK645&lt;=SUM('Retirement Gap'!$B$24:$B$25,'Retirement Gap'!$B$27),AL645+AN645&lt;=$B$47,AM645&lt;='Retirement Gap'!$B$29,ABS(AK645+AL645+AM645-$B$10)&lt;1)</f>
        <v>1</v>
      </c>
      <c r="AT645" cm="1">
        <f t="array" ref="AT645">IF(AS645=0,1E+99,_xlfn.SWITCH(LEFT($E$39,1),"1",AO645,"2",AP645*1000000000+AO645,"3",-AQ645,"4",AO645+AP645*25000+AR645*0.005-AQ645*0.0001,AO645))</f>
        <v>-964577.437147939</v>
      </c>
    </row>
    <row r="646" spans="33:46" x14ac:dyDescent="0.55000000000000004">
      <c r="AG646">
        <f t="shared" si="72"/>
        <v>645</v>
      </c>
      <c r="AH646">
        <f t="shared" si="73"/>
        <v>0.9</v>
      </c>
      <c r="AI646">
        <f t="shared" si="74"/>
        <v>0.8</v>
      </c>
      <c r="AJ646">
        <f t="shared" si="75"/>
        <v>0.4</v>
      </c>
      <c r="AK646">
        <f t="shared" si="76"/>
        <v>1214.8800000000001</v>
      </c>
      <c r="AL646">
        <f t="shared" si="77"/>
        <v>54669.599999999999</v>
      </c>
      <c r="AM646">
        <f>MIN(MAX(0,$B$10-AL646)*AI646,'Retirement Gap'!$B$29)</f>
        <v>4859.5200000000013</v>
      </c>
      <c r="AN646">
        <f>IF($E$40="B - Withdrawals + Roth conversions",AJ646*MAX(0,MIN($B$47-AL646,MIN($B$59,IRMAA!$C$16)-(AL646+$B$8*0.85+AK646*$B$46))),0)</f>
        <v>0</v>
      </c>
      <c r="AO646" cm="1">
        <f t="array" ref="AO646">_xlfn.LET(_xlpm.N,$B$49,_xlpm.R,$B$48,_xlpm.Start,$B$47,_xlpm.PlanWD,AL646,_xlpm.PlanRoth,AM646,_xlpm.PlanConv,AN646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41222.32</v>
      </c>
      <c r="AP646" cm="1">
        <f t="array" ref="AP646">_xlfn.LET(_xlpm.N,$B$49,_xlpm.R,$B$48,_xlpm.Start,$B$47,_xlpm.PlanWD,AL646,_xlpm.PlanRoth,AM646,_xlpm.PlanConv,AN646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646" cm="1">
        <f t="array" ref="AQ646">_xlfn.LET(_xlpm.N,$B$49,_xlpm.R,$B$48,_xlpm.Start,$B$47,_xlpm.PlanWD,AL646,_xlpm.PlanRoth,AM646,_xlpm.PlanConv,AN646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964577.437147939</v>
      </c>
      <c r="AR646" cm="1">
        <f t="array" ref="AR646">_xlfn.LET(_xlpm.N,$B$49,_xlpm.R,$B$48,_xlpm.Start,$B$47,_xlpm.PlanWD,AL646,_xlpm.PlanRoth,AM646,_xlpm.PlanConv,AN646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943585.41019608243</v>
      </c>
      <c r="AS646">
        <f>--AND(AK646&lt;=SUM('Retirement Gap'!$B$24:$B$25,'Retirement Gap'!$B$27),AL646+AN646&lt;=$B$47,AM646&lt;='Retirement Gap'!$B$29,ABS(AK646+AL646+AM646-$B$10)&lt;1)</f>
        <v>1</v>
      </c>
      <c r="AT646" cm="1">
        <f t="array" ref="AT646">IF(AS646=0,1E+99,_xlfn.SWITCH(LEFT($E$39,1),"1",AO646,"2",AP646*1000000000+AO646,"3",-AQ646,"4",AO646+AP646*25000+AR646*0.005-AQ646*0.0001,AO646))</f>
        <v>-964577.437147939</v>
      </c>
    </row>
    <row r="647" spans="33:46" x14ac:dyDescent="0.55000000000000004">
      <c r="AG647">
        <f t="shared" si="72"/>
        <v>646</v>
      </c>
      <c r="AH647">
        <f t="shared" si="73"/>
        <v>0.9</v>
      </c>
      <c r="AI647">
        <f t="shared" si="74"/>
        <v>0.8</v>
      </c>
      <c r="AJ647">
        <f t="shared" si="75"/>
        <v>0.6</v>
      </c>
      <c r="AK647">
        <f t="shared" si="76"/>
        <v>1214.8800000000001</v>
      </c>
      <c r="AL647">
        <f t="shared" si="77"/>
        <v>54669.599999999999</v>
      </c>
      <c r="AM647">
        <f>MIN(MAX(0,$B$10-AL647)*AI647,'Retirement Gap'!$B$29)</f>
        <v>4859.5200000000013</v>
      </c>
      <c r="AN647">
        <f>IF($E$40="B - Withdrawals + Roth conversions",AJ647*MAX(0,MIN($B$47-AL647,MIN($B$59,IRMAA!$C$16)-(AL647+$B$8*0.85+AK647*$B$46))),0)</f>
        <v>0</v>
      </c>
      <c r="AO647" cm="1">
        <f t="array" ref="AO647">_xlfn.LET(_xlpm.N,$B$49,_xlpm.R,$B$48,_xlpm.Start,$B$47,_xlpm.PlanWD,AL647,_xlpm.PlanRoth,AM647,_xlpm.PlanConv,AN647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41222.32</v>
      </c>
      <c r="AP647" cm="1">
        <f t="array" ref="AP647">_xlfn.LET(_xlpm.N,$B$49,_xlpm.R,$B$48,_xlpm.Start,$B$47,_xlpm.PlanWD,AL647,_xlpm.PlanRoth,AM647,_xlpm.PlanConv,AN647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647" cm="1">
        <f t="array" ref="AQ647">_xlfn.LET(_xlpm.N,$B$49,_xlpm.R,$B$48,_xlpm.Start,$B$47,_xlpm.PlanWD,AL647,_xlpm.PlanRoth,AM647,_xlpm.PlanConv,AN647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964577.437147939</v>
      </c>
      <c r="AR647" cm="1">
        <f t="array" ref="AR647">_xlfn.LET(_xlpm.N,$B$49,_xlpm.R,$B$48,_xlpm.Start,$B$47,_xlpm.PlanWD,AL647,_xlpm.PlanRoth,AM647,_xlpm.PlanConv,AN647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943585.41019608243</v>
      </c>
      <c r="AS647">
        <f>--AND(AK647&lt;=SUM('Retirement Gap'!$B$24:$B$25,'Retirement Gap'!$B$27),AL647+AN647&lt;=$B$47,AM647&lt;='Retirement Gap'!$B$29,ABS(AK647+AL647+AM647-$B$10)&lt;1)</f>
        <v>1</v>
      </c>
      <c r="AT647" cm="1">
        <f t="array" ref="AT647">IF(AS647=0,1E+99,_xlfn.SWITCH(LEFT($E$39,1),"1",AO647,"2",AP647*1000000000+AO647,"3",-AQ647,"4",AO647+AP647*25000+AR647*0.005-AQ647*0.0001,AO647))</f>
        <v>-964577.437147939</v>
      </c>
    </row>
    <row r="648" spans="33:46" x14ac:dyDescent="0.55000000000000004">
      <c r="AG648">
        <f t="shared" si="72"/>
        <v>647</v>
      </c>
      <c r="AH648">
        <f t="shared" si="73"/>
        <v>0.9</v>
      </c>
      <c r="AI648">
        <f t="shared" si="74"/>
        <v>0.8</v>
      </c>
      <c r="AJ648">
        <f t="shared" si="75"/>
        <v>0.8</v>
      </c>
      <c r="AK648">
        <f t="shared" si="76"/>
        <v>1214.8800000000001</v>
      </c>
      <c r="AL648">
        <f t="shared" si="77"/>
        <v>54669.599999999999</v>
      </c>
      <c r="AM648">
        <f>MIN(MAX(0,$B$10-AL648)*AI648,'Retirement Gap'!$B$29)</f>
        <v>4859.5200000000013</v>
      </c>
      <c r="AN648">
        <f>IF($E$40="B - Withdrawals + Roth conversions",AJ648*MAX(0,MIN($B$47-AL648,MIN($B$59,IRMAA!$C$16)-(AL648+$B$8*0.85+AK648*$B$46))),0)</f>
        <v>0</v>
      </c>
      <c r="AO648" cm="1">
        <f t="array" ref="AO648">_xlfn.LET(_xlpm.N,$B$49,_xlpm.R,$B$48,_xlpm.Start,$B$47,_xlpm.PlanWD,AL648,_xlpm.PlanRoth,AM648,_xlpm.PlanConv,AN648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41222.32</v>
      </c>
      <c r="AP648" cm="1">
        <f t="array" ref="AP648">_xlfn.LET(_xlpm.N,$B$49,_xlpm.R,$B$48,_xlpm.Start,$B$47,_xlpm.PlanWD,AL648,_xlpm.PlanRoth,AM648,_xlpm.PlanConv,AN648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648" cm="1">
        <f t="array" ref="AQ648">_xlfn.LET(_xlpm.N,$B$49,_xlpm.R,$B$48,_xlpm.Start,$B$47,_xlpm.PlanWD,AL648,_xlpm.PlanRoth,AM648,_xlpm.PlanConv,AN648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964577.437147939</v>
      </c>
      <c r="AR648" cm="1">
        <f t="array" ref="AR648">_xlfn.LET(_xlpm.N,$B$49,_xlpm.R,$B$48,_xlpm.Start,$B$47,_xlpm.PlanWD,AL648,_xlpm.PlanRoth,AM648,_xlpm.PlanConv,AN648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943585.41019608243</v>
      </c>
      <c r="AS648">
        <f>--AND(AK648&lt;=SUM('Retirement Gap'!$B$24:$B$25,'Retirement Gap'!$B$27),AL648+AN648&lt;=$B$47,AM648&lt;='Retirement Gap'!$B$29,ABS(AK648+AL648+AM648-$B$10)&lt;1)</f>
        <v>1</v>
      </c>
      <c r="AT648" cm="1">
        <f t="array" ref="AT648">IF(AS648=0,1E+99,_xlfn.SWITCH(LEFT($E$39,1),"1",AO648,"2",AP648*1000000000+AO648,"3",-AQ648,"4",AO648+AP648*25000+AR648*0.005-AQ648*0.0001,AO648))</f>
        <v>-964577.437147939</v>
      </c>
    </row>
    <row r="649" spans="33:46" x14ac:dyDescent="0.55000000000000004">
      <c r="AG649">
        <f t="shared" si="72"/>
        <v>648</v>
      </c>
      <c r="AH649">
        <f t="shared" si="73"/>
        <v>0.9</v>
      </c>
      <c r="AI649">
        <f t="shared" si="74"/>
        <v>0.8</v>
      </c>
      <c r="AJ649">
        <f t="shared" si="75"/>
        <v>1</v>
      </c>
      <c r="AK649">
        <f t="shared" si="76"/>
        <v>1214.8800000000001</v>
      </c>
      <c r="AL649">
        <f t="shared" si="77"/>
        <v>54669.599999999999</v>
      </c>
      <c r="AM649">
        <f>MIN(MAX(0,$B$10-AL649)*AI649,'Retirement Gap'!$B$29)</f>
        <v>4859.5200000000013</v>
      </c>
      <c r="AN649">
        <f>IF($E$40="B - Withdrawals + Roth conversions",AJ649*MAX(0,MIN($B$47-AL649,MIN($B$59,IRMAA!$C$16)-(AL649+$B$8*0.85+AK649*$B$46))),0)</f>
        <v>0</v>
      </c>
      <c r="AO649" cm="1">
        <f t="array" ref="AO649">_xlfn.LET(_xlpm.N,$B$49,_xlpm.R,$B$48,_xlpm.Start,$B$47,_xlpm.PlanWD,AL649,_xlpm.PlanRoth,AM649,_xlpm.PlanConv,AN649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41222.32</v>
      </c>
      <c r="AP649" cm="1">
        <f t="array" ref="AP649">_xlfn.LET(_xlpm.N,$B$49,_xlpm.R,$B$48,_xlpm.Start,$B$47,_xlpm.PlanWD,AL649,_xlpm.PlanRoth,AM649,_xlpm.PlanConv,AN649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649" cm="1">
        <f t="array" ref="AQ649">_xlfn.LET(_xlpm.N,$B$49,_xlpm.R,$B$48,_xlpm.Start,$B$47,_xlpm.PlanWD,AL649,_xlpm.PlanRoth,AM649,_xlpm.PlanConv,AN649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964577.437147939</v>
      </c>
      <c r="AR649" cm="1">
        <f t="array" ref="AR649">_xlfn.LET(_xlpm.N,$B$49,_xlpm.R,$B$48,_xlpm.Start,$B$47,_xlpm.PlanWD,AL649,_xlpm.PlanRoth,AM649,_xlpm.PlanConv,AN649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943585.41019608243</v>
      </c>
      <c r="AS649">
        <f>--AND(AK649&lt;=SUM('Retirement Gap'!$B$24:$B$25,'Retirement Gap'!$B$27),AL649+AN649&lt;=$B$47,AM649&lt;='Retirement Gap'!$B$29,ABS(AK649+AL649+AM649-$B$10)&lt;1)</f>
        <v>1</v>
      </c>
      <c r="AT649" cm="1">
        <f t="array" ref="AT649">IF(AS649=0,1E+99,_xlfn.SWITCH(LEFT($E$39,1),"1",AO649,"2",AP649*1000000000+AO649,"3",-AQ649,"4",AO649+AP649*25000+AR649*0.005-AQ649*0.0001,AO649))</f>
        <v>-964577.437147939</v>
      </c>
    </row>
    <row r="650" spans="33:46" x14ac:dyDescent="0.55000000000000004">
      <c r="AG650">
        <f t="shared" si="72"/>
        <v>649</v>
      </c>
      <c r="AH650">
        <f t="shared" si="73"/>
        <v>0.9</v>
      </c>
      <c r="AI650">
        <f t="shared" si="74"/>
        <v>0.9</v>
      </c>
      <c r="AJ650">
        <f t="shared" si="75"/>
        <v>0</v>
      </c>
      <c r="AK650">
        <f t="shared" si="76"/>
        <v>607.4399999999996</v>
      </c>
      <c r="AL650">
        <f t="shared" si="77"/>
        <v>54669.599999999999</v>
      </c>
      <c r="AM650">
        <f>MIN(MAX(0,$B$10-AL650)*AI650,'Retirement Gap'!$B$29)</f>
        <v>5466.9600000000019</v>
      </c>
      <c r="AN650">
        <f>IF($E$40="B - Withdrawals + Roth conversions",AJ650*MAX(0,MIN($B$47-AL650,MIN($B$59,IRMAA!$C$16)-(AL650+$B$8*0.85+AK650*$B$46))),0)</f>
        <v>0</v>
      </c>
      <c r="AO650" cm="1">
        <f t="array" ref="AO650">_xlfn.LET(_xlpm.N,$B$49,_xlpm.R,$B$48,_xlpm.Start,$B$47,_xlpm.PlanWD,AL650,_xlpm.PlanRoth,AM650,_xlpm.PlanConv,AN650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41222.32</v>
      </c>
      <c r="AP650" cm="1">
        <f t="array" ref="AP650">_xlfn.LET(_xlpm.N,$B$49,_xlpm.R,$B$48,_xlpm.Start,$B$47,_xlpm.PlanWD,AL650,_xlpm.PlanRoth,AM650,_xlpm.PlanConv,AN650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650" cm="1">
        <f t="array" ref="AQ650">_xlfn.LET(_xlpm.N,$B$49,_xlpm.R,$B$48,_xlpm.Start,$B$47,_xlpm.PlanWD,AL650,_xlpm.PlanRoth,AM650,_xlpm.PlanConv,AN650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964577.437147939</v>
      </c>
      <c r="AR650" cm="1">
        <f t="array" ref="AR650">_xlfn.LET(_xlpm.N,$B$49,_xlpm.R,$B$48,_xlpm.Start,$B$47,_xlpm.PlanWD,AL650,_xlpm.PlanRoth,AM650,_xlpm.PlanConv,AN650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943585.41019608243</v>
      </c>
      <c r="AS650">
        <f>--AND(AK650&lt;=SUM('Retirement Gap'!$B$24:$B$25,'Retirement Gap'!$B$27),AL650+AN650&lt;=$B$47,AM650&lt;='Retirement Gap'!$B$29,ABS(AK650+AL650+AM650-$B$10)&lt;1)</f>
        <v>1</v>
      </c>
      <c r="AT650" cm="1">
        <f t="array" ref="AT650">IF(AS650=0,1E+99,_xlfn.SWITCH(LEFT($E$39,1),"1",AO650,"2",AP650*1000000000+AO650,"3",-AQ650,"4",AO650+AP650*25000+AR650*0.005-AQ650*0.0001,AO650))</f>
        <v>-964577.437147939</v>
      </c>
    </row>
    <row r="651" spans="33:46" x14ac:dyDescent="0.55000000000000004">
      <c r="AG651">
        <f t="shared" si="72"/>
        <v>650</v>
      </c>
      <c r="AH651">
        <f t="shared" si="73"/>
        <v>0.9</v>
      </c>
      <c r="AI651">
        <f t="shared" si="74"/>
        <v>0.9</v>
      </c>
      <c r="AJ651">
        <f t="shared" si="75"/>
        <v>0.2</v>
      </c>
      <c r="AK651">
        <f t="shared" si="76"/>
        <v>607.4399999999996</v>
      </c>
      <c r="AL651">
        <f t="shared" si="77"/>
        <v>54669.599999999999</v>
      </c>
      <c r="AM651">
        <f>MIN(MAX(0,$B$10-AL651)*AI651,'Retirement Gap'!$B$29)</f>
        <v>5466.9600000000019</v>
      </c>
      <c r="AN651">
        <f>IF($E$40="B - Withdrawals + Roth conversions",AJ651*MAX(0,MIN($B$47-AL651,MIN($B$59,IRMAA!$C$16)-(AL651+$B$8*0.85+AK651*$B$46))),0)</f>
        <v>0</v>
      </c>
      <c r="AO651" cm="1">
        <f t="array" ref="AO651">_xlfn.LET(_xlpm.N,$B$49,_xlpm.R,$B$48,_xlpm.Start,$B$47,_xlpm.PlanWD,AL651,_xlpm.PlanRoth,AM651,_xlpm.PlanConv,AN651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41222.32</v>
      </c>
      <c r="AP651" cm="1">
        <f t="array" ref="AP651">_xlfn.LET(_xlpm.N,$B$49,_xlpm.R,$B$48,_xlpm.Start,$B$47,_xlpm.PlanWD,AL651,_xlpm.PlanRoth,AM651,_xlpm.PlanConv,AN651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651" cm="1">
        <f t="array" ref="AQ651">_xlfn.LET(_xlpm.N,$B$49,_xlpm.R,$B$48,_xlpm.Start,$B$47,_xlpm.PlanWD,AL651,_xlpm.PlanRoth,AM651,_xlpm.PlanConv,AN651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964577.437147939</v>
      </c>
      <c r="AR651" cm="1">
        <f t="array" ref="AR651">_xlfn.LET(_xlpm.N,$B$49,_xlpm.R,$B$48,_xlpm.Start,$B$47,_xlpm.PlanWD,AL651,_xlpm.PlanRoth,AM651,_xlpm.PlanConv,AN651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943585.41019608243</v>
      </c>
      <c r="AS651">
        <f>--AND(AK651&lt;=SUM('Retirement Gap'!$B$24:$B$25,'Retirement Gap'!$B$27),AL651+AN651&lt;=$B$47,AM651&lt;='Retirement Gap'!$B$29,ABS(AK651+AL651+AM651-$B$10)&lt;1)</f>
        <v>1</v>
      </c>
      <c r="AT651" cm="1">
        <f t="array" ref="AT651">IF(AS651=0,1E+99,_xlfn.SWITCH(LEFT($E$39,1),"1",AO651,"2",AP651*1000000000+AO651,"3",-AQ651,"4",AO651+AP651*25000+AR651*0.005-AQ651*0.0001,AO651))</f>
        <v>-964577.437147939</v>
      </c>
    </row>
    <row r="652" spans="33:46" x14ac:dyDescent="0.55000000000000004">
      <c r="AG652">
        <f t="shared" si="72"/>
        <v>651</v>
      </c>
      <c r="AH652">
        <f t="shared" si="73"/>
        <v>0.9</v>
      </c>
      <c r="AI652">
        <f t="shared" si="74"/>
        <v>0.9</v>
      </c>
      <c r="AJ652">
        <f t="shared" si="75"/>
        <v>0.4</v>
      </c>
      <c r="AK652">
        <f t="shared" si="76"/>
        <v>607.4399999999996</v>
      </c>
      <c r="AL652">
        <f t="shared" si="77"/>
        <v>54669.599999999999</v>
      </c>
      <c r="AM652">
        <f>MIN(MAX(0,$B$10-AL652)*AI652,'Retirement Gap'!$B$29)</f>
        <v>5466.9600000000019</v>
      </c>
      <c r="AN652">
        <f>IF($E$40="B - Withdrawals + Roth conversions",AJ652*MAX(0,MIN($B$47-AL652,MIN($B$59,IRMAA!$C$16)-(AL652+$B$8*0.85+AK652*$B$46))),0)</f>
        <v>0</v>
      </c>
      <c r="AO652" cm="1">
        <f t="array" ref="AO652">_xlfn.LET(_xlpm.N,$B$49,_xlpm.R,$B$48,_xlpm.Start,$B$47,_xlpm.PlanWD,AL652,_xlpm.PlanRoth,AM652,_xlpm.PlanConv,AN652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41222.32</v>
      </c>
      <c r="AP652" cm="1">
        <f t="array" ref="AP652">_xlfn.LET(_xlpm.N,$B$49,_xlpm.R,$B$48,_xlpm.Start,$B$47,_xlpm.PlanWD,AL652,_xlpm.PlanRoth,AM652,_xlpm.PlanConv,AN652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652" cm="1">
        <f t="array" ref="AQ652">_xlfn.LET(_xlpm.N,$B$49,_xlpm.R,$B$48,_xlpm.Start,$B$47,_xlpm.PlanWD,AL652,_xlpm.PlanRoth,AM652,_xlpm.PlanConv,AN652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964577.437147939</v>
      </c>
      <c r="AR652" cm="1">
        <f t="array" ref="AR652">_xlfn.LET(_xlpm.N,$B$49,_xlpm.R,$B$48,_xlpm.Start,$B$47,_xlpm.PlanWD,AL652,_xlpm.PlanRoth,AM652,_xlpm.PlanConv,AN652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943585.41019608243</v>
      </c>
      <c r="AS652">
        <f>--AND(AK652&lt;=SUM('Retirement Gap'!$B$24:$B$25,'Retirement Gap'!$B$27),AL652+AN652&lt;=$B$47,AM652&lt;='Retirement Gap'!$B$29,ABS(AK652+AL652+AM652-$B$10)&lt;1)</f>
        <v>1</v>
      </c>
      <c r="AT652" cm="1">
        <f t="array" ref="AT652">IF(AS652=0,1E+99,_xlfn.SWITCH(LEFT($E$39,1),"1",AO652,"2",AP652*1000000000+AO652,"3",-AQ652,"4",AO652+AP652*25000+AR652*0.005-AQ652*0.0001,AO652))</f>
        <v>-964577.437147939</v>
      </c>
    </row>
    <row r="653" spans="33:46" x14ac:dyDescent="0.55000000000000004">
      <c r="AG653">
        <f t="shared" si="72"/>
        <v>652</v>
      </c>
      <c r="AH653">
        <f t="shared" si="73"/>
        <v>0.9</v>
      </c>
      <c r="AI653">
        <f t="shared" si="74"/>
        <v>0.9</v>
      </c>
      <c r="AJ653">
        <f t="shared" si="75"/>
        <v>0.6</v>
      </c>
      <c r="AK653">
        <f t="shared" si="76"/>
        <v>607.4399999999996</v>
      </c>
      <c r="AL653">
        <f t="shared" si="77"/>
        <v>54669.599999999999</v>
      </c>
      <c r="AM653">
        <f>MIN(MAX(0,$B$10-AL653)*AI653,'Retirement Gap'!$B$29)</f>
        <v>5466.9600000000019</v>
      </c>
      <c r="AN653">
        <f>IF($E$40="B - Withdrawals + Roth conversions",AJ653*MAX(0,MIN($B$47-AL653,MIN($B$59,IRMAA!$C$16)-(AL653+$B$8*0.85+AK653*$B$46))),0)</f>
        <v>0</v>
      </c>
      <c r="AO653" cm="1">
        <f t="array" ref="AO653">_xlfn.LET(_xlpm.N,$B$49,_xlpm.R,$B$48,_xlpm.Start,$B$47,_xlpm.PlanWD,AL653,_xlpm.PlanRoth,AM653,_xlpm.PlanConv,AN653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41222.32</v>
      </c>
      <c r="AP653" cm="1">
        <f t="array" ref="AP653">_xlfn.LET(_xlpm.N,$B$49,_xlpm.R,$B$48,_xlpm.Start,$B$47,_xlpm.PlanWD,AL653,_xlpm.PlanRoth,AM653,_xlpm.PlanConv,AN653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653" cm="1">
        <f t="array" ref="AQ653">_xlfn.LET(_xlpm.N,$B$49,_xlpm.R,$B$48,_xlpm.Start,$B$47,_xlpm.PlanWD,AL653,_xlpm.PlanRoth,AM653,_xlpm.PlanConv,AN653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964577.437147939</v>
      </c>
      <c r="AR653" cm="1">
        <f t="array" ref="AR653">_xlfn.LET(_xlpm.N,$B$49,_xlpm.R,$B$48,_xlpm.Start,$B$47,_xlpm.PlanWD,AL653,_xlpm.PlanRoth,AM653,_xlpm.PlanConv,AN653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943585.41019608243</v>
      </c>
      <c r="AS653">
        <f>--AND(AK653&lt;=SUM('Retirement Gap'!$B$24:$B$25,'Retirement Gap'!$B$27),AL653+AN653&lt;=$B$47,AM653&lt;='Retirement Gap'!$B$29,ABS(AK653+AL653+AM653-$B$10)&lt;1)</f>
        <v>1</v>
      </c>
      <c r="AT653" cm="1">
        <f t="array" ref="AT653">IF(AS653=0,1E+99,_xlfn.SWITCH(LEFT($E$39,1),"1",AO653,"2",AP653*1000000000+AO653,"3",-AQ653,"4",AO653+AP653*25000+AR653*0.005-AQ653*0.0001,AO653))</f>
        <v>-964577.437147939</v>
      </c>
    </row>
    <row r="654" spans="33:46" x14ac:dyDescent="0.55000000000000004">
      <c r="AG654">
        <f t="shared" si="72"/>
        <v>653</v>
      </c>
      <c r="AH654">
        <f t="shared" si="73"/>
        <v>0.9</v>
      </c>
      <c r="AI654">
        <f t="shared" si="74"/>
        <v>0.9</v>
      </c>
      <c r="AJ654">
        <f t="shared" si="75"/>
        <v>0.8</v>
      </c>
      <c r="AK654">
        <f t="shared" si="76"/>
        <v>607.4399999999996</v>
      </c>
      <c r="AL654">
        <f t="shared" si="77"/>
        <v>54669.599999999999</v>
      </c>
      <c r="AM654">
        <f>MIN(MAX(0,$B$10-AL654)*AI654,'Retirement Gap'!$B$29)</f>
        <v>5466.9600000000019</v>
      </c>
      <c r="AN654">
        <f>IF($E$40="B - Withdrawals + Roth conversions",AJ654*MAX(0,MIN($B$47-AL654,MIN($B$59,IRMAA!$C$16)-(AL654+$B$8*0.85+AK654*$B$46))),0)</f>
        <v>0</v>
      </c>
      <c r="AO654" cm="1">
        <f t="array" ref="AO654">_xlfn.LET(_xlpm.N,$B$49,_xlpm.R,$B$48,_xlpm.Start,$B$47,_xlpm.PlanWD,AL654,_xlpm.PlanRoth,AM654,_xlpm.PlanConv,AN654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41222.32</v>
      </c>
      <c r="AP654" cm="1">
        <f t="array" ref="AP654">_xlfn.LET(_xlpm.N,$B$49,_xlpm.R,$B$48,_xlpm.Start,$B$47,_xlpm.PlanWD,AL654,_xlpm.PlanRoth,AM654,_xlpm.PlanConv,AN654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654" cm="1">
        <f t="array" ref="AQ654">_xlfn.LET(_xlpm.N,$B$49,_xlpm.R,$B$48,_xlpm.Start,$B$47,_xlpm.PlanWD,AL654,_xlpm.PlanRoth,AM654,_xlpm.PlanConv,AN654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964577.437147939</v>
      </c>
      <c r="AR654" cm="1">
        <f t="array" ref="AR654">_xlfn.LET(_xlpm.N,$B$49,_xlpm.R,$B$48,_xlpm.Start,$B$47,_xlpm.PlanWD,AL654,_xlpm.PlanRoth,AM654,_xlpm.PlanConv,AN654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943585.41019608243</v>
      </c>
      <c r="AS654">
        <f>--AND(AK654&lt;=SUM('Retirement Gap'!$B$24:$B$25,'Retirement Gap'!$B$27),AL654+AN654&lt;=$B$47,AM654&lt;='Retirement Gap'!$B$29,ABS(AK654+AL654+AM654-$B$10)&lt;1)</f>
        <v>1</v>
      </c>
      <c r="AT654" cm="1">
        <f t="array" ref="AT654">IF(AS654=0,1E+99,_xlfn.SWITCH(LEFT($E$39,1),"1",AO654,"2",AP654*1000000000+AO654,"3",-AQ654,"4",AO654+AP654*25000+AR654*0.005-AQ654*0.0001,AO654))</f>
        <v>-964577.437147939</v>
      </c>
    </row>
    <row r="655" spans="33:46" x14ac:dyDescent="0.55000000000000004">
      <c r="AG655">
        <f t="shared" si="72"/>
        <v>654</v>
      </c>
      <c r="AH655">
        <f t="shared" si="73"/>
        <v>0.9</v>
      </c>
      <c r="AI655">
        <f t="shared" si="74"/>
        <v>0.9</v>
      </c>
      <c r="AJ655">
        <f t="shared" si="75"/>
        <v>1</v>
      </c>
      <c r="AK655">
        <f t="shared" si="76"/>
        <v>607.4399999999996</v>
      </c>
      <c r="AL655">
        <f t="shared" si="77"/>
        <v>54669.599999999999</v>
      </c>
      <c r="AM655">
        <f>MIN(MAX(0,$B$10-AL655)*AI655,'Retirement Gap'!$B$29)</f>
        <v>5466.9600000000019</v>
      </c>
      <c r="AN655">
        <f>IF($E$40="B - Withdrawals + Roth conversions",AJ655*MAX(0,MIN($B$47-AL655,MIN($B$59,IRMAA!$C$16)-(AL655+$B$8*0.85+AK655*$B$46))),0)</f>
        <v>0</v>
      </c>
      <c r="AO655" cm="1">
        <f t="array" ref="AO655">_xlfn.LET(_xlpm.N,$B$49,_xlpm.R,$B$48,_xlpm.Start,$B$47,_xlpm.PlanWD,AL655,_xlpm.PlanRoth,AM655,_xlpm.PlanConv,AN655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41222.32</v>
      </c>
      <c r="AP655" cm="1">
        <f t="array" ref="AP655">_xlfn.LET(_xlpm.N,$B$49,_xlpm.R,$B$48,_xlpm.Start,$B$47,_xlpm.PlanWD,AL655,_xlpm.PlanRoth,AM655,_xlpm.PlanConv,AN655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655" cm="1">
        <f t="array" ref="AQ655">_xlfn.LET(_xlpm.N,$B$49,_xlpm.R,$B$48,_xlpm.Start,$B$47,_xlpm.PlanWD,AL655,_xlpm.PlanRoth,AM655,_xlpm.PlanConv,AN655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964577.437147939</v>
      </c>
      <c r="AR655" cm="1">
        <f t="array" ref="AR655">_xlfn.LET(_xlpm.N,$B$49,_xlpm.R,$B$48,_xlpm.Start,$B$47,_xlpm.PlanWD,AL655,_xlpm.PlanRoth,AM655,_xlpm.PlanConv,AN655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943585.41019608243</v>
      </c>
      <c r="AS655">
        <f>--AND(AK655&lt;=SUM('Retirement Gap'!$B$24:$B$25,'Retirement Gap'!$B$27),AL655+AN655&lt;=$B$47,AM655&lt;='Retirement Gap'!$B$29,ABS(AK655+AL655+AM655-$B$10)&lt;1)</f>
        <v>1</v>
      </c>
      <c r="AT655" cm="1">
        <f t="array" ref="AT655">IF(AS655=0,1E+99,_xlfn.SWITCH(LEFT($E$39,1),"1",AO655,"2",AP655*1000000000+AO655,"3",-AQ655,"4",AO655+AP655*25000+AR655*0.005-AQ655*0.0001,AO655))</f>
        <v>-964577.437147939</v>
      </c>
    </row>
    <row r="656" spans="33:46" x14ac:dyDescent="0.55000000000000004">
      <c r="AG656">
        <f t="shared" si="72"/>
        <v>655</v>
      </c>
      <c r="AH656">
        <f t="shared" si="73"/>
        <v>0.9</v>
      </c>
      <c r="AI656">
        <f t="shared" si="74"/>
        <v>1</v>
      </c>
      <c r="AJ656">
        <f t="shared" si="75"/>
        <v>0</v>
      </c>
      <c r="AK656">
        <f t="shared" si="76"/>
        <v>0</v>
      </c>
      <c r="AL656">
        <f t="shared" si="77"/>
        <v>54669.599999999999</v>
      </c>
      <c r="AM656">
        <f>MIN(MAX(0,$B$10-AL656)*AI656,'Retirement Gap'!$B$29)</f>
        <v>6074.4000000000015</v>
      </c>
      <c r="AN656">
        <f>IF($E$40="B - Withdrawals + Roth conversions",AJ656*MAX(0,MIN($B$47-AL656,MIN($B$59,IRMAA!$C$16)-(AL656+$B$8*0.85+AK656*$B$46))),0)</f>
        <v>0</v>
      </c>
      <c r="AO656" cm="1">
        <f t="array" ref="AO656">_xlfn.LET(_xlpm.N,$B$49,_xlpm.R,$B$48,_xlpm.Start,$B$47,_xlpm.PlanWD,AL656,_xlpm.PlanRoth,AM656,_xlpm.PlanConv,AN656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41222.32</v>
      </c>
      <c r="AP656" cm="1">
        <f t="array" ref="AP656">_xlfn.LET(_xlpm.N,$B$49,_xlpm.R,$B$48,_xlpm.Start,$B$47,_xlpm.PlanWD,AL656,_xlpm.PlanRoth,AM656,_xlpm.PlanConv,AN656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656" cm="1">
        <f t="array" ref="AQ656">_xlfn.LET(_xlpm.N,$B$49,_xlpm.R,$B$48,_xlpm.Start,$B$47,_xlpm.PlanWD,AL656,_xlpm.PlanRoth,AM656,_xlpm.PlanConv,AN656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964577.437147939</v>
      </c>
      <c r="AR656" cm="1">
        <f t="array" ref="AR656">_xlfn.LET(_xlpm.N,$B$49,_xlpm.R,$B$48,_xlpm.Start,$B$47,_xlpm.PlanWD,AL656,_xlpm.PlanRoth,AM656,_xlpm.PlanConv,AN656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943585.41019608243</v>
      </c>
      <c r="AS656">
        <f>--AND(AK656&lt;=SUM('Retirement Gap'!$B$24:$B$25,'Retirement Gap'!$B$27),AL656+AN656&lt;=$B$47,AM656&lt;='Retirement Gap'!$B$29,ABS(AK656+AL656+AM656-$B$10)&lt;1)</f>
        <v>1</v>
      </c>
      <c r="AT656" cm="1">
        <f t="array" ref="AT656">IF(AS656=0,1E+99,_xlfn.SWITCH(LEFT($E$39,1),"1",AO656,"2",AP656*1000000000+AO656,"3",-AQ656,"4",AO656+AP656*25000+AR656*0.005-AQ656*0.0001,AO656))</f>
        <v>-964577.437147939</v>
      </c>
    </row>
    <row r="657" spans="33:46" x14ac:dyDescent="0.55000000000000004">
      <c r="AG657">
        <f t="shared" si="72"/>
        <v>656</v>
      </c>
      <c r="AH657">
        <f t="shared" si="73"/>
        <v>0.9</v>
      </c>
      <c r="AI657">
        <f t="shared" si="74"/>
        <v>1</v>
      </c>
      <c r="AJ657">
        <f t="shared" si="75"/>
        <v>0.2</v>
      </c>
      <c r="AK657">
        <f t="shared" si="76"/>
        <v>0</v>
      </c>
      <c r="AL657">
        <f t="shared" si="77"/>
        <v>54669.599999999999</v>
      </c>
      <c r="AM657">
        <f>MIN(MAX(0,$B$10-AL657)*AI657,'Retirement Gap'!$B$29)</f>
        <v>6074.4000000000015</v>
      </c>
      <c r="AN657">
        <f>IF($E$40="B - Withdrawals + Roth conversions",AJ657*MAX(0,MIN($B$47-AL657,MIN($B$59,IRMAA!$C$16)-(AL657+$B$8*0.85+AK657*$B$46))),0)</f>
        <v>0</v>
      </c>
      <c r="AO657" cm="1">
        <f t="array" ref="AO657">_xlfn.LET(_xlpm.N,$B$49,_xlpm.R,$B$48,_xlpm.Start,$B$47,_xlpm.PlanWD,AL657,_xlpm.PlanRoth,AM657,_xlpm.PlanConv,AN657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41222.32</v>
      </c>
      <c r="AP657" cm="1">
        <f t="array" ref="AP657">_xlfn.LET(_xlpm.N,$B$49,_xlpm.R,$B$48,_xlpm.Start,$B$47,_xlpm.PlanWD,AL657,_xlpm.PlanRoth,AM657,_xlpm.PlanConv,AN657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657" cm="1">
        <f t="array" ref="AQ657">_xlfn.LET(_xlpm.N,$B$49,_xlpm.R,$B$48,_xlpm.Start,$B$47,_xlpm.PlanWD,AL657,_xlpm.PlanRoth,AM657,_xlpm.PlanConv,AN657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964577.437147939</v>
      </c>
      <c r="AR657" cm="1">
        <f t="array" ref="AR657">_xlfn.LET(_xlpm.N,$B$49,_xlpm.R,$B$48,_xlpm.Start,$B$47,_xlpm.PlanWD,AL657,_xlpm.PlanRoth,AM657,_xlpm.PlanConv,AN657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943585.41019608243</v>
      </c>
      <c r="AS657">
        <f>--AND(AK657&lt;=SUM('Retirement Gap'!$B$24:$B$25,'Retirement Gap'!$B$27),AL657+AN657&lt;=$B$47,AM657&lt;='Retirement Gap'!$B$29,ABS(AK657+AL657+AM657-$B$10)&lt;1)</f>
        <v>1</v>
      </c>
      <c r="AT657" cm="1">
        <f t="array" ref="AT657">IF(AS657=0,1E+99,_xlfn.SWITCH(LEFT($E$39,1),"1",AO657,"2",AP657*1000000000+AO657,"3",-AQ657,"4",AO657+AP657*25000+AR657*0.005-AQ657*0.0001,AO657))</f>
        <v>-964577.437147939</v>
      </c>
    </row>
    <row r="658" spans="33:46" x14ac:dyDescent="0.55000000000000004">
      <c r="AG658">
        <f t="shared" si="72"/>
        <v>657</v>
      </c>
      <c r="AH658">
        <f t="shared" si="73"/>
        <v>0.9</v>
      </c>
      <c r="AI658">
        <f t="shared" si="74"/>
        <v>1</v>
      </c>
      <c r="AJ658">
        <f t="shared" si="75"/>
        <v>0.4</v>
      </c>
      <c r="AK658">
        <f t="shared" si="76"/>
        <v>0</v>
      </c>
      <c r="AL658">
        <f t="shared" si="77"/>
        <v>54669.599999999999</v>
      </c>
      <c r="AM658">
        <f>MIN(MAX(0,$B$10-AL658)*AI658,'Retirement Gap'!$B$29)</f>
        <v>6074.4000000000015</v>
      </c>
      <c r="AN658">
        <f>IF($E$40="B - Withdrawals + Roth conversions",AJ658*MAX(0,MIN($B$47-AL658,MIN($B$59,IRMAA!$C$16)-(AL658+$B$8*0.85+AK658*$B$46))),0)</f>
        <v>0</v>
      </c>
      <c r="AO658" cm="1">
        <f t="array" ref="AO658">_xlfn.LET(_xlpm.N,$B$49,_xlpm.R,$B$48,_xlpm.Start,$B$47,_xlpm.PlanWD,AL658,_xlpm.PlanRoth,AM658,_xlpm.PlanConv,AN658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41222.32</v>
      </c>
      <c r="AP658" cm="1">
        <f t="array" ref="AP658">_xlfn.LET(_xlpm.N,$B$49,_xlpm.R,$B$48,_xlpm.Start,$B$47,_xlpm.PlanWD,AL658,_xlpm.PlanRoth,AM658,_xlpm.PlanConv,AN658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658" cm="1">
        <f t="array" ref="AQ658">_xlfn.LET(_xlpm.N,$B$49,_xlpm.R,$B$48,_xlpm.Start,$B$47,_xlpm.PlanWD,AL658,_xlpm.PlanRoth,AM658,_xlpm.PlanConv,AN658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964577.437147939</v>
      </c>
      <c r="AR658" cm="1">
        <f t="array" ref="AR658">_xlfn.LET(_xlpm.N,$B$49,_xlpm.R,$B$48,_xlpm.Start,$B$47,_xlpm.PlanWD,AL658,_xlpm.PlanRoth,AM658,_xlpm.PlanConv,AN658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943585.41019608243</v>
      </c>
      <c r="AS658">
        <f>--AND(AK658&lt;=SUM('Retirement Gap'!$B$24:$B$25,'Retirement Gap'!$B$27),AL658+AN658&lt;=$B$47,AM658&lt;='Retirement Gap'!$B$29,ABS(AK658+AL658+AM658-$B$10)&lt;1)</f>
        <v>1</v>
      </c>
      <c r="AT658" cm="1">
        <f t="array" ref="AT658">IF(AS658=0,1E+99,_xlfn.SWITCH(LEFT($E$39,1),"1",AO658,"2",AP658*1000000000+AO658,"3",-AQ658,"4",AO658+AP658*25000+AR658*0.005-AQ658*0.0001,AO658))</f>
        <v>-964577.437147939</v>
      </c>
    </row>
    <row r="659" spans="33:46" x14ac:dyDescent="0.55000000000000004">
      <c r="AG659">
        <f t="shared" si="72"/>
        <v>658</v>
      </c>
      <c r="AH659">
        <f t="shared" si="73"/>
        <v>0.9</v>
      </c>
      <c r="AI659">
        <f t="shared" si="74"/>
        <v>1</v>
      </c>
      <c r="AJ659">
        <f t="shared" si="75"/>
        <v>0.6</v>
      </c>
      <c r="AK659">
        <f t="shared" si="76"/>
        <v>0</v>
      </c>
      <c r="AL659">
        <f t="shared" si="77"/>
        <v>54669.599999999999</v>
      </c>
      <c r="AM659">
        <f>MIN(MAX(0,$B$10-AL659)*AI659,'Retirement Gap'!$B$29)</f>
        <v>6074.4000000000015</v>
      </c>
      <c r="AN659">
        <f>IF($E$40="B - Withdrawals + Roth conversions",AJ659*MAX(0,MIN($B$47-AL659,MIN($B$59,IRMAA!$C$16)-(AL659+$B$8*0.85+AK659*$B$46))),0)</f>
        <v>0</v>
      </c>
      <c r="AO659" cm="1">
        <f t="array" ref="AO659">_xlfn.LET(_xlpm.N,$B$49,_xlpm.R,$B$48,_xlpm.Start,$B$47,_xlpm.PlanWD,AL659,_xlpm.PlanRoth,AM659,_xlpm.PlanConv,AN659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41222.32</v>
      </c>
      <c r="AP659" cm="1">
        <f t="array" ref="AP659">_xlfn.LET(_xlpm.N,$B$49,_xlpm.R,$B$48,_xlpm.Start,$B$47,_xlpm.PlanWD,AL659,_xlpm.PlanRoth,AM659,_xlpm.PlanConv,AN659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659" cm="1">
        <f t="array" ref="AQ659">_xlfn.LET(_xlpm.N,$B$49,_xlpm.R,$B$48,_xlpm.Start,$B$47,_xlpm.PlanWD,AL659,_xlpm.PlanRoth,AM659,_xlpm.PlanConv,AN659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964577.437147939</v>
      </c>
      <c r="AR659" cm="1">
        <f t="array" ref="AR659">_xlfn.LET(_xlpm.N,$B$49,_xlpm.R,$B$48,_xlpm.Start,$B$47,_xlpm.PlanWD,AL659,_xlpm.PlanRoth,AM659,_xlpm.PlanConv,AN659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943585.41019608243</v>
      </c>
      <c r="AS659">
        <f>--AND(AK659&lt;=SUM('Retirement Gap'!$B$24:$B$25,'Retirement Gap'!$B$27),AL659+AN659&lt;=$B$47,AM659&lt;='Retirement Gap'!$B$29,ABS(AK659+AL659+AM659-$B$10)&lt;1)</f>
        <v>1</v>
      </c>
      <c r="AT659" cm="1">
        <f t="array" ref="AT659">IF(AS659=0,1E+99,_xlfn.SWITCH(LEFT($E$39,1),"1",AO659,"2",AP659*1000000000+AO659,"3",-AQ659,"4",AO659+AP659*25000+AR659*0.005-AQ659*0.0001,AO659))</f>
        <v>-964577.437147939</v>
      </c>
    </row>
    <row r="660" spans="33:46" x14ac:dyDescent="0.55000000000000004">
      <c r="AG660">
        <f t="shared" si="72"/>
        <v>659</v>
      </c>
      <c r="AH660">
        <f t="shared" si="73"/>
        <v>0.9</v>
      </c>
      <c r="AI660">
        <f t="shared" si="74"/>
        <v>1</v>
      </c>
      <c r="AJ660">
        <f t="shared" si="75"/>
        <v>0.8</v>
      </c>
      <c r="AK660">
        <f t="shared" si="76"/>
        <v>0</v>
      </c>
      <c r="AL660">
        <f t="shared" si="77"/>
        <v>54669.599999999999</v>
      </c>
      <c r="AM660">
        <f>MIN(MAX(0,$B$10-AL660)*AI660,'Retirement Gap'!$B$29)</f>
        <v>6074.4000000000015</v>
      </c>
      <c r="AN660">
        <f>IF($E$40="B - Withdrawals + Roth conversions",AJ660*MAX(0,MIN($B$47-AL660,MIN($B$59,IRMAA!$C$16)-(AL660+$B$8*0.85+AK660*$B$46))),0)</f>
        <v>0</v>
      </c>
      <c r="AO660" cm="1">
        <f t="array" ref="AO660">_xlfn.LET(_xlpm.N,$B$49,_xlpm.R,$B$48,_xlpm.Start,$B$47,_xlpm.PlanWD,AL660,_xlpm.PlanRoth,AM660,_xlpm.PlanConv,AN660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41222.32</v>
      </c>
      <c r="AP660" cm="1">
        <f t="array" ref="AP660">_xlfn.LET(_xlpm.N,$B$49,_xlpm.R,$B$48,_xlpm.Start,$B$47,_xlpm.PlanWD,AL660,_xlpm.PlanRoth,AM660,_xlpm.PlanConv,AN660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660" cm="1">
        <f t="array" ref="AQ660">_xlfn.LET(_xlpm.N,$B$49,_xlpm.R,$B$48,_xlpm.Start,$B$47,_xlpm.PlanWD,AL660,_xlpm.PlanRoth,AM660,_xlpm.PlanConv,AN660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964577.437147939</v>
      </c>
      <c r="AR660" cm="1">
        <f t="array" ref="AR660">_xlfn.LET(_xlpm.N,$B$49,_xlpm.R,$B$48,_xlpm.Start,$B$47,_xlpm.PlanWD,AL660,_xlpm.PlanRoth,AM660,_xlpm.PlanConv,AN660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943585.41019608243</v>
      </c>
      <c r="AS660">
        <f>--AND(AK660&lt;=SUM('Retirement Gap'!$B$24:$B$25,'Retirement Gap'!$B$27),AL660+AN660&lt;=$B$47,AM660&lt;='Retirement Gap'!$B$29,ABS(AK660+AL660+AM660-$B$10)&lt;1)</f>
        <v>1</v>
      </c>
      <c r="AT660" cm="1">
        <f t="array" ref="AT660">IF(AS660=0,1E+99,_xlfn.SWITCH(LEFT($E$39,1),"1",AO660,"2",AP660*1000000000+AO660,"3",-AQ660,"4",AO660+AP660*25000+AR660*0.005-AQ660*0.0001,AO660))</f>
        <v>-964577.437147939</v>
      </c>
    </row>
    <row r="661" spans="33:46" x14ac:dyDescent="0.55000000000000004">
      <c r="AG661">
        <f t="shared" si="72"/>
        <v>660</v>
      </c>
      <c r="AH661">
        <f t="shared" si="73"/>
        <v>0.9</v>
      </c>
      <c r="AI661">
        <f t="shared" si="74"/>
        <v>1</v>
      </c>
      <c r="AJ661">
        <f t="shared" si="75"/>
        <v>1</v>
      </c>
      <c r="AK661">
        <f t="shared" si="76"/>
        <v>0</v>
      </c>
      <c r="AL661">
        <f t="shared" si="77"/>
        <v>54669.599999999999</v>
      </c>
      <c r="AM661">
        <f>MIN(MAX(0,$B$10-AL661)*AI661,'Retirement Gap'!$B$29)</f>
        <v>6074.4000000000015</v>
      </c>
      <c r="AN661">
        <f>IF($E$40="B - Withdrawals + Roth conversions",AJ661*MAX(0,MIN($B$47-AL661,MIN($B$59,IRMAA!$C$16)-(AL661+$B$8*0.85+AK661*$B$46))),0)</f>
        <v>0</v>
      </c>
      <c r="AO661" cm="1">
        <f t="array" ref="AO661">_xlfn.LET(_xlpm.N,$B$49,_xlpm.R,$B$48,_xlpm.Start,$B$47,_xlpm.PlanWD,AL661,_xlpm.PlanRoth,AM661,_xlpm.PlanConv,AN661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41222.32</v>
      </c>
      <c r="AP661" cm="1">
        <f t="array" ref="AP661">_xlfn.LET(_xlpm.N,$B$49,_xlpm.R,$B$48,_xlpm.Start,$B$47,_xlpm.PlanWD,AL661,_xlpm.PlanRoth,AM661,_xlpm.PlanConv,AN661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661" cm="1">
        <f t="array" ref="AQ661">_xlfn.LET(_xlpm.N,$B$49,_xlpm.R,$B$48,_xlpm.Start,$B$47,_xlpm.PlanWD,AL661,_xlpm.PlanRoth,AM661,_xlpm.PlanConv,AN661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964577.437147939</v>
      </c>
      <c r="AR661" cm="1">
        <f t="array" ref="AR661">_xlfn.LET(_xlpm.N,$B$49,_xlpm.R,$B$48,_xlpm.Start,$B$47,_xlpm.PlanWD,AL661,_xlpm.PlanRoth,AM661,_xlpm.PlanConv,AN661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943585.41019608243</v>
      </c>
      <c r="AS661">
        <f>--AND(AK661&lt;=SUM('Retirement Gap'!$B$24:$B$25,'Retirement Gap'!$B$27),AL661+AN661&lt;=$B$47,AM661&lt;='Retirement Gap'!$B$29,ABS(AK661+AL661+AM661-$B$10)&lt;1)</f>
        <v>1</v>
      </c>
      <c r="AT661" cm="1">
        <f t="array" ref="AT661">IF(AS661=0,1E+99,_xlfn.SWITCH(LEFT($E$39,1),"1",AO661,"2",AP661*1000000000+AO661,"3",-AQ661,"4",AO661+AP661*25000+AR661*0.005-AQ661*0.0001,AO661))</f>
        <v>-964577.437147939</v>
      </c>
    </row>
    <row r="662" spans="33:46" x14ac:dyDescent="0.55000000000000004">
      <c r="AG662">
        <f t="shared" si="72"/>
        <v>661</v>
      </c>
      <c r="AH662">
        <f t="shared" si="73"/>
        <v>1</v>
      </c>
      <c r="AI662">
        <f t="shared" si="74"/>
        <v>0</v>
      </c>
      <c r="AJ662">
        <f t="shared" si="75"/>
        <v>0</v>
      </c>
      <c r="AK662">
        <f t="shared" si="76"/>
        <v>0</v>
      </c>
      <c r="AL662">
        <f t="shared" si="77"/>
        <v>60744</v>
      </c>
      <c r="AM662">
        <f>MIN(MAX(0,$B$10-AL662)*AI662,'Retirement Gap'!$B$29)</f>
        <v>0</v>
      </c>
      <c r="AN662">
        <f>IF($E$40="B - Withdrawals + Roth conversions",AJ662*MAX(0,MIN($B$47-AL662,MIN($B$59,IRMAA!$C$16)-(AL662+$B$8*0.85+AK662*$B$46))),0)</f>
        <v>0</v>
      </c>
      <c r="AO662" cm="1">
        <f t="array" ref="AO662">_xlfn.LET(_xlpm.N,$B$49,_xlpm.R,$B$48,_xlpm.Start,$B$47,_xlpm.PlanWD,AL662,_xlpm.PlanRoth,AM662,_xlpm.PlanConv,AN662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44866.96</v>
      </c>
      <c r="AP662" cm="1">
        <f t="array" ref="AP662">_xlfn.LET(_xlpm.N,$B$49,_xlpm.R,$B$48,_xlpm.Start,$B$47,_xlpm.PlanWD,AL662,_xlpm.PlanRoth,AM662,_xlpm.PlanConv,AN662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662" cm="1">
        <f t="array" ref="AQ662">_xlfn.LET(_xlpm.N,$B$49,_xlpm.R,$B$48,_xlpm.Start,$B$47,_xlpm.PlanWD,AL662,_xlpm.PlanRoth,AM662,_xlpm.PlanConv,AN662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960468.40225079271</v>
      </c>
      <c r="AR662" cm="1">
        <f t="array" ref="AR662">_xlfn.LET(_xlpm.N,$B$49,_xlpm.R,$B$48,_xlpm.Start,$B$47,_xlpm.PlanWD,AL662,_xlpm.PlanRoth,AM662,_xlpm.PlanConv,AN662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909343.45271985827</v>
      </c>
      <c r="AS662">
        <f>--AND(AK662&lt;=SUM('Retirement Gap'!$B$24:$B$25,'Retirement Gap'!$B$27),AL662+AN662&lt;=$B$47,AM662&lt;='Retirement Gap'!$B$29,ABS(AK662+AL662+AM662-$B$10)&lt;1)</f>
        <v>1</v>
      </c>
      <c r="AT662" cm="1">
        <f t="array" ref="AT662">IF(AS662=0,1E+99,_xlfn.SWITCH(LEFT($E$39,1),"1",AO662,"2",AP662*1000000000+AO662,"3",-AQ662,"4",AO662+AP662*25000+AR662*0.005-AQ662*0.0001,AO662))</f>
        <v>-960468.40225079271</v>
      </c>
    </row>
    <row r="663" spans="33:46" x14ac:dyDescent="0.55000000000000004">
      <c r="AG663">
        <f t="shared" si="72"/>
        <v>662</v>
      </c>
      <c r="AH663">
        <f t="shared" si="73"/>
        <v>1</v>
      </c>
      <c r="AI663">
        <f t="shared" si="74"/>
        <v>0</v>
      </c>
      <c r="AJ663">
        <f t="shared" si="75"/>
        <v>0.2</v>
      </c>
      <c r="AK663">
        <f t="shared" si="76"/>
        <v>0</v>
      </c>
      <c r="AL663">
        <f t="shared" si="77"/>
        <v>60744</v>
      </c>
      <c r="AM663">
        <f>MIN(MAX(0,$B$10-AL663)*AI663,'Retirement Gap'!$B$29)</f>
        <v>0</v>
      </c>
      <c r="AN663">
        <f>IF($E$40="B - Withdrawals + Roth conversions",AJ663*MAX(0,MIN($B$47-AL663,MIN($B$59,IRMAA!$C$16)-(AL663+$B$8*0.85+AK663*$B$46))),0)</f>
        <v>0</v>
      </c>
      <c r="AO663" cm="1">
        <f t="array" ref="AO663">_xlfn.LET(_xlpm.N,$B$49,_xlpm.R,$B$48,_xlpm.Start,$B$47,_xlpm.PlanWD,AL663,_xlpm.PlanRoth,AM663,_xlpm.PlanConv,AN663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44866.96</v>
      </c>
      <c r="AP663" cm="1">
        <f t="array" ref="AP663">_xlfn.LET(_xlpm.N,$B$49,_xlpm.R,$B$48,_xlpm.Start,$B$47,_xlpm.PlanWD,AL663,_xlpm.PlanRoth,AM663,_xlpm.PlanConv,AN663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663" cm="1">
        <f t="array" ref="AQ663">_xlfn.LET(_xlpm.N,$B$49,_xlpm.R,$B$48,_xlpm.Start,$B$47,_xlpm.PlanWD,AL663,_xlpm.PlanRoth,AM663,_xlpm.PlanConv,AN663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960468.40225079271</v>
      </c>
      <c r="AR663" cm="1">
        <f t="array" ref="AR663">_xlfn.LET(_xlpm.N,$B$49,_xlpm.R,$B$48,_xlpm.Start,$B$47,_xlpm.PlanWD,AL663,_xlpm.PlanRoth,AM663,_xlpm.PlanConv,AN663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909343.45271985827</v>
      </c>
      <c r="AS663">
        <f>--AND(AK663&lt;=SUM('Retirement Gap'!$B$24:$B$25,'Retirement Gap'!$B$27),AL663+AN663&lt;=$B$47,AM663&lt;='Retirement Gap'!$B$29,ABS(AK663+AL663+AM663-$B$10)&lt;1)</f>
        <v>1</v>
      </c>
      <c r="AT663" cm="1">
        <f t="array" ref="AT663">IF(AS663=0,1E+99,_xlfn.SWITCH(LEFT($E$39,1),"1",AO663,"2",AP663*1000000000+AO663,"3",-AQ663,"4",AO663+AP663*25000+AR663*0.005-AQ663*0.0001,AO663))</f>
        <v>-960468.40225079271</v>
      </c>
    </row>
    <row r="664" spans="33:46" x14ac:dyDescent="0.55000000000000004">
      <c r="AG664">
        <f t="shared" si="72"/>
        <v>663</v>
      </c>
      <c r="AH664">
        <f t="shared" si="73"/>
        <v>1</v>
      </c>
      <c r="AI664">
        <f t="shared" si="74"/>
        <v>0</v>
      </c>
      <c r="AJ664">
        <f t="shared" si="75"/>
        <v>0.4</v>
      </c>
      <c r="AK664">
        <f t="shared" si="76"/>
        <v>0</v>
      </c>
      <c r="AL664">
        <f t="shared" si="77"/>
        <v>60744</v>
      </c>
      <c r="AM664">
        <f>MIN(MAX(0,$B$10-AL664)*AI664,'Retirement Gap'!$B$29)</f>
        <v>0</v>
      </c>
      <c r="AN664">
        <f>IF($E$40="B - Withdrawals + Roth conversions",AJ664*MAX(0,MIN($B$47-AL664,MIN($B$59,IRMAA!$C$16)-(AL664+$B$8*0.85+AK664*$B$46))),0)</f>
        <v>0</v>
      </c>
      <c r="AO664" cm="1">
        <f t="array" ref="AO664">_xlfn.LET(_xlpm.N,$B$49,_xlpm.R,$B$48,_xlpm.Start,$B$47,_xlpm.PlanWD,AL664,_xlpm.PlanRoth,AM664,_xlpm.PlanConv,AN664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44866.96</v>
      </c>
      <c r="AP664" cm="1">
        <f t="array" ref="AP664">_xlfn.LET(_xlpm.N,$B$49,_xlpm.R,$B$48,_xlpm.Start,$B$47,_xlpm.PlanWD,AL664,_xlpm.PlanRoth,AM664,_xlpm.PlanConv,AN664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664" cm="1">
        <f t="array" ref="AQ664">_xlfn.LET(_xlpm.N,$B$49,_xlpm.R,$B$48,_xlpm.Start,$B$47,_xlpm.PlanWD,AL664,_xlpm.PlanRoth,AM664,_xlpm.PlanConv,AN664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960468.40225079271</v>
      </c>
      <c r="AR664" cm="1">
        <f t="array" ref="AR664">_xlfn.LET(_xlpm.N,$B$49,_xlpm.R,$B$48,_xlpm.Start,$B$47,_xlpm.PlanWD,AL664,_xlpm.PlanRoth,AM664,_xlpm.PlanConv,AN664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909343.45271985827</v>
      </c>
      <c r="AS664">
        <f>--AND(AK664&lt;=SUM('Retirement Gap'!$B$24:$B$25,'Retirement Gap'!$B$27),AL664+AN664&lt;=$B$47,AM664&lt;='Retirement Gap'!$B$29,ABS(AK664+AL664+AM664-$B$10)&lt;1)</f>
        <v>1</v>
      </c>
      <c r="AT664" cm="1">
        <f t="array" ref="AT664">IF(AS664=0,1E+99,_xlfn.SWITCH(LEFT($E$39,1),"1",AO664,"2",AP664*1000000000+AO664,"3",-AQ664,"4",AO664+AP664*25000+AR664*0.005-AQ664*0.0001,AO664))</f>
        <v>-960468.40225079271</v>
      </c>
    </row>
    <row r="665" spans="33:46" x14ac:dyDescent="0.55000000000000004">
      <c r="AG665">
        <f t="shared" si="72"/>
        <v>664</v>
      </c>
      <c r="AH665">
        <f t="shared" si="73"/>
        <v>1</v>
      </c>
      <c r="AI665">
        <f t="shared" si="74"/>
        <v>0</v>
      </c>
      <c r="AJ665">
        <f t="shared" si="75"/>
        <v>0.6</v>
      </c>
      <c r="AK665">
        <f t="shared" si="76"/>
        <v>0</v>
      </c>
      <c r="AL665">
        <f t="shared" si="77"/>
        <v>60744</v>
      </c>
      <c r="AM665">
        <f>MIN(MAX(0,$B$10-AL665)*AI665,'Retirement Gap'!$B$29)</f>
        <v>0</v>
      </c>
      <c r="AN665">
        <f>IF($E$40="B - Withdrawals + Roth conversions",AJ665*MAX(0,MIN($B$47-AL665,MIN($B$59,IRMAA!$C$16)-(AL665+$B$8*0.85+AK665*$B$46))),0)</f>
        <v>0</v>
      </c>
      <c r="AO665" cm="1">
        <f t="array" ref="AO665">_xlfn.LET(_xlpm.N,$B$49,_xlpm.R,$B$48,_xlpm.Start,$B$47,_xlpm.PlanWD,AL665,_xlpm.PlanRoth,AM665,_xlpm.PlanConv,AN665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44866.96</v>
      </c>
      <c r="AP665" cm="1">
        <f t="array" ref="AP665">_xlfn.LET(_xlpm.N,$B$49,_xlpm.R,$B$48,_xlpm.Start,$B$47,_xlpm.PlanWD,AL665,_xlpm.PlanRoth,AM665,_xlpm.PlanConv,AN665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665" cm="1">
        <f t="array" ref="AQ665">_xlfn.LET(_xlpm.N,$B$49,_xlpm.R,$B$48,_xlpm.Start,$B$47,_xlpm.PlanWD,AL665,_xlpm.PlanRoth,AM665,_xlpm.PlanConv,AN665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960468.40225079271</v>
      </c>
      <c r="AR665" cm="1">
        <f t="array" ref="AR665">_xlfn.LET(_xlpm.N,$B$49,_xlpm.R,$B$48,_xlpm.Start,$B$47,_xlpm.PlanWD,AL665,_xlpm.PlanRoth,AM665,_xlpm.PlanConv,AN665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909343.45271985827</v>
      </c>
      <c r="AS665">
        <f>--AND(AK665&lt;=SUM('Retirement Gap'!$B$24:$B$25,'Retirement Gap'!$B$27),AL665+AN665&lt;=$B$47,AM665&lt;='Retirement Gap'!$B$29,ABS(AK665+AL665+AM665-$B$10)&lt;1)</f>
        <v>1</v>
      </c>
      <c r="AT665" cm="1">
        <f t="array" ref="AT665">IF(AS665=0,1E+99,_xlfn.SWITCH(LEFT($E$39,1),"1",AO665,"2",AP665*1000000000+AO665,"3",-AQ665,"4",AO665+AP665*25000+AR665*0.005-AQ665*0.0001,AO665))</f>
        <v>-960468.40225079271</v>
      </c>
    </row>
    <row r="666" spans="33:46" x14ac:dyDescent="0.55000000000000004">
      <c r="AG666">
        <f t="shared" si="72"/>
        <v>665</v>
      </c>
      <c r="AH666">
        <f t="shared" si="73"/>
        <v>1</v>
      </c>
      <c r="AI666">
        <f t="shared" si="74"/>
        <v>0</v>
      </c>
      <c r="AJ666">
        <f t="shared" si="75"/>
        <v>0.8</v>
      </c>
      <c r="AK666">
        <f t="shared" si="76"/>
        <v>0</v>
      </c>
      <c r="AL666">
        <f t="shared" si="77"/>
        <v>60744</v>
      </c>
      <c r="AM666">
        <f>MIN(MAX(0,$B$10-AL666)*AI666,'Retirement Gap'!$B$29)</f>
        <v>0</v>
      </c>
      <c r="AN666">
        <f>IF($E$40="B - Withdrawals + Roth conversions",AJ666*MAX(0,MIN($B$47-AL666,MIN($B$59,IRMAA!$C$16)-(AL666+$B$8*0.85+AK666*$B$46))),0)</f>
        <v>0</v>
      </c>
      <c r="AO666" cm="1">
        <f t="array" ref="AO666">_xlfn.LET(_xlpm.N,$B$49,_xlpm.R,$B$48,_xlpm.Start,$B$47,_xlpm.PlanWD,AL666,_xlpm.PlanRoth,AM666,_xlpm.PlanConv,AN666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44866.96</v>
      </c>
      <c r="AP666" cm="1">
        <f t="array" ref="AP666">_xlfn.LET(_xlpm.N,$B$49,_xlpm.R,$B$48,_xlpm.Start,$B$47,_xlpm.PlanWD,AL666,_xlpm.PlanRoth,AM666,_xlpm.PlanConv,AN666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666" cm="1">
        <f t="array" ref="AQ666">_xlfn.LET(_xlpm.N,$B$49,_xlpm.R,$B$48,_xlpm.Start,$B$47,_xlpm.PlanWD,AL666,_xlpm.PlanRoth,AM666,_xlpm.PlanConv,AN666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960468.40225079271</v>
      </c>
      <c r="AR666" cm="1">
        <f t="array" ref="AR666">_xlfn.LET(_xlpm.N,$B$49,_xlpm.R,$B$48,_xlpm.Start,$B$47,_xlpm.PlanWD,AL666,_xlpm.PlanRoth,AM666,_xlpm.PlanConv,AN666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909343.45271985827</v>
      </c>
      <c r="AS666">
        <f>--AND(AK666&lt;=SUM('Retirement Gap'!$B$24:$B$25,'Retirement Gap'!$B$27),AL666+AN666&lt;=$B$47,AM666&lt;='Retirement Gap'!$B$29,ABS(AK666+AL666+AM666-$B$10)&lt;1)</f>
        <v>1</v>
      </c>
      <c r="AT666" cm="1">
        <f t="array" ref="AT666">IF(AS666=0,1E+99,_xlfn.SWITCH(LEFT($E$39,1),"1",AO666,"2",AP666*1000000000+AO666,"3",-AQ666,"4",AO666+AP666*25000+AR666*0.005-AQ666*0.0001,AO666))</f>
        <v>-960468.40225079271</v>
      </c>
    </row>
    <row r="667" spans="33:46" x14ac:dyDescent="0.55000000000000004">
      <c r="AG667">
        <f t="shared" si="72"/>
        <v>666</v>
      </c>
      <c r="AH667">
        <f t="shared" si="73"/>
        <v>1</v>
      </c>
      <c r="AI667">
        <f t="shared" si="74"/>
        <v>0</v>
      </c>
      <c r="AJ667">
        <f t="shared" si="75"/>
        <v>1</v>
      </c>
      <c r="AK667">
        <f t="shared" si="76"/>
        <v>0</v>
      </c>
      <c r="AL667">
        <f t="shared" si="77"/>
        <v>60744</v>
      </c>
      <c r="AM667">
        <f>MIN(MAX(0,$B$10-AL667)*AI667,'Retirement Gap'!$B$29)</f>
        <v>0</v>
      </c>
      <c r="AN667">
        <f>IF($E$40="B - Withdrawals + Roth conversions",AJ667*MAX(0,MIN($B$47-AL667,MIN($B$59,IRMAA!$C$16)-(AL667+$B$8*0.85+AK667*$B$46))),0)</f>
        <v>0</v>
      </c>
      <c r="AO667" cm="1">
        <f t="array" ref="AO667">_xlfn.LET(_xlpm.N,$B$49,_xlpm.R,$B$48,_xlpm.Start,$B$47,_xlpm.PlanWD,AL667,_xlpm.PlanRoth,AM667,_xlpm.PlanConv,AN667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44866.96</v>
      </c>
      <c r="AP667" cm="1">
        <f t="array" ref="AP667">_xlfn.LET(_xlpm.N,$B$49,_xlpm.R,$B$48,_xlpm.Start,$B$47,_xlpm.PlanWD,AL667,_xlpm.PlanRoth,AM667,_xlpm.PlanConv,AN667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667" cm="1">
        <f t="array" ref="AQ667">_xlfn.LET(_xlpm.N,$B$49,_xlpm.R,$B$48,_xlpm.Start,$B$47,_xlpm.PlanWD,AL667,_xlpm.PlanRoth,AM667,_xlpm.PlanConv,AN667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960468.40225079271</v>
      </c>
      <c r="AR667" cm="1">
        <f t="array" ref="AR667">_xlfn.LET(_xlpm.N,$B$49,_xlpm.R,$B$48,_xlpm.Start,$B$47,_xlpm.PlanWD,AL667,_xlpm.PlanRoth,AM667,_xlpm.PlanConv,AN667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909343.45271985827</v>
      </c>
      <c r="AS667">
        <f>--AND(AK667&lt;=SUM('Retirement Gap'!$B$24:$B$25,'Retirement Gap'!$B$27),AL667+AN667&lt;=$B$47,AM667&lt;='Retirement Gap'!$B$29,ABS(AK667+AL667+AM667-$B$10)&lt;1)</f>
        <v>1</v>
      </c>
      <c r="AT667" cm="1">
        <f t="array" ref="AT667">IF(AS667=0,1E+99,_xlfn.SWITCH(LEFT($E$39,1),"1",AO667,"2",AP667*1000000000+AO667,"3",-AQ667,"4",AO667+AP667*25000+AR667*0.005-AQ667*0.0001,AO667))</f>
        <v>-960468.40225079271</v>
      </c>
    </row>
    <row r="668" spans="33:46" x14ac:dyDescent="0.55000000000000004">
      <c r="AG668">
        <f t="shared" si="72"/>
        <v>667</v>
      </c>
      <c r="AH668">
        <f t="shared" si="73"/>
        <v>1</v>
      </c>
      <c r="AI668">
        <f t="shared" si="74"/>
        <v>0.1</v>
      </c>
      <c r="AJ668">
        <f t="shared" si="75"/>
        <v>0</v>
      </c>
      <c r="AK668">
        <f t="shared" si="76"/>
        <v>0</v>
      </c>
      <c r="AL668">
        <f t="shared" si="77"/>
        <v>60744</v>
      </c>
      <c r="AM668">
        <f>MIN(MAX(0,$B$10-AL668)*AI668,'Retirement Gap'!$B$29)</f>
        <v>0</v>
      </c>
      <c r="AN668">
        <f>IF($E$40="B - Withdrawals + Roth conversions",AJ668*MAX(0,MIN($B$47-AL668,MIN($B$59,IRMAA!$C$16)-(AL668+$B$8*0.85+AK668*$B$46))),0)</f>
        <v>0</v>
      </c>
      <c r="AO668" cm="1">
        <f t="array" ref="AO668">_xlfn.LET(_xlpm.N,$B$49,_xlpm.R,$B$48,_xlpm.Start,$B$47,_xlpm.PlanWD,AL668,_xlpm.PlanRoth,AM668,_xlpm.PlanConv,AN668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44866.96</v>
      </c>
      <c r="AP668" cm="1">
        <f t="array" ref="AP668">_xlfn.LET(_xlpm.N,$B$49,_xlpm.R,$B$48,_xlpm.Start,$B$47,_xlpm.PlanWD,AL668,_xlpm.PlanRoth,AM668,_xlpm.PlanConv,AN668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668" cm="1">
        <f t="array" ref="AQ668">_xlfn.LET(_xlpm.N,$B$49,_xlpm.R,$B$48,_xlpm.Start,$B$47,_xlpm.PlanWD,AL668,_xlpm.PlanRoth,AM668,_xlpm.PlanConv,AN668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960468.40225079271</v>
      </c>
      <c r="AR668" cm="1">
        <f t="array" ref="AR668">_xlfn.LET(_xlpm.N,$B$49,_xlpm.R,$B$48,_xlpm.Start,$B$47,_xlpm.PlanWD,AL668,_xlpm.PlanRoth,AM668,_xlpm.PlanConv,AN668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909343.45271985827</v>
      </c>
      <c r="AS668">
        <f>--AND(AK668&lt;=SUM('Retirement Gap'!$B$24:$B$25,'Retirement Gap'!$B$27),AL668+AN668&lt;=$B$47,AM668&lt;='Retirement Gap'!$B$29,ABS(AK668+AL668+AM668-$B$10)&lt;1)</f>
        <v>1</v>
      </c>
      <c r="AT668" cm="1">
        <f t="array" ref="AT668">IF(AS668=0,1E+99,_xlfn.SWITCH(LEFT($E$39,1),"1",AO668,"2",AP668*1000000000+AO668,"3",-AQ668,"4",AO668+AP668*25000+AR668*0.005-AQ668*0.0001,AO668))</f>
        <v>-960468.40225079271</v>
      </c>
    </row>
    <row r="669" spans="33:46" x14ac:dyDescent="0.55000000000000004">
      <c r="AG669">
        <f t="shared" si="72"/>
        <v>668</v>
      </c>
      <c r="AH669">
        <f t="shared" si="73"/>
        <v>1</v>
      </c>
      <c r="AI669">
        <f t="shared" si="74"/>
        <v>0.1</v>
      </c>
      <c r="AJ669">
        <f t="shared" si="75"/>
        <v>0.2</v>
      </c>
      <c r="AK669">
        <f t="shared" si="76"/>
        <v>0</v>
      </c>
      <c r="AL669">
        <f t="shared" si="77"/>
        <v>60744</v>
      </c>
      <c r="AM669">
        <f>MIN(MAX(0,$B$10-AL669)*AI669,'Retirement Gap'!$B$29)</f>
        <v>0</v>
      </c>
      <c r="AN669">
        <f>IF($E$40="B - Withdrawals + Roth conversions",AJ669*MAX(0,MIN($B$47-AL669,MIN($B$59,IRMAA!$C$16)-(AL669+$B$8*0.85+AK669*$B$46))),0)</f>
        <v>0</v>
      </c>
      <c r="AO669" cm="1">
        <f t="array" ref="AO669">_xlfn.LET(_xlpm.N,$B$49,_xlpm.R,$B$48,_xlpm.Start,$B$47,_xlpm.PlanWD,AL669,_xlpm.PlanRoth,AM669,_xlpm.PlanConv,AN669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44866.96</v>
      </c>
      <c r="AP669" cm="1">
        <f t="array" ref="AP669">_xlfn.LET(_xlpm.N,$B$49,_xlpm.R,$B$48,_xlpm.Start,$B$47,_xlpm.PlanWD,AL669,_xlpm.PlanRoth,AM669,_xlpm.PlanConv,AN669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669" cm="1">
        <f t="array" ref="AQ669">_xlfn.LET(_xlpm.N,$B$49,_xlpm.R,$B$48,_xlpm.Start,$B$47,_xlpm.PlanWD,AL669,_xlpm.PlanRoth,AM669,_xlpm.PlanConv,AN669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960468.40225079271</v>
      </c>
      <c r="AR669" cm="1">
        <f t="array" ref="AR669">_xlfn.LET(_xlpm.N,$B$49,_xlpm.R,$B$48,_xlpm.Start,$B$47,_xlpm.PlanWD,AL669,_xlpm.PlanRoth,AM669,_xlpm.PlanConv,AN669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909343.45271985827</v>
      </c>
      <c r="AS669">
        <f>--AND(AK669&lt;=SUM('Retirement Gap'!$B$24:$B$25,'Retirement Gap'!$B$27),AL669+AN669&lt;=$B$47,AM669&lt;='Retirement Gap'!$B$29,ABS(AK669+AL669+AM669-$B$10)&lt;1)</f>
        <v>1</v>
      </c>
      <c r="AT669" cm="1">
        <f t="array" ref="AT669">IF(AS669=0,1E+99,_xlfn.SWITCH(LEFT($E$39,1),"1",AO669,"2",AP669*1000000000+AO669,"3",-AQ669,"4",AO669+AP669*25000+AR669*0.005-AQ669*0.0001,AO669))</f>
        <v>-960468.40225079271</v>
      </c>
    </row>
    <row r="670" spans="33:46" x14ac:dyDescent="0.55000000000000004">
      <c r="AG670">
        <f t="shared" si="72"/>
        <v>669</v>
      </c>
      <c r="AH670">
        <f t="shared" si="73"/>
        <v>1</v>
      </c>
      <c r="AI670">
        <f t="shared" si="74"/>
        <v>0.1</v>
      </c>
      <c r="AJ670">
        <f t="shared" si="75"/>
        <v>0.4</v>
      </c>
      <c r="AK670">
        <f t="shared" si="76"/>
        <v>0</v>
      </c>
      <c r="AL670">
        <f t="shared" si="77"/>
        <v>60744</v>
      </c>
      <c r="AM670">
        <f>MIN(MAX(0,$B$10-AL670)*AI670,'Retirement Gap'!$B$29)</f>
        <v>0</v>
      </c>
      <c r="AN670">
        <f>IF($E$40="B - Withdrawals + Roth conversions",AJ670*MAX(0,MIN($B$47-AL670,MIN($B$59,IRMAA!$C$16)-(AL670+$B$8*0.85+AK670*$B$46))),0)</f>
        <v>0</v>
      </c>
      <c r="AO670" cm="1">
        <f t="array" ref="AO670">_xlfn.LET(_xlpm.N,$B$49,_xlpm.R,$B$48,_xlpm.Start,$B$47,_xlpm.PlanWD,AL670,_xlpm.PlanRoth,AM670,_xlpm.PlanConv,AN670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44866.96</v>
      </c>
      <c r="AP670" cm="1">
        <f t="array" ref="AP670">_xlfn.LET(_xlpm.N,$B$49,_xlpm.R,$B$48,_xlpm.Start,$B$47,_xlpm.PlanWD,AL670,_xlpm.PlanRoth,AM670,_xlpm.PlanConv,AN670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670" cm="1">
        <f t="array" ref="AQ670">_xlfn.LET(_xlpm.N,$B$49,_xlpm.R,$B$48,_xlpm.Start,$B$47,_xlpm.PlanWD,AL670,_xlpm.PlanRoth,AM670,_xlpm.PlanConv,AN670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960468.40225079271</v>
      </c>
      <c r="AR670" cm="1">
        <f t="array" ref="AR670">_xlfn.LET(_xlpm.N,$B$49,_xlpm.R,$B$48,_xlpm.Start,$B$47,_xlpm.PlanWD,AL670,_xlpm.PlanRoth,AM670,_xlpm.PlanConv,AN670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909343.45271985827</v>
      </c>
      <c r="AS670">
        <f>--AND(AK670&lt;=SUM('Retirement Gap'!$B$24:$B$25,'Retirement Gap'!$B$27),AL670+AN670&lt;=$B$47,AM670&lt;='Retirement Gap'!$B$29,ABS(AK670+AL670+AM670-$B$10)&lt;1)</f>
        <v>1</v>
      </c>
      <c r="AT670" cm="1">
        <f t="array" ref="AT670">IF(AS670=0,1E+99,_xlfn.SWITCH(LEFT($E$39,1),"1",AO670,"2",AP670*1000000000+AO670,"3",-AQ670,"4",AO670+AP670*25000+AR670*0.005-AQ670*0.0001,AO670))</f>
        <v>-960468.40225079271</v>
      </c>
    </row>
    <row r="671" spans="33:46" x14ac:dyDescent="0.55000000000000004">
      <c r="AG671">
        <f t="shared" si="72"/>
        <v>670</v>
      </c>
      <c r="AH671">
        <f t="shared" si="73"/>
        <v>1</v>
      </c>
      <c r="AI671">
        <f t="shared" si="74"/>
        <v>0.1</v>
      </c>
      <c r="AJ671">
        <f t="shared" si="75"/>
        <v>0.6</v>
      </c>
      <c r="AK671">
        <f t="shared" si="76"/>
        <v>0</v>
      </c>
      <c r="AL671">
        <f t="shared" si="77"/>
        <v>60744</v>
      </c>
      <c r="AM671">
        <f>MIN(MAX(0,$B$10-AL671)*AI671,'Retirement Gap'!$B$29)</f>
        <v>0</v>
      </c>
      <c r="AN671">
        <f>IF($E$40="B - Withdrawals + Roth conversions",AJ671*MAX(0,MIN($B$47-AL671,MIN($B$59,IRMAA!$C$16)-(AL671+$B$8*0.85+AK671*$B$46))),0)</f>
        <v>0</v>
      </c>
      <c r="AO671" cm="1">
        <f t="array" ref="AO671">_xlfn.LET(_xlpm.N,$B$49,_xlpm.R,$B$48,_xlpm.Start,$B$47,_xlpm.PlanWD,AL671,_xlpm.PlanRoth,AM671,_xlpm.PlanConv,AN671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44866.96</v>
      </c>
      <c r="AP671" cm="1">
        <f t="array" ref="AP671">_xlfn.LET(_xlpm.N,$B$49,_xlpm.R,$B$48,_xlpm.Start,$B$47,_xlpm.PlanWD,AL671,_xlpm.PlanRoth,AM671,_xlpm.PlanConv,AN671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671" cm="1">
        <f t="array" ref="AQ671">_xlfn.LET(_xlpm.N,$B$49,_xlpm.R,$B$48,_xlpm.Start,$B$47,_xlpm.PlanWD,AL671,_xlpm.PlanRoth,AM671,_xlpm.PlanConv,AN671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960468.40225079271</v>
      </c>
      <c r="AR671" cm="1">
        <f t="array" ref="AR671">_xlfn.LET(_xlpm.N,$B$49,_xlpm.R,$B$48,_xlpm.Start,$B$47,_xlpm.PlanWD,AL671,_xlpm.PlanRoth,AM671,_xlpm.PlanConv,AN671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909343.45271985827</v>
      </c>
      <c r="AS671">
        <f>--AND(AK671&lt;=SUM('Retirement Gap'!$B$24:$B$25,'Retirement Gap'!$B$27),AL671+AN671&lt;=$B$47,AM671&lt;='Retirement Gap'!$B$29,ABS(AK671+AL671+AM671-$B$10)&lt;1)</f>
        <v>1</v>
      </c>
      <c r="AT671" cm="1">
        <f t="array" ref="AT671">IF(AS671=0,1E+99,_xlfn.SWITCH(LEFT($E$39,1),"1",AO671,"2",AP671*1000000000+AO671,"3",-AQ671,"4",AO671+AP671*25000+AR671*0.005-AQ671*0.0001,AO671))</f>
        <v>-960468.40225079271</v>
      </c>
    </row>
    <row r="672" spans="33:46" x14ac:dyDescent="0.55000000000000004">
      <c r="AG672">
        <f t="shared" si="72"/>
        <v>671</v>
      </c>
      <c r="AH672">
        <f t="shared" si="73"/>
        <v>1</v>
      </c>
      <c r="AI672">
        <f t="shared" si="74"/>
        <v>0.1</v>
      </c>
      <c r="AJ672">
        <f t="shared" si="75"/>
        <v>0.8</v>
      </c>
      <c r="AK672">
        <f t="shared" si="76"/>
        <v>0</v>
      </c>
      <c r="AL672">
        <f t="shared" si="77"/>
        <v>60744</v>
      </c>
      <c r="AM672">
        <f>MIN(MAX(0,$B$10-AL672)*AI672,'Retirement Gap'!$B$29)</f>
        <v>0</v>
      </c>
      <c r="AN672">
        <f>IF($E$40="B - Withdrawals + Roth conversions",AJ672*MAX(0,MIN($B$47-AL672,MIN($B$59,IRMAA!$C$16)-(AL672+$B$8*0.85+AK672*$B$46))),0)</f>
        <v>0</v>
      </c>
      <c r="AO672" cm="1">
        <f t="array" ref="AO672">_xlfn.LET(_xlpm.N,$B$49,_xlpm.R,$B$48,_xlpm.Start,$B$47,_xlpm.PlanWD,AL672,_xlpm.PlanRoth,AM672,_xlpm.PlanConv,AN672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44866.96</v>
      </c>
      <c r="AP672" cm="1">
        <f t="array" ref="AP672">_xlfn.LET(_xlpm.N,$B$49,_xlpm.R,$B$48,_xlpm.Start,$B$47,_xlpm.PlanWD,AL672,_xlpm.PlanRoth,AM672,_xlpm.PlanConv,AN672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672" cm="1">
        <f t="array" ref="AQ672">_xlfn.LET(_xlpm.N,$B$49,_xlpm.R,$B$48,_xlpm.Start,$B$47,_xlpm.PlanWD,AL672,_xlpm.PlanRoth,AM672,_xlpm.PlanConv,AN672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960468.40225079271</v>
      </c>
      <c r="AR672" cm="1">
        <f t="array" ref="AR672">_xlfn.LET(_xlpm.N,$B$49,_xlpm.R,$B$48,_xlpm.Start,$B$47,_xlpm.PlanWD,AL672,_xlpm.PlanRoth,AM672,_xlpm.PlanConv,AN672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909343.45271985827</v>
      </c>
      <c r="AS672">
        <f>--AND(AK672&lt;=SUM('Retirement Gap'!$B$24:$B$25,'Retirement Gap'!$B$27),AL672+AN672&lt;=$B$47,AM672&lt;='Retirement Gap'!$B$29,ABS(AK672+AL672+AM672-$B$10)&lt;1)</f>
        <v>1</v>
      </c>
      <c r="AT672" cm="1">
        <f t="array" ref="AT672">IF(AS672=0,1E+99,_xlfn.SWITCH(LEFT($E$39,1),"1",AO672,"2",AP672*1000000000+AO672,"3",-AQ672,"4",AO672+AP672*25000+AR672*0.005-AQ672*0.0001,AO672))</f>
        <v>-960468.40225079271</v>
      </c>
    </row>
    <row r="673" spans="33:46" x14ac:dyDescent="0.55000000000000004">
      <c r="AG673">
        <f t="shared" si="72"/>
        <v>672</v>
      </c>
      <c r="AH673">
        <f t="shared" si="73"/>
        <v>1</v>
      </c>
      <c r="AI673">
        <f t="shared" si="74"/>
        <v>0.1</v>
      </c>
      <c r="AJ673">
        <f t="shared" si="75"/>
        <v>1</v>
      </c>
      <c r="AK673">
        <f t="shared" si="76"/>
        <v>0</v>
      </c>
      <c r="AL673">
        <f t="shared" si="77"/>
        <v>60744</v>
      </c>
      <c r="AM673">
        <f>MIN(MAX(0,$B$10-AL673)*AI673,'Retirement Gap'!$B$29)</f>
        <v>0</v>
      </c>
      <c r="AN673">
        <f>IF($E$40="B - Withdrawals + Roth conversions",AJ673*MAX(0,MIN($B$47-AL673,MIN($B$59,IRMAA!$C$16)-(AL673+$B$8*0.85+AK673*$B$46))),0)</f>
        <v>0</v>
      </c>
      <c r="AO673" cm="1">
        <f t="array" ref="AO673">_xlfn.LET(_xlpm.N,$B$49,_xlpm.R,$B$48,_xlpm.Start,$B$47,_xlpm.PlanWD,AL673,_xlpm.PlanRoth,AM673,_xlpm.PlanConv,AN673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44866.96</v>
      </c>
      <c r="AP673" cm="1">
        <f t="array" ref="AP673">_xlfn.LET(_xlpm.N,$B$49,_xlpm.R,$B$48,_xlpm.Start,$B$47,_xlpm.PlanWD,AL673,_xlpm.PlanRoth,AM673,_xlpm.PlanConv,AN673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673" cm="1">
        <f t="array" ref="AQ673">_xlfn.LET(_xlpm.N,$B$49,_xlpm.R,$B$48,_xlpm.Start,$B$47,_xlpm.PlanWD,AL673,_xlpm.PlanRoth,AM673,_xlpm.PlanConv,AN673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960468.40225079271</v>
      </c>
      <c r="AR673" cm="1">
        <f t="array" ref="AR673">_xlfn.LET(_xlpm.N,$B$49,_xlpm.R,$B$48,_xlpm.Start,$B$47,_xlpm.PlanWD,AL673,_xlpm.PlanRoth,AM673,_xlpm.PlanConv,AN673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909343.45271985827</v>
      </c>
      <c r="AS673">
        <f>--AND(AK673&lt;=SUM('Retirement Gap'!$B$24:$B$25,'Retirement Gap'!$B$27),AL673+AN673&lt;=$B$47,AM673&lt;='Retirement Gap'!$B$29,ABS(AK673+AL673+AM673-$B$10)&lt;1)</f>
        <v>1</v>
      </c>
      <c r="AT673" cm="1">
        <f t="array" ref="AT673">IF(AS673=0,1E+99,_xlfn.SWITCH(LEFT($E$39,1),"1",AO673,"2",AP673*1000000000+AO673,"3",-AQ673,"4",AO673+AP673*25000+AR673*0.005-AQ673*0.0001,AO673))</f>
        <v>-960468.40225079271</v>
      </c>
    </row>
    <row r="674" spans="33:46" x14ac:dyDescent="0.55000000000000004">
      <c r="AG674">
        <f t="shared" si="72"/>
        <v>673</v>
      </c>
      <c r="AH674">
        <f t="shared" si="73"/>
        <v>1</v>
      </c>
      <c r="AI674">
        <f t="shared" si="74"/>
        <v>0.2</v>
      </c>
      <c r="AJ674">
        <f t="shared" si="75"/>
        <v>0</v>
      </c>
      <c r="AK674">
        <f t="shared" si="76"/>
        <v>0</v>
      </c>
      <c r="AL674">
        <f t="shared" si="77"/>
        <v>60744</v>
      </c>
      <c r="AM674">
        <f>MIN(MAX(0,$B$10-AL674)*AI674,'Retirement Gap'!$B$29)</f>
        <v>0</v>
      </c>
      <c r="AN674">
        <f>IF($E$40="B - Withdrawals + Roth conversions",AJ674*MAX(0,MIN($B$47-AL674,MIN($B$59,IRMAA!$C$16)-(AL674+$B$8*0.85+AK674*$B$46))),0)</f>
        <v>0</v>
      </c>
      <c r="AO674" cm="1">
        <f t="array" ref="AO674">_xlfn.LET(_xlpm.N,$B$49,_xlpm.R,$B$48,_xlpm.Start,$B$47,_xlpm.PlanWD,AL674,_xlpm.PlanRoth,AM674,_xlpm.PlanConv,AN674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44866.96</v>
      </c>
      <c r="AP674" cm="1">
        <f t="array" ref="AP674">_xlfn.LET(_xlpm.N,$B$49,_xlpm.R,$B$48,_xlpm.Start,$B$47,_xlpm.PlanWD,AL674,_xlpm.PlanRoth,AM674,_xlpm.PlanConv,AN674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674" cm="1">
        <f t="array" ref="AQ674">_xlfn.LET(_xlpm.N,$B$49,_xlpm.R,$B$48,_xlpm.Start,$B$47,_xlpm.PlanWD,AL674,_xlpm.PlanRoth,AM674,_xlpm.PlanConv,AN674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960468.40225079271</v>
      </c>
      <c r="AR674" cm="1">
        <f t="array" ref="AR674">_xlfn.LET(_xlpm.N,$B$49,_xlpm.R,$B$48,_xlpm.Start,$B$47,_xlpm.PlanWD,AL674,_xlpm.PlanRoth,AM674,_xlpm.PlanConv,AN674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909343.45271985827</v>
      </c>
      <c r="AS674">
        <f>--AND(AK674&lt;=SUM('Retirement Gap'!$B$24:$B$25,'Retirement Gap'!$B$27),AL674+AN674&lt;=$B$47,AM674&lt;='Retirement Gap'!$B$29,ABS(AK674+AL674+AM674-$B$10)&lt;1)</f>
        <v>1</v>
      </c>
      <c r="AT674" cm="1">
        <f t="array" ref="AT674">IF(AS674=0,1E+99,_xlfn.SWITCH(LEFT($E$39,1),"1",AO674,"2",AP674*1000000000+AO674,"3",-AQ674,"4",AO674+AP674*25000+AR674*0.005-AQ674*0.0001,AO674))</f>
        <v>-960468.40225079271</v>
      </c>
    </row>
    <row r="675" spans="33:46" x14ac:dyDescent="0.55000000000000004">
      <c r="AG675">
        <f t="shared" si="72"/>
        <v>674</v>
      </c>
      <c r="AH675">
        <f t="shared" si="73"/>
        <v>1</v>
      </c>
      <c r="AI675">
        <f t="shared" si="74"/>
        <v>0.2</v>
      </c>
      <c r="AJ675">
        <f t="shared" si="75"/>
        <v>0.2</v>
      </c>
      <c r="AK675">
        <f t="shared" si="76"/>
        <v>0</v>
      </c>
      <c r="AL675">
        <f t="shared" si="77"/>
        <v>60744</v>
      </c>
      <c r="AM675">
        <f>MIN(MAX(0,$B$10-AL675)*AI675,'Retirement Gap'!$B$29)</f>
        <v>0</v>
      </c>
      <c r="AN675">
        <f>IF($E$40="B - Withdrawals + Roth conversions",AJ675*MAX(0,MIN($B$47-AL675,MIN($B$59,IRMAA!$C$16)-(AL675+$B$8*0.85+AK675*$B$46))),0)</f>
        <v>0</v>
      </c>
      <c r="AO675" cm="1">
        <f t="array" ref="AO675">_xlfn.LET(_xlpm.N,$B$49,_xlpm.R,$B$48,_xlpm.Start,$B$47,_xlpm.PlanWD,AL675,_xlpm.PlanRoth,AM675,_xlpm.PlanConv,AN675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44866.96</v>
      </c>
      <c r="AP675" cm="1">
        <f t="array" ref="AP675">_xlfn.LET(_xlpm.N,$B$49,_xlpm.R,$B$48,_xlpm.Start,$B$47,_xlpm.PlanWD,AL675,_xlpm.PlanRoth,AM675,_xlpm.PlanConv,AN675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675" cm="1">
        <f t="array" ref="AQ675">_xlfn.LET(_xlpm.N,$B$49,_xlpm.R,$B$48,_xlpm.Start,$B$47,_xlpm.PlanWD,AL675,_xlpm.PlanRoth,AM675,_xlpm.PlanConv,AN675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960468.40225079271</v>
      </c>
      <c r="AR675" cm="1">
        <f t="array" ref="AR675">_xlfn.LET(_xlpm.N,$B$49,_xlpm.R,$B$48,_xlpm.Start,$B$47,_xlpm.PlanWD,AL675,_xlpm.PlanRoth,AM675,_xlpm.PlanConv,AN675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909343.45271985827</v>
      </c>
      <c r="AS675">
        <f>--AND(AK675&lt;=SUM('Retirement Gap'!$B$24:$B$25,'Retirement Gap'!$B$27),AL675+AN675&lt;=$B$47,AM675&lt;='Retirement Gap'!$B$29,ABS(AK675+AL675+AM675-$B$10)&lt;1)</f>
        <v>1</v>
      </c>
      <c r="AT675" cm="1">
        <f t="array" ref="AT675">IF(AS675=0,1E+99,_xlfn.SWITCH(LEFT($E$39,1),"1",AO675,"2",AP675*1000000000+AO675,"3",-AQ675,"4",AO675+AP675*25000+AR675*0.005-AQ675*0.0001,AO675))</f>
        <v>-960468.40225079271</v>
      </c>
    </row>
    <row r="676" spans="33:46" x14ac:dyDescent="0.55000000000000004">
      <c r="AG676">
        <f t="shared" si="72"/>
        <v>675</v>
      </c>
      <c r="AH676">
        <f t="shared" si="73"/>
        <v>1</v>
      </c>
      <c r="AI676">
        <f t="shared" si="74"/>
        <v>0.2</v>
      </c>
      <c r="AJ676">
        <f t="shared" si="75"/>
        <v>0.4</v>
      </c>
      <c r="AK676">
        <f t="shared" si="76"/>
        <v>0</v>
      </c>
      <c r="AL676">
        <f t="shared" si="77"/>
        <v>60744</v>
      </c>
      <c r="AM676">
        <f>MIN(MAX(0,$B$10-AL676)*AI676,'Retirement Gap'!$B$29)</f>
        <v>0</v>
      </c>
      <c r="AN676">
        <f>IF($E$40="B - Withdrawals + Roth conversions",AJ676*MAX(0,MIN($B$47-AL676,MIN($B$59,IRMAA!$C$16)-(AL676+$B$8*0.85+AK676*$B$46))),0)</f>
        <v>0</v>
      </c>
      <c r="AO676" cm="1">
        <f t="array" ref="AO676">_xlfn.LET(_xlpm.N,$B$49,_xlpm.R,$B$48,_xlpm.Start,$B$47,_xlpm.PlanWD,AL676,_xlpm.PlanRoth,AM676,_xlpm.PlanConv,AN676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44866.96</v>
      </c>
      <c r="AP676" cm="1">
        <f t="array" ref="AP676">_xlfn.LET(_xlpm.N,$B$49,_xlpm.R,$B$48,_xlpm.Start,$B$47,_xlpm.PlanWD,AL676,_xlpm.PlanRoth,AM676,_xlpm.PlanConv,AN676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676" cm="1">
        <f t="array" ref="AQ676">_xlfn.LET(_xlpm.N,$B$49,_xlpm.R,$B$48,_xlpm.Start,$B$47,_xlpm.PlanWD,AL676,_xlpm.PlanRoth,AM676,_xlpm.PlanConv,AN676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960468.40225079271</v>
      </c>
      <c r="AR676" cm="1">
        <f t="array" ref="AR676">_xlfn.LET(_xlpm.N,$B$49,_xlpm.R,$B$48,_xlpm.Start,$B$47,_xlpm.PlanWD,AL676,_xlpm.PlanRoth,AM676,_xlpm.PlanConv,AN676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909343.45271985827</v>
      </c>
      <c r="AS676">
        <f>--AND(AK676&lt;=SUM('Retirement Gap'!$B$24:$B$25,'Retirement Gap'!$B$27),AL676+AN676&lt;=$B$47,AM676&lt;='Retirement Gap'!$B$29,ABS(AK676+AL676+AM676-$B$10)&lt;1)</f>
        <v>1</v>
      </c>
      <c r="AT676" cm="1">
        <f t="array" ref="AT676">IF(AS676=0,1E+99,_xlfn.SWITCH(LEFT($E$39,1),"1",AO676,"2",AP676*1000000000+AO676,"3",-AQ676,"4",AO676+AP676*25000+AR676*0.005-AQ676*0.0001,AO676))</f>
        <v>-960468.40225079271</v>
      </c>
    </row>
    <row r="677" spans="33:46" x14ac:dyDescent="0.55000000000000004">
      <c r="AG677">
        <f t="shared" si="72"/>
        <v>676</v>
      </c>
      <c r="AH677">
        <f t="shared" si="73"/>
        <v>1</v>
      </c>
      <c r="AI677">
        <f t="shared" si="74"/>
        <v>0.2</v>
      </c>
      <c r="AJ677">
        <f t="shared" si="75"/>
        <v>0.6</v>
      </c>
      <c r="AK677">
        <f t="shared" si="76"/>
        <v>0</v>
      </c>
      <c r="AL677">
        <f t="shared" si="77"/>
        <v>60744</v>
      </c>
      <c r="AM677">
        <f>MIN(MAX(0,$B$10-AL677)*AI677,'Retirement Gap'!$B$29)</f>
        <v>0</v>
      </c>
      <c r="AN677">
        <f>IF($E$40="B - Withdrawals + Roth conversions",AJ677*MAX(0,MIN($B$47-AL677,MIN($B$59,IRMAA!$C$16)-(AL677+$B$8*0.85+AK677*$B$46))),0)</f>
        <v>0</v>
      </c>
      <c r="AO677" cm="1">
        <f t="array" ref="AO677">_xlfn.LET(_xlpm.N,$B$49,_xlpm.R,$B$48,_xlpm.Start,$B$47,_xlpm.PlanWD,AL677,_xlpm.PlanRoth,AM677,_xlpm.PlanConv,AN677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44866.96</v>
      </c>
      <c r="AP677" cm="1">
        <f t="array" ref="AP677">_xlfn.LET(_xlpm.N,$B$49,_xlpm.R,$B$48,_xlpm.Start,$B$47,_xlpm.PlanWD,AL677,_xlpm.PlanRoth,AM677,_xlpm.PlanConv,AN677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677" cm="1">
        <f t="array" ref="AQ677">_xlfn.LET(_xlpm.N,$B$49,_xlpm.R,$B$48,_xlpm.Start,$B$47,_xlpm.PlanWD,AL677,_xlpm.PlanRoth,AM677,_xlpm.PlanConv,AN677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960468.40225079271</v>
      </c>
      <c r="AR677" cm="1">
        <f t="array" ref="AR677">_xlfn.LET(_xlpm.N,$B$49,_xlpm.R,$B$48,_xlpm.Start,$B$47,_xlpm.PlanWD,AL677,_xlpm.PlanRoth,AM677,_xlpm.PlanConv,AN677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909343.45271985827</v>
      </c>
      <c r="AS677">
        <f>--AND(AK677&lt;=SUM('Retirement Gap'!$B$24:$B$25,'Retirement Gap'!$B$27),AL677+AN677&lt;=$B$47,AM677&lt;='Retirement Gap'!$B$29,ABS(AK677+AL677+AM677-$B$10)&lt;1)</f>
        <v>1</v>
      </c>
      <c r="AT677" cm="1">
        <f t="array" ref="AT677">IF(AS677=0,1E+99,_xlfn.SWITCH(LEFT($E$39,1),"1",AO677,"2",AP677*1000000000+AO677,"3",-AQ677,"4",AO677+AP677*25000+AR677*0.005-AQ677*0.0001,AO677))</f>
        <v>-960468.40225079271</v>
      </c>
    </row>
    <row r="678" spans="33:46" x14ac:dyDescent="0.55000000000000004">
      <c r="AG678">
        <f t="shared" si="72"/>
        <v>677</v>
      </c>
      <c r="AH678">
        <f t="shared" si="73"/>
        <v>1</v>
      </c>
      <c r="AI678">
        <f t="shared" si="74"/>
        <v>0.2</v>
      </c>
      <c r="AJ678">
        <f t="shared" si="75"/>
        <v>0.8</v>
      </c>
      <c r="AK678">
        <f t="shared" si="76"/>
        <v>0</v>
      </c>
      <c r="AL678">
        <f t="shared" si="77"/>
        <v>60744</v>
      </c>
      <c r="AM678">
        <f>MIN(MAX(0,$B$10-AL678)*AI678,'Retirement Gap'!$B$29)</f>
        <v>0</v>
      </c>
      <c r="AN678">
        <f>IF($E$40="B - Withdrawals + Roth conversions",AJ678*MAX(0,MIN($B$47-AL678,MIN($B$59,IRMAA!$C$16)-(AL678+$B$8*0.85+AK678*$B$46))),0)</f>
        <v>0</v>
      </c>
      <c r="AO678" cm="1">
        <f t="array" ref="AO678">_xlfn.LET(_xlpm.N,$B$49,_xlpm.R,$B$48,_xlpm.Start,$B$47,_xlpm.PlanWD,AL678,_xlpm.PlanRoth,AM678,_xlpm.PlanConv,AN678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44866.96</v>
      </c>
      <c r="AP678" cm="1">
        <f t="array" ref="AP678">_xlfn.LET(_xlpm.N,$B$49,_xlpm.R,$B$48,_xlpm.Start,$B$47,_xlpm.PlanWD,AL678,_xlpm.PlanRoth,AM678,_xlpm.PlanConv,AN678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678" cm="1">
        <f t="array" ref="AQ678">_xlfn.LET(_xlpm.N,$B$49,_xlpm.R,$B$48,_xlpm.Start,$B$47,_xlpm.PlanWD,AL678,_xlpm.PlanRoth,AM678,_xlpm.PlanConv,AN678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960468.40225079271</v>
      </c>
      <c r="AR678" cm="1">
        <f t="array" ref="AR678">_xlfn.LET(_xlpm.N,$B$49,_xlpm.R,$B$48,_xlpm.Start,$B$47,_xlpm.PlanWD,AL678,_xlpm.PlanRoth,AM678,_xlpm.PlanConv,AN678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909343.45271985827</v>
      </c>
      <c r="AS678">
        <f>--AND(AK678&lt;=SUM('Retirement Gap'!$B$24:$B$25,'Retirement Gap'!$B$27),AL678+AN678&lt;=$B$47,AM678&lt;='Retirement Gap'!$B$29,ABS(AK678+AL678+AM678-$B$10)&lt;1)</f>
        <v>1</v>
      </c>
      <c r="AT678" cm="1">
        <f t="array" ref="AT678">IF(AS678=0,1E+99,_xlfn.SWITCH(LEFT($E$39,1),"1",AO678,"2",AP678*1000000000+AO678,"3",-AQ678,"4",AO678+AP678*25000+AR678*0.005-AQ678*0.0001,AO678))</f>
        <v>-960468.40225079271</v>
      </c>
    </row>
    <row r="679" spans="33:46" x14ac:dyDescent="0.55000000000000004">
      <c r="AG679">
        <f t="shared" si="72"/>
        <v>678</v>
      </c>
      <c r="AH679">
        <f t="shared" si="73"/>
        <v>1</v>
      </c>
      <c r="AI679">
        <f t="shared" si="74"/>
        <v>0.2</v>
      </c>
      <c r="AJ679">
        <f t="shared" si="75"/>
        <v>1</v>
      </c>
      <c r="AK679">
        <f t="shared" si="76"/>
        <v>0</v>
      </c>
      <c r="AL679">
        <f t="shared" si="77"/>
        <v>60744</v>
      </c>
      <c r="AM679">
        <f>MIN(MAX(0,$B$10-AL679)*AI679,'Retirement Gap'!$B$29)</f>
        <v>0</v>
      </c>
      <c r="AN679">
        <f>IF($E$40="B - Withdrawals + Roth conversions",AJ679*MAX(0,MIN($B$47-AL679,MIN($B$59,IRMAA!$C$16)-(AL679+$B$8*0.85+AK679*$B$46))),0)</f>
        <v>0</v>
      </c>
      <c r="AO679" cm="1">
        <f t="array" ref="AO679">_xlfn.LET(_xlpm.N,$B$49,_xlpm.R,$B$48,_xlpm.Start,$B$47,_xlpm.PlanWD,AL679,_xlpm.PlanRoth,AM679,_xlpm.PlanConv,AN679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44866.96</v>
      </c>
      <c r="AP679" cm="1">
        <f t="array" ref="AP679">_xlfn.LET(_xlpm.N,$B$49,_xlpm.R,$B$48,_xlpm.Start,$B$47,_xlpm.PlanWD,AL679,_xlpm.PlanRoth,AM679,_xlpm.PlanConv,AN679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679" cm="1">
        <f t="array" ref="AQ679">_xlfn.LET(_xlpm.N,$B$49,_xlpm.R,$B$48,_xlpm.Start,$B$47,_xlpm.PlanWD,AL679,_xlpm.PlanRoth,AM679,_xlpm.PlanConv,AN679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960468.40225079271</v>
      </c>
      <c r="AR679" cm="1">
        <f t="array" ref="AR679">_xlfn.LET(_xlpm.N,$B$49,_xlpm.R,$B$48,_xlpm.Start,$B$47,_xlpm.PlanWD,AL679,_xlpm.PlanRoth,AM679,_xlpm.PlanConv,AN679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909343.45271985827</v>
      </c>
      <c r="AS679">
        <f>--AND(AK679&lt;=SUM('Retirement Gap'!$B$24:$B$25,'Retirement Gap'!$B$27),AL679+AN679&lt;=$B$47,AM679&lt;='Retirement Gap'!$B$29,ABS(AK679+AL679+AM679-$B$10)&lt;1)</f>
        <v>1</v>
      </c>
      <c r="AT679" cm="1">
        <f t="array" ref="AT679">IF(AS679=0,1E+99,_xlfn.SWITCH(LEFT($E$39,1),"1",AO679,"2",AP679*1000000000+AO679,"3",-AQ679,"4",AO679+AP679*25000+AR679*0.005-AQ679*0.0001,AO679))</f>
        <v>-960468.40225079271</v>
      </c>
    </row>
    <row r="680" spans="33:46" x14ac:dyDescent="0.55000000000000004">
      <c r="AG680">
        <f t="shared" si="72"/>
        <v>679</v>
      </c>
      <c r="AH680">
        <f t="shared" si="73"/>
        <v>1</v>
      </c>
      <c r="AI680">
        <f t="shared" si="74"/>
        <v>0.3</v>
      </c>
      <c r="AJ680">
        <f t="shared" si="75"/>
        <v>0</v>
      </c>
      <c r="AK680">
        <f t="shared" si="76"/>
        <v>0</v>
      </c>
      <c r="AL680">
        <f t="shared" si="77"/>
        <v>60744</v>
      </c>
      <c r="AM680">
        <f>MIN(MAX(0,$B$10-AL680)*AI680,'Retirement Gap'!$B$29)</f>
        <v>0</v>
      </c>
      <c r="AN680">
        <f>IF($E$40="B - Withdrawals + Roth conversions",AJ680*MAX(0,MIN($B$47-AL680,MIN($B$59,IRMAA!$C$16)-(AL680+$B$8*0.85+AK680*$B$46))),0)</f>
        <v>0</v>
      </c>
      <c r="AO680" cm="1">
        <f t="array" ref="AO680">_xlfn.LET(_xlpm.N,$B$49,_xlpm.R,$B$48,_xlpm.Start,$B$47,_xlpm.PlanWD,AL680,_xlpm.PlanRoth,AM680,_xlpm.PlanConv,AN680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44866.96</v>
      </c>
      <c r="AP680" cm="1">
        <f t="array" ref="AP680">_xlfn.LET(_xlpm.N,$B$49,_xlpm.R,$B$48,_xlpm.Start,$B$47,_xlpm.PlanWD,AL680,_xlpm.PlanRoth,AM680,_xlpm.PlanConv,AN680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680" cm="1">
        <f t="array" ref="AQ680">_xlfn.LET(_xlpm.N,$B$49,_xlpm.R,$B$48,_xlpm.Start,$B$47,_xlpm.PlanWD,AL680,_xlpm.PlanRoth,AM680,_xlpm.PlanConv,AN680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960468.40225079271</v>
      </c>
      <c r="AR680" cm="1">
        <f t="array" ref="AR680">_xlfn.LET(_xlpm.N,$B$49,_xlpm.R,$B$48,_xlpm.Start,$B$47,_xlpm.PlanWD,AL680,_xlpm.PlanRoth,AM680,_xlpm.PlanConv,AN680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909343.45271985827</v>
      </c>
      <c r="AS680">
        <f>--AND(AK680&lt;=SUM('Retirement Gap'!$B$24:$B$25,'Retirement Gap'!$B$27),AL680+AN680&lt;=$B$47,AM680&lt;='Retirement Gap'!$B$29,ABS(AK680+AL680+AM680-$B$10)&lt;1)</f>
        <v>1</v>
      </c>
      <c r="AT680" cm="1">
        <f t="array" ref="AT680">IF(AS680=0,1E+99,_xlfn.SWITCH(LEFT($E$39,1),"1",AO680,"2",AP680*1000000000+AO680,"3",-AQ680,"4",AO680+AP680*25000+AR680*0.005-AQ680*0.0001,AO680))</f>
        <v>-960468.40225079271</v>
      </c>
    </row>
    <row r="681" spans="33:46" x14ac:dyDescent="0.55000000000000004">
      <c r="AG681">
        <f t="shared" si="72"/>
        <v>680</v>
      </c>
      <c r="AH681">
        <f t="shared" si="73"/>
        <v>1</v>
      </c>
      <c r="AI681">
        <f t="shared" si="74"/>
        <v>0.3</v>
      </c>
      <c r="AJ681">
        <f t="shared" si="75"/>
        <v>0.2</v>
      </c>
      <c r="AK681">
        <f t="shared" si="76"/>
        <v>0</v>
      </c>
      <c r="AL681">
        <f t="shared" si="77"/>
        <v>60744</v>
      </c>
      <c r="AM681">
        <f>MIN(MAX(0,$B$10-AL681)*AI681,'Retirement Gap'!$B$29)</f>
        <v>0</v>
      </c>
      <c r="AN681">
        <f>IF($E$40="B - Withdrawals + Roth conversions",AJ681*MAX(0,MIN($B$47-AL681,MIN($B$59,IRMAA!$C$16)-(AL681+$B$8*0.85+AK681*$B$46))),0)</f>
        <v>0</v>
      </c>
      <c r="AO681" cm="1">
        <f t="array" ref="AO681">_xlfn.LET(_xlpm.N,$B$49,_xlpm.R,$B$48,_xlpm.Start,$B$47,_xlpm.PlanWD,AL681,_xlpm.PlanRoth,AM681,_xlpm.PlanConv,AN681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44866.96</v>
      </c>
      <c r="AP681" cm="1">
        <f t="array" ref="AP681">_xlfn.LET(_xlpm.N,$B$49,_xlpm.R,$B$48,_xlpm.Start,$B$47,_xlpm.PlanWD,AL681,_xlpm.PlanRoth,AM681,_xlpm.PlanConv,AN681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681" cm="1">
        <f t="array" ref="AQ681">_xlfn.LET(_xlpm.N,$B$49,_xlpm.R,$B$48,_xlpm.Start,$B$47,_xlpm.PlanWD,AL681,_xlpm.PlanRoth,AM681,_xlpm.PlanConv,AN681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960468.40225079271</v>
      </c>
      <c r="AR681" cm="1">
        <f t="array" ref="AR681">_xlfn.LET(_xlpm.N,$B$49,_xlpm.R,$B$48,_xlpm.Start,$B$47,_xlpm.PlanWD,AL681,_xlpm.PlanRoth,AM681,_xlpm.PlanConv,AN681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909343.45271985827</v>
      </c>
      <c r="AS681">
        <f>--AND(AK681&lt;=SUM('Retirement Gap'!$B$24:$B$25,'Retirement Gap'!$B$27),AL681+AN681&lt;=$B$47,AM681&lt;='Retirement Gap'!$B$29,ABS(AK681+AL681+AM681-$B$10)&lt;1)</f>
        <v>1</v>
      </c>
      <c r="AT681" cm="1">
        <f t="array" ref="AT681">IF(AS681=0,1E+99,_xlfn.SWITCH(LEFT($E$39,1),"1",AO681,"2",AP681*1000000000+AO681,"3",-AQ681,"4",AO681+AP681*25000+AR681*0.005-AQ681*0.0001,AO681))</f>
        <v>-960468.40225079271</v>
      </c>
    </row>
    <row r="682" spans="33:46" x14ac:dyDescent="0.55000000000000004">
      <c r="AG682">
        <f t="shared" si="72"/>
        <v>681</v>
      </c>
      <c r="AH682">
        <f t="shared" si="73"/>
        <v>1</v>
      </c>
      <c r="AI682">
        <f t="shared" si="74"/>
        <v>0.3</v>
      </c>
      <c r="AJ682">
        <f t="shared" si="75"/>
        <v>0.4</v>
      </c>
      <c r="AK682">
        <f t="shared" si="76"/>
        <v>0</v>
      </c>
      <c r="AL682">
        <f t="shared" si="77"/>
        <v>60744</v>
      </c>
      <c r="AM682">
        <f>MIN(MAX(0,$B$10-AL682)*AI682,'Retirement Gap'!$B$29)</f>
        <v>0</v>
      </c>
      <c r="AN682">
        <f>IF($E$40="B - Withdrawals + Roth conversions",AJ682*MAX(0,MIN($B$47-AL682,MIN($B$59,IRMAA!$C$16)-(AL682+$B$8*0.85+AK682*$B$46))),0)</f>
        <v>0</v>
      </c>
      <c r="AO682" cm="1">
        <f t="array" ref="AO682">_xlfn.LET(_xlpm.N,$B$49,_xlpm.R,$B$48,_xlpm.Start,$B$47,_xlpm.PlanWD,AL682,_xlpm.PlanRoth,AM682,_xlpm.PlanConv,AN682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44866.96</v>
      </c>
      <c r="AP682" cm="1">
        <f t="array" ref="AP682">_xlfn.LET(_xlpm.N,$B$49,_xlpm.R,$B$48,_xlpm.Start,$B$47,_xlpm.PlanWD,AL682,_xlpm.PlanRoth,AM682,_xlpm.PlanConv,AN682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682" cm="1">
        <f t="array" ref="AQ682">_xlfn.LET(_xlpm.N,$B$49,_xlpm.R,$B$48,_xlpm.Start,$B$47,_xlpm.PlanWD,AL682,_xlpm.PlanRoth,AM682,_xlpm.PlanConv,AN682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960468.40225079271</v>
      </c>
      <c r="AR682" cm="1">
        <f t="array" ref="AR682">_xlfn.LET(_xlpm.N,$B$49,_xlpm.R,$B$48,_xlpm.Start,$B$47,_xlpm.PlanWD,AL682,_xlpm.PlanRoth,AM682,_xlpm.PlanConv,AN682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909343.45271985827</v>
      </c>
      <c r="AS682">
        <f>--AND(AK682&lt;=SUM('Retirement Gap'!$B$24:$B$25,'Retirement Gap'!$B$27),AL682+AN682&lt;=$B$47,AM682&lt;='Retirement Gap'!$B$29,ABS(AK682+AL682+AM682-$B$10)&lt;1)</f>
        <v>1</v>
      </c>
      <c r="AT682" cm="1">
        <f t="array" ref="AT682">IF(AS682=0,1E+99,_xlfn.SWITCH(LEFT($E$39,1),"1",AO682,"2",AP682*1000000000+AO682,"3",-AQ682,"4",AO682+AP682*25000+AR682*0.005-AQ682*0.0001,AO682))</f>
        <v>-960468.40225079271</v>
      </c>
    </row>
    <row r="683" spans="33:46" x14ac:dyDescent="0.55000000000000004">
      <c r="AG683">
        <f t="shared" si="72"/>
        <v>682</v>
      </c>
      <c r="AH683">
        <f t="shared" si="73"/>
        <v>1</v>
      </c>
      <c r="AI683">
        <f t="shared" si="74"/>
        <v>0.3</v>
      </c>
      <c r="AJ683">
        <f t="shared" si="75"/>
        <v>0.6</v>
      </c>
      <c r="AK683">
        <f t="shared" si="76"/>
        <v>0</v>
      </c>
      <c r="AL683">
        <f t="shared" si="77"/>
        <v>60744</v>
      </c>
      <c r="AM683">
        <f>MIN(MAX(0,$B$10-AL683)*AI683,'Retirement Gap'!$B$29)</f>
        <v>0</v>
      </c>
      <c r="AN683">
        <f>IF($E$40="B - Withdrawals + Roth conversions",AJ683*MAX(0,MIN($B$47-AL683,MIN($B$59,IRMAA!$C$16)-(AL683+$B$8*0.85+AK683*$B$46))),0)</f>
        <v>0</v>
      </c>
      <c r="AO683" cm="1">
        <f t="array" ref="AO683">_xlfn.LET(_xlpm.N,$B$49,_xlpm.R,$B$48,_xlpm.Start,$B$47,_xlpm.PlanWD,AL683,_xlpm.PlanRoth,AM683,_xlpm.PlanConv,AN683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44866.96</v>
      </c>
      <c r="AP683" cm="1">
        <f t="array" ref="AP683">_xlfn.LET(_xlpm.N,$B$49,_xlpm.R,$B$48,_xlpm.Start,$B$47,_xlpm.PlanWD,AL683,_xlpm.PlanRoth,AM683,_xlpm.PlanConv,AN683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683" cm="1">
        <f t="array" ref="AQ683">_xlfn.LET(_xlpm.N,$B$49,_xlpm.R,$B$48,_xlpm.Start,$B$47,_xlpm.PlanWD,AL683,_xlpm.PlanRoth,AM683,_xlpm.PlanConv,AN683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960468.40225079271</v>
      </c>
      <c r="AR683" cm="1">
        <f t="array" ref="AR683">_xlfn.LET(_xlpm.N,$B$49,_xlpm.R,$B$48,_xlpm.Start,$B$47,_xlpm.PlanWD,AL683,_xlpm.PlanRoth,AM683,_xlpm.PlanConv,AN683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909343.45271985827</v>
      </c>
      <c r="AS683">
        <f>--AND(AK683&lt;=SUM('Retirement Gap'!$B$24:$B$25,'Retirement Gap'!$B$27),AL683+AN683&lt;=$B$47,AM683&lt;='Retirement Gap'!$B$29,ABS(AK683+AL683+AM683-$B$10)&lt;1)</f>
        <v>1</v>
      </c>
      <c r="AT683" cm="1">
        <f t="array" ref="AT683">IF(AS683=0,1E+99,_xlfn.SWITCH(LEFT($E$39,1),"1",AO683,"2",AP683*1000000000+AO683,"3",-AQ683,"4",AO683+AP683*25000+AR683*0.005-AQ683*0.0001,AO683))</f>
        <v>-960468.40225079271</v>
      </c>
    </row>
    <row r="684" spans="33:46" x14ac:dyDescent="0.55000000000000004">
      <c r="AG684">
        <f t="shared" si="72"/>
        <v>683</v>
      </c>
      <c r="AH684">
        <f t="shared" si="73"/>
        <v>1</v>
      </c>
      <c r="AI684">
        <f t="shared" si="74"/>
        <v>0.3</v>
      </c>
      <c r="AJ684">
        <f t="shared" si="75"/>
        <v>0.8</v>
      </c>
      <c r="AK684">
        <f t="shared" si="76"/>
        <v>0</v>
      </c>
      <c r="AL684">
        <f t="shared" si="77"/>
        <v>60744</v>
      </c>
      <c r="AM684">
        <f>MIN(MAX(0,$B$10-AL684)*AI684,'Retirement Gap'!$B$29)</f>
        <v>0</v>
      </c>
      <c r="AN684">
        <f>IF($E$40="B - Withdrawals + Roth conversions",AJ684*MAX(0,MIN($B$47-AL684,MIN($B$59,IRMAA!$C$16)-(AL684+$B$8*0.85+AK684*$B$46))),0)</f>
        <v>0</v>
      </c>
      <c r="AO684" cm="1">
        <f t="array" ref="AO684">_xlfn.LET(_xlpm.N,$B$49,_xlpm.R,$B$48,_xlpm.Start,$B$47,_xlpm.PlanWD,AL684,_xlpm.PlanRoth,AM684,_xlpm.PlanConv,AN684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44866.96</v>
      </c>
      <c r="AP684" cm="1">
        <f t="array" ref="AP684">_xlfn.LET(_xlpm.N,$B$49,_xlpm.R,$B$48,_xlpm.Start,$B$47,_xlpm.PlanWD,AL684,_xlpm.PlanRoth,AM684,_xlpm.PlanConv,AN684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684" cm="1">
        <f t="array" ref="AQ684">_xlfn.LET(_xlpm.N,$B$49,_xlpm.R,$B$48,_xlpm.Start,$B$47,_xlpm.PlanWD,AL684,_xlpm.PlanRoth,AM684,_xlpm.PlanConv,AN684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960468.40225079271</v>
      </c>
      <c r="AR684" cm="1">
        <f t="array" ref="AR684">_xlfn.LET(_xlpm.N,$B$49,_xlpm.R,$B$48,_xlpm.Start,$B$47,_xlpm.PlanWD,AL684,_xlpm.PlanRoth,AM684,_xlpm.PlanConv,AN684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909343.45271985827</v>
      </c>
      <c r="AS684">
        <f>--AND(AK684&lt;=SUM('Retirement Gap'!$B$24:$B$25,'Retirement Gap'!$B$27),AL684+AN684&lt;=$B$47,AM684&lt;='Retirement Gap'!$B$29,ABS(AK684+AL684+AM684-$B$10)&lt;1)</f>
        <v>1</v>
      </c>
      <c r="AT684" cm="1">
        <f t="array" ref="AT684">IF(AS684=0,1E+99,_xlfn.SWITCH(LEFT($E$39,1),"1",AO684,"2",AP684*1000000000+AO684,"3",-AQ684,"4",AO684+AP684*25000+AR684*0.005-AQ684*0.0001,AO684))</f>
        <v>-960468.40225079271</v>
      </c>
    </row>
    <row r="685" spans="33:46" x14ac:dyDescent="0.55000000000000004">
      <c r="AG685">
        <f t="shared" si="72"/>
        <v>684</v>
      </c>
      <c r="AH685">
        <f t="shared" si="73"/>
        <v>1</v>
      </c>
      <c r="AI685">
        <f t="shared" si="74"/>
        <v>0.3</v>
      </c>
      <c r="AJ685">
        <f t="shared" si="75"/>
        <v>1</v>
      </c>
      <c r="AK685">
        <f t="shared" si="76"/>
        <v>0</v>
      </c>
      <c r="AL685">
        <f t="shared" si="77"/>
        <v>60744</v>
      </c>
      <c r="AM685">
        <f>MIN(MAX(0,$B$10-AL685)*AI685,'Retirement Gap'!$B$29)</f>
        <v>0</v>
      </c>
      <c r="AN685">
        <f>IF($E$40="B - Withdrawals + Roth conversions",AJ685*MAX(0,MIN($B$47-AL685,MIN($B$59,IRMAA!$C$16)-(AL685+$B$8*0.85+AK685*$B$46))),0)</f>
        <v>0</v>
      </c>
      <c r="AO685" cm="1">
        <f t="array" ref="AO685">_xlfn.LET(_xlpm.N,$B$49,_xlpm.R,$B$48,_xlpm.Start,$B$47,_xlpm.PlanWD,AL685,_xlpm.PlanRoth,AM685,_xlpm.PlanConv,AN685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44866.96</v>
      </c>
      <c r="AP685" cm="1">
        <f t="array" ref="AP685">_xlfn.LET(_xlpm.N,$B$49,_xlpm.R,$B$48,_xlpm.Start,$B$47,_xlpm.PlanWD,AL685,_xlpm.PlanRoth,AM685,_xlpm.PlanConv,AN685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685" cm="1">
        <f t="array" ref="AQ685">_xlfn.LET(_xlpm.N,$B$49,_xlpm.R,$B$48,_xlpm.Start,$B$47,_xlpm.PlanWD,AL685,_xlpm.PlanRoth,AM685,_xlpm.PlanConv,AN685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960468.40225079271</v>
      </c>
      <c r="AR685" cm="1">
        <f t="array" ref="AR685">_xlfn.LET(_xlpm.N,$B$49,_xlpm.R,$B$48,_xlpm.Start,$B$47,_xlpm.PlanWD,AL685,_xlpm.PlanRoth,AM685,_xlpm.PlanConv,AN685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909343.45271985827</v>
      </c>
      <c r="AS685">
        <f>--AND(AK685&lt;=SUM('Retirement Gap'!$B$24:$B$25,'Retirement Gap'!$B$27),AL685+AN685&lt;=$B$47,AM685&lt;='Retirement Gap'!$B$29,ABS(AK685+AL685+AM685-$B$10)&lt;1)</f>
        <v>1</v>
      </c>
      <c r="AT685" cm="1">
        <f t="array" ref="AT685">IF(AS685=0,1E+99,_xlfn.SWITCH(LEFT($E$39,1),"1",AO685,"2",AP685*1000000000+AO685,"3",-AQ685,"4",AO685+AP685*25000+AR685*0.005-AQ685*0.0001,AO685))</f>
        <v>-960468.40225079271</v>
      </c>
    </row>
    <row r="686" spans="33:46" x14ac:dyDescent="0.55000000000000004">
      <c r="AG686">
        <f t="shared" si="72"/>
        <v>685</v>
      </c>
      <c r="AH686">
        <f t="shared" si="73"/>
        <v>1</v>
      </c>
      <c r="AI686">
        <f t="shared" si="74"/>
        <v>0.4</v>
      </c>
      <c r="AJ686">
        <f t="shared" si="75"/>
        <v>0</v>
      </c>
      <c r="AK686">
        <f t="shared" si="76"/>
        <v>0</v>
      </c>
      <c r="AL686">
        <f t="shared" si="77"/>
        <v>60744</v>
      </c>
      <c r="AM686">
        <f>MIN(MAX(0,$B$10-AL686)*AI686,'Retirement Gap'!$B$29)</f>
        <v>0</v>
      </c>
      <c r="AN686">
        <f>IF($E$40="B - Withdrawals + Roth conversions",AJ686*MAX(0,MIN($B$47-AL686,MIN($B$59,IRMAA!$C$16)-(AL686+$B$8*0.85+AK686*$B$46))),0)</f>
        <v>0</v>
      </c>
      <c r="AO686" cm="1">
        <f t="array" ref="AO686">_xlfn.LET(_xlpm.N,$B$49,_xlpm.R,$B$48,_xlpm.Start,$B$47,_xlpm.PlanWD,AL686,_xlpm.PlanRoth,AM686,_xlpm.PlanConv,AN686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44866.96</v>
      </c>
      <c r="AP686" cm="1">
        <f t="array" ref="AP686">_xlfn.LET(_xlpm.N,$B$49,_xlpm.R,$B$48,_xlpm.Start,$B$47,_xlpm.PlanWD,AL686,_xlpm.PlanRoth,AM686,_xlpm.PlanConv,AN686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686" cm="1">
        <f t="array" ref="AQ686">_xlfn.LET(_xlpm.N,$B$49,_xlpm.R,$B$48,_xlpm.Start,$B$47,_xlpm.PlanWD,AL686,_xlpm.PlanRoth,AM686,_xlpm.PlanConv,AN686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960468.40225079271</v>
      </c>
      <c r="AR686" cm="1">
        <f t="array" ref="AR686">_xlfn.LET(_xlpm.N,$B$49,_xlpm.R,$B$48,_xlpm.Start,$B$47,_xlpm.PlanWD,AL686,_xlpm.PlanRoth,AM686,_xlpm.PlanConv,AN686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909343.45271985827</v>
      </c>
      <c r="AS686">
        <f>--AND(AK686&lt;=SUM('Retirement Gap'!$B$24:$B$25,'Retirement Gap'!$B$27),AL686+AN686&lt;=$B$47,AM686&lt;='Retirement Gap'!$B$29,ABS(AK686+AL686+AM686-$B$10)&lt;1)</f>
        <v>1</v>
      </c>
      <c r="AT686" cm="1">
        <f t="array" ref="AT686">IF(AS686=0,1E+99,_xlfn.SWITCH(LEFT($E$39,1),"1",AO686,"2",AP686*1000000000+AO686,"3",-AQ686,"4",AO686+AP686*25000+AR686*0.005-AQ686*0.0001,AO686))</f>
        <v>-960468.40225079271</v>
      </c>
    </row>
    <row r="687" spans="33:46" x14ac:dyDescent="0.55000000000000004">
      <c r="AG687">
        <f t="shared" si="72"/>
        <v>686</v>
      </c>
      <c r="AH687">
        <f t="shared" si="73"/>
        <v>1</v>
      </c>
      <c r="AI687">
        <f t="shared" si="74"/>
        <v>0.4</v>
      </c>
      <c r="AJ687">
        <f t="shared" si="75"/>
        <v>0.2</v>
      </c>
      <c r="AK687">
        <f t="shared" si="76"/>
        <v>0</v>
      </c>
      <c r="AL687">
        <f t="shared" si="77"/>
        <v>60744</v>
      </c>
      <c r="AM687">
        <f>MIN(MAX(0,$B$10-AL687)*AI687,'Retirement Gap'!$B$29)</f>
        <v>0</v>
      </c>
      <c r="AN687">
        <f>IF($E$40="B - Withdrawals + Roth conversions",AJ687*MAX(0,MIN($B$47-AL687,MIN($B$59,IRMAA!$C$16)-(AL687+$B$8*0.85+AK687*$B$46))),0)</f>
        <v>0</v>
      </c>
      <c r="AO687" cm="1">
        <f t="array" ref="AO687">_xlfn.LET(_xlpm.N,$B$49,_xlpm.R,$B$48,_xlpm.Start,$B$47,_xlpm.PlanWD,AL687,_xlpm.PlanRoth,AM687,_xlpm.PlanConv,AN687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44866.96</v>
      </c>
      <c r="AP687" cm="1">
        <f t="array" ref="AP687">_xlfn.LET(_xlpm.N,$B$49,_xlpm.R,$B$48,_xlpm.Start,$B$47,_xlpm.PlanWD,AL687,_xlpm.PlanRoth,AM687,_xlpm.PlanConv,AN687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687" cm="1">
        <f t="array" ref="AQ687">_xlfn.LET(_xlpm.N,$B$49,_xlpm.R,$B$48,_xlpm.Start,$B$47,_xlpm.PlanWD,AL687,_xlpm.PlanRoth,AM687,_xlpm.PlanConv,AN687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960468.40225079271</v>
      </c>
      <c r="AR687" cm="1">
        <f t="array" ref="AR687">_xlfn.LET(_xlpm.N,$B$49,_xlpm.R,$B$48,_xlpm.Start,$B$47,_xlpm.PlanWD,AL687,_xlpm.PlanRoth,AM687,_xlpm.PlanConv,AN687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909343.45271985827</v>
      </c>
      <c r="AS687">
        <f>--AND(AK687&lt;=SUM('Retirement Gap'!$B$24:$B$25,'Retirement Gap'!$B$27),AL687+AN687&lt;=$B$47,AM687&lt;='Retirement Gap'!$B$29,ABS(AK687+AL687+AM687-$B$10)&lt;1)</f>
        <v>1</v>
      </c>
      <c r="AT687" cm="1">
        <f t="array" ref="AT687">IF(AS687=0,1E+99,_xlfn.SWITCH(LEFT($E$39,1),"1",AO687,"2",AP687*1000000000+AO687,"3",-AQ687,"4",AO687+AP687*25000+AR687*0.005-AQ687*0.0001,AO687))</f>
        <v>-960468.40225079271</v>
      </c>
    </row>
    <row r="688" spans="33:46" x14ac:dyDescent="0.55000000000000004">
      <c r="AG688">
        <f t="shared" si="72"/>
        <v>687</v>
      </c>
      <c r="AH688">
        <f t="shared" si="73"/>
        <v>1</v>
      </c>
      <c r="AI688">
        <f t="shared" si="74"/>
        <v>0.4</v>
      </c>
      <c r="AJ688">
        <f t="shared" si="75"/>
        <v>0.4</v>
      </c>
      <c r="AK688">
        <f t="shared" si="76"/>
        <v>0</v>
      </c>
      <c r="AL688">
        <f t="shared" si="77"/>
        <v>60744</v>
      </c>
      <c r="AM688">
        <f>MIN(MAX(0,$B$10-AL688)*AI688,'Retirement Gap'!$B$29)</f>
        <v>0</v>
      </c>
      <c r="AN688">
        <f>IF($E$40="B - Withdrawals + Roth conversions",AJ688*MAX(0,MIN($B$47-AL688,MIN($B$59,IRMAA!$C$16)-(AL688+$B$8*0.85+AK688*$B$46))),0)</f>
        <v>0</v>
      </c>
      <c r="AO688" cm="1">
        <f t="array" ref="AO688">_xlfn.LET(_xlpm.N,$B$49,_xlpm.R,$B$48,_xlpm.Start,$B$47,_xlpm.PlanWD,AL688,_xlpm.PlanRoth,AM688,_xlpm.PlanConv,AN688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44866.96</v>
      </c>
      <c r="AP688" cm="1">
        <f t="array" ref="AP688">_xlfn.LET(_xlpm.N,$B$49,_xlpm.R,$B$48,_xlpm.Start,$B$47,_xlpm.PlanWD,AL688,_xlpm.PlanRoth,AM688,_xlpm.PlanConv,AN688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688" cm="1">
        <f t="array" ref="AQ688">_xlfn.LET(_xlpm.N,$B$49,_xlpm.R,$B$48,_xlpm.Start,$B$47,_xlpm.PlanWD,AL688,_xlpm.PlanRoth,AM688,_xlpm.PlanConv,AN688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960468.40225079271</v>
      </c>
      <c r="AR688" cm="1">
        <f t="array" ref="AR688">_xlfn.LET(_xlpm.N,$B$49,_xlpm.R,$B$48,_xlpm.Start,$B$47,_xlpm.PlanWD,AL688,_xlpm.PlanRoth,AM688,_xlpm.PlanConv,AN688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909343.45271985827</v>
      </c>
      <c r="AS688">
        <f>--AND(AK688&lt;=SUM('Retirement Gap'!$B$24:$B$25,'Retirement Gap'!$B$27),AL688+AN688&lt;=$B$47,AM688&lt;='Retirement Gap'!$B$29,ABS(AK688+AL688+AM688-$B$10)&lt;1)</f>
        <v>1</v>
      </c>
      <c r="AT688" cm="1">
        <f t="array" ref="AT688">IF(AS688=0,1E+99,_xlfn.SWITCH(LEFT($E$39,1),"1",AO688,"2",AP688*1000000000+AO688,"3",-AQ688,"4",AO688+AP688*25000+AR688*0.005-AQ688*0.0001,AO688))</f>
        <v>-960468.40225079271</v>
      </c>
    </row>
    <row r="689" spans="33:46" x14ac:dyDescent="0.55000000000000004">
      <c r="AG689">
        <f t="shared" si="72"/>
        <v>688</v>
      </c>
      <c r="AH689">
        <f t="shared" si="73"/>
        <v>1</v>
      </c>
      <c r="AI689">
        <f t="shared" si="74"/>
        <v>0.4</v>
      </c>
      <c r="AJ689">
        <f t="shared" si="75"/>
        <v>0.6</v>
      </c>
      <c r="AK689">
        <f t="shared" si="76"/>
        <v>0</v>
      </c>
      <c r="AL689">
        <f t="shared" si="77"/>
        <v>60744</v>
      </c>
      <c r="AM689">
        <f>MIN(MAX(0,$B$10-AL689)*AI689,'Retirement Gap'!$B$29)</f>
        <v>0</v>
      </c>
      <c r="AN689">
        <f>IF($E$40="B - Withdrawals + Roth conversions",AJ689*MAX(0,MIN($B$47-AL689,MIN($B$59,IRMAA!$C$16)-(AL689+$B$8*0.85+AK689*$B$46))),0)</f>
        <v>0</v>
      </c>
      <c r="AO689" cm="1">
        <f t="array" ref="AO689">_xlfn.LET(_xlpm.N,$B$49,_xlpm.R,$B$48,_xlpm.Start,$B$47,_xlpm.PlanWD,AL689,_xlpm.PlanRoth,AM689,_xlpm.PlanConv,AN689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44866.96</v>
      </c>
      <c r="AP689" cm="1">
        <f t="array" ref="AP689">_xlfn.LET(_xlpm.N,$B$49,_xlpm.R,$B$48,_xlpm.Start,$B$47,_xlpm.PlanWD,AL689,_xlpm.PlanRoth,AM689,_xlpm.PlanConv,AN689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689" cm="1">
        <f t="array" ref="AQ689">_xlfn.LET(_xlpm.N,$B$49,_xlpm.R,$B$48,_xlpm.Start,$B$47,_xlpm.PlanWD,AL689,_xlpm.PlanRoth,AM689,_xlpm.PlanConv,AN689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960468.40225079271</v>
      </c>
      <c r="AR689" cm="1">
        <f t="array" ref="AR689">_xlfn.LET(_xlpm.N,$B$49,_xlpm.R,$B$48,_xlpm.Start,$B$47,_xlpm.PlanWD,AL689,_xlpm.PlanRoth,AM689,_xlpm.PlanConv,AN689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909343.45271985827</v>
      </c>
      <c r="AS689">
        <f>--AND(AK689&lt;=SUM('Retirement Gap'!$B$24:$B$25,'Retirement Gap'!$B$27),AL689+AN689&lt;=$B$47,AM689&lt;='Retirement Gap'!$B$29,ABS(AK689+AL689+AM689-$B$10)&lt;1)</f>
        <v>1</v>
      </c>
      <c r="AT689" cm="1">
        <f t="array" ref="AT689">IF(AS689=0,1E+99,_xlfn.SWITCH(LEFT($E$39,1),"1",AO689,"2",AP689*1000000000+AO689,"3",-AQ689,"4",AO689+AP689*25000+AR689*0.005-AQ689*0.0001,AO689))</f>
        <v>-960468.40225079271</v>
      </c>
    </row>
    <row r="690" spans="33:46" x14ac:dyDescent="0.55000000000000004">
      <c r="AG690">
        <f t="shared" si="72"/>
        <v>689</v>
      </c>
      <c r="AH690">
        <f t="shared" si="73"/>
        <v>1</v>
      </c>
      <c r="AI690">
        <f t="shared" si="74"/>
        <v>0.4</v>
      </c>
      <c r="AJ690">
        <f t="shared" si="75"/>
        <v>0.8</v>
      </c>
      <c r="AK690">
        <f t="shared" si="76"/>
        <v>0</v>
      </c>
      <c r="AL690">
        <f t="shared" si="77"/>
        <v>60744</v>
      </c>
      <c r="AM690">
        <f>MIN(MAX(0,$B$10-AL690)*AI690,'Retirement Gap'!$B$29)</f>
        <v>0</v>
      </c>
      <c r="AN690">
        <f>IF($E$40="B - Withdrawals + Roth conversions",AJ690*MAX(0,MIN($B$47-AL690,MIN($B$59,IRMAA!$C$16)-(AL690+$B$8*0.85+AK690*$B$46))),0)</f>
        <v>0</v>
      </c>
      <c r="AO690" cm="1">
        <f t="array" ref="AO690">_xlfn.LET(_xlpm.N,$B$49,_xlpm.R,$B$48,_xlpm.Start,$B$47,_xlpm.PlanWD,AL690,_xlpm.PlanRoth,AM690,_xlpm.PlanConv,AN690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44866.96</v>
      </c>
      <c r="AP690" cm="1">
        <f t="array" ref="AP690">_xlfn.LET(_xlpm.N,$B$49,_xlpm.R,$B$48,_xlpm.Start,$B$47,_xlpm.PlanWD,AL690,_xlpm.PlanRoth,AM690,_xlpm.PlanConv,AN690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690" cm="1">
        <f t="array" ref="AQ690">_xlfn.LET(_xlpm.N,$B$49,_xlpm.R,$B$48,_xlpm.Start,$B$47,_xlpm.PlanWD,AL690,_xlpm.PlanRoth,AM690,_xlpm.PlanConv,AN690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960468.40225079271</v>
      </c>
      <c r="AR690" cm="1">
        <f t="array" ref="AR690">_xlfn.LET(_xlpm.N,$B$49,_xlpm.R,$B$48,_xlpm.Start,$B$47,_xlpm.PlanWD,AL690,_xlpm.PlanRoth,AM690,_xlpm.PlanConv,AN690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909343.45271985827</v>
      </c>
      <c r="AS690">
        <f>--AND(AK690&lt;=SUM('Retirement Gap'!$B$24:$B$25,'Retirement Gap'!$B$27),AL690+AN690&lt;=$B$47,AM690&lt;='Retirement Gap'!$B$29,ABS(AK690+AL690+AM690-$B$10)&lt;1)</f>
        <v>1</v>
      </c>
      <c r="AT690" cm="1">
        <f t="array" ref="AT690">IF(AS690=0,1E+99,_xlfn.SWITCH(LEFT($E$39,1),"1",AO690,"2",AP690*1000000000+AO690,"3",-AQ690,"4",AO690+AP690*25000+AR690*0.005-AQ690*0.0001,AO690))</f>
        <v>-960468.40225079271</v>
      </c>
    </row>
    <row r="691" spans="33:46" x14ac:dyDescent="0.55000000000000004">
      <c r="AG691">
        <f t="shared" si="72"/>
        <v>690</v>
      </c>
      <c r="AH691">
        <f t="shared" si="73"/>
        <v>1</v>
      </c>
      <c r="AI691">
        <f t="shared" si="74"/>
        <v>0.4</v>
      </c>
      <c r="AJ691">
        <f t="shared" si="75"/>
        <v>1</v>
      </c>
      <c r="AK691">
        <f t="shared" si="76"/>
        <v>0</v>
      </c>
      <c r="AL691">
        <f t="shared" si="77"/>
        <v>60744</v>
      </c>
      <c r="AM691">
        <f>MIN(MAX(0,$B$10-AL691)*AI691,'Retirement Gap'!$B$29)</f>
        <v>0</v>
      </c>
      <c r="AN691">
        <f>IF($E$40="B - Withdrawals + Roth conversions",AJ691*MAX(0,MIN($B$47-AL691,MIN($B$59,IRMAA!$C$16)-(AL691+$B$8*0.85+AK691*$B$46))),0)</f>
        <v>0</v>
      </c>
      <c r="AO691" cm="1">
        <f t="array" ref="AO691">_xlfn.LET(_xlpm.N,$B$49,_xlpm.R,$B$48,_xlpm.Start,$B$47,_xlpm.PlanWD,AL691,_xlpm.PlanRoth,AM691,_xlpm.PlanConv,AN691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44866.96</v>
      </c>
      <c r="AP691" cm="1">
        <f t="array" ref="AP691">_xlfn.LET(_xlpm.N,$B$49,_xlpm.R,$B$48,_xlpm.Start,$B$47,_xlpm.PlanWD,AL691,_xlpm.PlanRoth,AM691,_xlpm.PlanConv,AN691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691" cm="1">
        <f t="array" ref="AQ691">_xlfn.LET(_xlpm.N,$B$49,_xlpm.R,$B$48,_xlpm.Start,$B$47,_xlpm.PlanWD,AL691,_xlpm.PlanRoth,AM691,_xlpm.PlanConv,AN691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960468.40225079271</v>
      </c>
      <c r="AR691" cm="1">
        <f t="array" ref="AR691">_xlfn.LET(_xlpm.N,$B$49,_xlpm.R,$B$48,_xlpm.Start,$B$47,_xlpm.PlanWD,AL691,_xlpm.PlanRoth,AM691,_xlpm.PlanConv,AN691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909343.45271985827</v>
      </c>
      <c r="AS691">
        <f>--AND(AK691&lt;=SUM('Retirement Gap'!$B$24:$B$25,'Retirement Gap'!$B$27),AL691+AN691&lt;=$B$47,AM691&lt;='Retirement Gap'!$B$29,ABS(AK691+AL691+AM691-$B$10)&lt;1)</f>
        <v>1</v>
      </c>
      <c r="AT691" cm="1">
        <f t="array" ref="AT691">IF(AS691=0,1E+99,_xlfn.SWITCH(LEFT($E$39,1),"1",AO691,"2",AP691*1000000000+AO691,"3",-AQ691,"4",AO691+AP691*25000+AR691*0.005-AQ691*0.0001,AO691))</f>
        <v>-960468.40225079271</v>
      </c>
    </row>
    <row r="692" spans="33:46" x14ac:dyDescent="0.55000000000000004">
      <c r="AG692">
        <f t="shared" si="72"/>
        <v>691</v>
      </c>
      <c r="AH692">
        <f t="shared" si="73"/>
        <v>1</v>
      </c>
      <c r="AI692">
        <f t="shared" si="74"/>
        <v>0.5</v>
      </c>
      <c r="AJ692">
        <f t="shared" si="75"/>
        <v>0</v>
      </c>
      <c r="AK692">
        <f t="shared" si="76"/>
        <v>0</v>
      </c>
      <c r="AL692">
        <f t="shared" si="77"/>
        <v>60744</v>
      </c>
      <c r="AM692">
        <f>MIN(MAX(0,$B$10-AL692)*AI692,'Retirement Gap'!$B$29)</f>
        <v>0</v>
      </c>
      <c r="AN692">
        <f>IF($E$40="B - Withdrawals + Roth conversions",AJ692*MAX(0,MIN($B$47-AL692,MIN($B$59,IRMAA!$C$16)-(AL692+$B$8*0.85+AK692*$B$46))),0)</f>
        <v>0</v>
      </c>
      <c r="AO692" cm="1">
        <f t="array" ref="AO692">_xlfn.LET(_xlpm.N,$B$49,_xlpm.R,$B$48,_xlpm.Start,$B$47,_xlpm.PlanWD,AL692,_xlpm.PlanRoth,AM692,_xlpm.PlanConv,AN692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44866.96</v>
      </c>
      <c r="AP692" cm="1">
        <f t="array" ref="AP692">_xlfn.LET(_xlpm.N,$B$49,_xlpm.R,$B$48,_xlpm.Start,$B$47,_xlpm.PlanWD,AL692,_xlpm.PlanRoth,AM692,_xlpm.PlanConv,AN692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692" cm="1">
        <f t="array" ref="AQ692">_xlfn.LET(_xlpm.N,$B$49,_xlpm.R,$B$48,_xlpm.Start,$B$47,_xlpm.PlanWD,AL692,_xlpm.PlanRoth,AM692,_xlpm.PlanConv,AN692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960468.40225079271</v>
      </c>
      <c r="AR692" cm="1">
        <f t="array" ref="AR692">_xlfn.LET(_xlpm.N,$B$49,_xlpm.R,$B$48,_xlpm.Start,$B$47,_xlpm.PlanWD,AL692,_xlpm.PlanRoth,AM692,_xlpm.PlanConv,AN692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909343.45271985827</v>
      </c>
      <c r="AS692">
        <f>--AND(AK692&lt;=SUM('Retirement Gap'!$B$24:$B$25,'Retirement Gap'!$B$27),AL692+AN692&lt;=$B$47,AM692&lt;='Retirement Gap'!$B$29,ABS(AK692+AL692+AM692-$B$10)&lt;1)</f>
        <v>1</v>
      </c>
      <c r="AT692" cm="1">
        <f t="array" ref="AT692">IF(AS692=0,1E+99,_xlfn.SWITCH(LEFT($E$39,1),"1",AO692,"2",AP692*1000000000+AO692,"3",-AQ692,"4",AO692+AP692*25000+AR692*0.005-AQ692*0.0001,AO692))</f>
        <v>-960468.40225079271</v>
      </c>
    </row>
    <row r="693" spans="33:46" x14ac:dyDescent="0.55000000000000004">
      <c r="AG693">
        <f t="shared" si="72"/>
        <v>692</v>
      </c>
      <c r="AH693">
        <f t="shared" si="73"/>
        <v>1</v>
      </c>
      <c r="AI693">
        <f t="shared" si="74"/>
        <v>0.5</v>
      </c>
      <c r="AJ693">
        <f t="shared" si="75"/>
        <v>0.2</v>
      </c>
      <c r="AK693">
        <f t="shared" si="76"/>
        <v>0</v>
      </c>
      <c r="AL693">
        <f t="shared" si="77"/>
        <v>60744</v>
      </c>
      <c r="AM693">
        <f>MIN(MAX(0,$B$10-AL693)*AI693,'Retirement Gap'!$B$29)</f>
        <v>0</v>
      </c>
      <c r="AN693">
        <f>IF($E$40="B - Withdrawals + Roth conversions",AJ693*MAX(0,MIN($B$47-AL693,MIN($B$59,IRMAA!$C$16)-(AL693+$B$8*0.85+AK693*$B$46))),0)</f>
        <v>0</v>
      </c>
      <c r="AO693" cm="1">
        <f t="array" ref="AO693">_xlfn.LET(_xlpm.N,$B$49,_xlpm.R,$B$48,_xlpm.Start,$B$47,_xlpm.PlanWD,AL693,_xlpm.PlanRoth,AM693,_xlpm.PlanConv,AN693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44866.96</v>
      </c>
      <c r="AP693" cm="1">
        <f t="array" ref="AP693">_xlfn.LET(_xlpm.N,$B$49,_xlpm.R,$B$48,_xlpm.Start,$B$47,_xlpm.PlanWD,AL693,_xlpm.PlanRoth,AM693,_xlpm.PlanConv,AN693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693" cm="1">
        <f t="array" ref="AQ693">_xlfn.LET(_xlpm.N,$B$49,_xlpm.R,$B$48,_xlpm.Start,$B$47,_xlpm.PlanWD,AL693,_xlpm.PlanRoth,AM693,_xlpm.PlanConv,AN693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960468.40225079271</v>
      </c>
      <c r="AR693" cm="1">
        <f t="array" ref="AR693">_xlfn.LET(_xlpm.N,$B$49,_xlpm.R,$B$48,_xlpm.Start,$B$47,_xlpm.PlanWD,AL693,_xlpm.PlanRoth,AM693,_xlpm.PlanConv,AN693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909343.45271985827</v>
      </c>
      <c r="AS693">
        <f>--AND(AK693&lt;=SUM('Retirement Gap'!$B$24:$B$25,'Retirement Gap'!$B$27),AL693+AN693&lt;=$B$47,AM693&lt;='Retirement Gap'!$B$29,ABS(AK693+AL693+AM693-$B$10)&lt;1)</f>
        <v>1</v>
      </c>
      <c r="AT693" cm="1">
        <f t="array" ref="AT693">IF(AS693=0,1E+99,_xlfn.SWITCH(LEFT($E$39,1),"1",AO693,"2",AP693*1000000000+AO693,"3",-AQ693,"4",AO693+AP693*25000+AR693*0.005-AQ693*0.0001,AO693))</f>
        <v>-960468.40225079271</v>
      </c>
    </row>
    <row r="694" spans="33:46" x14ac:dyDescent="0.55000000000000004">
      <c r="AG694">
        <f t="shared" si="72"/>
        <v>693</v>
      </c>
      <c r="AH694">
        <f t="shared" si="73"/>
        <v>1</v>
      </c>
      <c r="AI694">
        <f t="shared" si="74"/>
        <v>0.5</v>
      </c>
      <c r="AJ694">
        <f t="shared" si="75"/>
        <v>0.4</v>
      </c>
      <c r="AK694">
        <f t="shared" si="76"/>
        <v>0</v>
      </c>
      <c r="AL694">
        <f t="shared" si="77"/>
        <v>60744</v>
      </c>
      <c r="AM694">
        <f>MIN(MAX(0,$B$10-AL694)*AI694,'Retirement Gap'!$B$29)</f>
        <v>0</v>
      </c>
      <c r="AN694">
        <f>IF($E$40="B - Withdrawals + Roth conversions",AJ694*MAX(0,MIN($B$47-AL694,MIN($B$59,IRMAA!$C$16)-(AL694+$B$8*0.85+AK694*$B$46))),0)</f>
        <v>0</v>
      </c>
      <c r="AO694" cm="1">
        <f t="array" ref="AO694">_xlfn.LET(_xlpm.N,$B$49,_xlpm.R,$B$48,_xlpm.Start,$B$47,_xlpm.PlanWD,AL694,_xlpm.PlanRoth,AM694,_xlpm.PlanConv,AN694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44866.96</v>
      </c>
      <c r="AP694" cm="1">
        <f t="array" ref="AP694">_xlfn.LET(_xlpm.N,$B$49,_xlpm.R,$B$48,_xlpm.Start,$B$47,_xlpm.PlanWD,AL694,_xlpm.PlanRoth,AM694,_xlpm.PlanConv,AN694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694" cm="1">
        <f t="array" ref="AQ694">_xlfn.LET(_xlpm.N,$B$49,_xlpm.R,$B$48,_xlpm.Start,$B$47,_xlpm.PlanWD,AL694,_xlpm.PlanRoth,AM694,_xlpm.PlanConv,AN694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960468.40225079271</v>
      </c>
      <c r="AR694" cm="1">
        <f t="array" ref="AR694">_xlfn.LET(_xlpm.N,$B$49,_xlpm.R,$B$48,_xlpm.Start,$B$47,_xlpm.PlanWD,AL694,_xlpm.PlanRoth,AM694,_xlpm.PlanConv,AN694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909343.45271985827</v>
      </c>
      <c r="AS694">
        <f>--AND(AK694&lt;=SUM('Retirement Gap'!$B$24:$B$25,'Retirement Gap'!$B$27),AL694+AN694&lt;=$B$47,AM694&lt;='Retirement Gap'!$B$29,ABS(AK694+AL694+AM694-$B$10)&lt;1)</f>
        <v>1</v>
      </c>
      <c r="AT694" cm="1">
        <f t="array" ref="AT694">IF(AS694=0,1E+99,_xlfn.SWITCH(LEFT($E$39,1),"1",AO694,"2",AP694*1000000000+AO694,"3",-AQ694,"4",AO694+AP694*25000+AR694*0.005-AQ694*0.0001,AO694))</f>
        <v>-960468.40225079271</v>
      </c>
    </row>
    <row r="695" spans="33:46" x14ac:dyDescent="0.55000000000000004">
      <c r="AG695">
        <f t="shared" si="72"/>
        <v>694</v>
      </c>
      <c r="AH695">
        <f t="shared" si="73"/>
        <v>1</v>
      </c>
      <c r="AI695">
        <f t="shared" si="74"/>
        <v>0.5</v>
      </c>
      <c r="AJ695">
        <f t="shared" si="75"/>
        <v>0.6</v>
      </c>
      <c r="AK695">
        <f t="shared" si="76"/>
        <v>0</v>
      </c>
      <c r="AL695">
        <f t="shared" si="77"/>
        <v>60744</v>
      </c>
      <c r="AM695">
        <f>MIN(MAX(0,$B$10-AL695)*AI695,'Retirement Gap'!$B$29)</f>
        <v>0</v>
      </c>
      <c r="AN695">
        <f>IF($E$40="B - Withdrawals + Roth conversions",AJ695*MAX(0,MIN($B$47-AL695,MIN($B$59,IRMAA!$C$16)-(AL695+$B$8*0.85+AK695*$B$46))),0)</f>
        <v>0</v>
      </c>
      <c r="AO695" cm="1">
        <f t="array" ref="AO695">_xlfn.LET(_xlpm.N,$B$49,_xlpm.R,$B$48,_xlpm.Start,$B$47,_xlpm.PlanWD,AL695,_xlpm.PlanRoth,AM695,_xlpm.PlanConv,AN695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44866.96</v>
      </c>
      <c r="AP695" cm="1">
        <f t="array" ref="AP695">_xlfn.LET(_xlpm.N,$B$49,_xlpm.R,$B$48,_xlpm.Start,$B$47,_xlpm.PlanWD,AL695,_xlpm.PlanRoth,AM695,_xlpm.PlanConv,AN695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695" cm="1">
        <f t="array" ref="AQ695">_xlfn.LET(_xlpm.N,$B$49,_xlpm.R,$B$48,_xlpm.Start,$B$47,_xlpm.PlanWD,AL695,_xlpm.PlanRoth,AM695,_xlpm.PlanConv,AN695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960468.40225079271</v>
      </c>
      <c r="AR695" cm="1">
        <f t="array" ref="AR695">_xlfn.LET(_xlpm.N,$B$49,_xlpm.R,$B$48,_xlpm.Start,$B$47,_xlpm.PlanWD,AL695,_xlpm.PlanRoth,AM695,_xlpm.PlanConv,AN695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909343.45271985827</v>
      </c>
      <c r="AS695">
        <f>--AND(AK695&lt;=SUM('Retirement Gap'!$B$24:$B$25,'Retirement Gap'!$B$27),AL695+AN695&lt;=$B$47,AM695&lt;='Retirement Gap'!$B$29,ABS(AK695+AL695+AM695-$B$10)&lt;1)</f>
        <v>1</v>
      </c>
      <c r="AT695" cm="1">
        <f t="array" ref="AT695">IF(AS695=0,1E+99,_xlfn.SWITCH(LEFT($E$39,1),"1",AO695,"2",AP695*1000000000+AO695,"3",-AQ695,"4",AO695+AP695*25000+AR695*0.005-AQ695*0.0001,AO695))</f>
        <v>-960468.40225079271</v>
      </c>
    </row>
    <row r="696" spans="33:46" x14ac:dyDescent="0.55000000000000004">
      <c r="AG696">
        <f t="shared" si="72"/>
        <v>695</v>
      </c>
      <c r="AH696">
        <f t="shared" si="73"/>
        <v>1</v>
      </c>
      <c r="AI696">
        <f t="shared" si="74"/>
        <v>0.5</v>
      </c>
      <c r="AJ696">
        <f t="shared" si="75"/>
        <v>0.8</v>
      </c>
      <c r="AK696">
        <f t="shared" si="76"/>
        <v>0</v>
      </c>
      <c r="AL696">
        <f t="shared" si="77"/>
        <v>60744</v>
      </c>
      <c r="AM696">
        <f>MIN(MAX(0,$B$10-AL696)*AI696,'Retirement Gap'!$B$29)</f>
        <v>0</v>
      </c>
      <c r="AN696">
        <f>IF($E$40="B - Withdrawals + Roth conversions",AJ696*MAX(0,MIN($B$47-AL696,MIN($B$59,IRMAA!$C$16)-(AL696+$B$8*0.85+AK696*$B$46))),0)</f>
        <v>0</v>
      </c>
      <c r="AO696" cm="1">
        <f t="array" ref="AO696">_xlfn.LET(_xlpm.N,$B$49,_xlpm.R,$B$48,_xlpm.Start,$B$47,_xlpm.PlanWD,AL696,_xlpm.PlanRoth,AM696,_xlpm.PlanConv,AN696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44866.96</v>
      </c>
      <c r="AP696" cm="1">
        <f t="array" ref="AP696">_xlfn.LET(_xlpm.N,$B$49,_xlpm.R,$B$48,_xlpm.Start,$B$47,_xlpm.PlanWD,AL696,_xlpm.PlanRoth,AM696,_xlpm.PlanConv,AN696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696" cm="1">
        <f t="array" ref="AQ696">_xlfn.LET(_xlpm.N,$B$49,_xlpm.R,$B$48,_xlpm.Start,$B$47,_xlpm.PlanWD,AL696,_xlpm.PlanRoth,AM696,_xlpm.PlanConv,AN696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960468.40225079271</v>
      </c>
      <c r="AR696" cm="1">
        <f t="array" ref="AR696">_xlfn.LET(_xlpm.N,$B$49,_xlpm.R,$B$48,_xlpm.Start,$B$47,_xlpm.PlanWD,AL696,_xlpm.PlanRoth,AM696,_xlpm.PlanConv,AN696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909343.45271985827</v>
      </c>
      <c r="AS696">
        <f>--AND(AK696&lt;=SUM('Retirement Gap'!$B$24:$B$25,'Retirement Gap'!$B$27),AL696+AN696&lt;=$B$47,AM696&lt;='Retirement Gap'!$B$29,ABS(AK696+AL696+AM696-$B$10)&lt;1)</f>
        <v>1</v>
      </c>
      <c r="AT696" cm="1">
        <f t="array" ref="AT696">IF(AS696=0,1E+99,_xlfn.SWITCH(LEFT($E$39,1),"1",AO696,"2",AP696*1000000000+AO696,"3",-AQ696,"4",AO696+AP696*25000+AR696*0.005-AQ696*0.0001,AO696))</f>
        <v>-960468.40225079271</v>
      </c>
    </row>
    <row r="697" spans="33:46" x14ac:dyDescent="0.55000000000000004">
      <c r="AG697">
        <f t="shared" si="72"/>
        <v>696</v>
      </c>
      <c r="AH697">
        <f t="shared" si="73"/>
        <v>1</v>
      </c>
      <c r="AI697">
        <f t="shared" si="74"/>
        <v>0.5</v>
      </c>
      <c r="AJ697">
        <f t="shared" si="75"/>
        <v>1</v>
      </c>
      <c r="AK697">
        <f t="shared" si="76"/>
        <v>0</v>
      </c>
      <c r="AL697">
        <f t="shared" si="77"/>
        <v>60744</v>
      </c>
      <c r="AM697">
        <f>MIN(MAX(0,$B$10-AL697)*AI697,'Retirement Gap'!$B$29)</f>
        <v>0</v>
      </c>
      <c r="AN697">
        <f>IF($E$40="B - Withdrawals + Roth conversions",AJ697*MAX(0,MIN($B$47-AL697,MIN($B$59,IRMAA!$C$16)-(AL697+$B$8*0.85+AK697*$B$46))),0)</f>
        <v>0</v>
      </c>
      <c r="AO697" cm="1">
        <f t="array" ref="AO697">_xlfn.LET(_xlpm.N,$B$49,_xlpm.R,$B$48,_xlpm.Start,$B$47,_xlpm.PlanWD,AL697,_xlpm.PlanRoth,AM697,_xlpm.PlanConv,AN697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44866.96</v>
      </c>
      <c r="AP697" cm="1">
        <f t="array" ref="AP697">_xlfn.LET(_xlpm.N,$B$49,_xlpm.R,$B$48,_xlpm.Start,$B$47,_xlpm.PlanWD,AL697,_xlpm.PlanRoth,AM697,_xlpm.PlanConv,AN697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697" cm="1">
        <f t="array" ref="AQ697">_xlfn.LET(_xlpm.N,$B$49,_xlpm.R,$B$48,_xlpm.Start,$B$47,_xlpm.PlanWD,AL697,_xlpm.PlanRoth,AM697,_xlpm.PlanConv,AN697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960468.40225079271</v>
      </c>
      <c r="AR697" cm="1">
        <f t="array" ref="AR697">_xlfn.LET(_xlpm.N,$B$49,_xlpm.R,$B$48,_xlpm.Start,$B$47,_xlpm.PlanWD,AL697,_xlpm.PlanRoth,AM697,_xlpm.PlanConv,AN697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909343.45271985827</v>
      </c>
      <c r="AS697">
        <f>--AND(AK697&lt;=SUM('Retirement Gap'!$B$24:$B$25,'Retirement Gap'!$B$27),AL697+AN697&lt;=$B$47,AM697&lt;='Retirement Gap'!$B$29,ABS(AK697+AL697+AM697-$B$10)&lt;1)</f>
        <v>1</v>
      </c>
      <c r="AT697" cm="1">
        <f t="array" ref="AT697">IF(AS697=0,1E+99,_xlfn.SWITCH(LEFT($E$39,1),"1",AO697,"2",AP697*1000000000+AO697,"3",-AQ697,"4",AO697+AP697*25000+AR697*0.005-AQ697*0.0001,AO697))</f>
        <v>-960468.40225079271</v>
      </c>
    </row>
    <row r="698" spans="33:46" x14ac:dyDescent="0.55000000000000004">
      <c r="AG698">
        <f t="shared" si="72"/>
        <v>697</v>
      </c>
      <c r="AH698">
        <f t="shared" si="73"/>
        <v>1</v>
      </c>
      <c r="AI698">
        <f t="shared" si="74"/>
        <v>0.6</v>
      </c>
      <c r="AJ698">
        <f t="shared" si="75"/>
        <v>0</v>
      </c>
      <c r="AK698">
        <f t="shared" si="76"/>
        <v>0</v>
      </c>
      <c r="AL698">
        <f t="shared" si="77"/>
        <v>60744</v>
      </c>
      <c r="AM698">
        <f>MIN(MAX(0,$B$10-AL698)*AI698,'Retirement Gap'!$B$29)</f>
        <v>0</v>
      </c>
      <c r="AN698">
        <f>IF($E$40="B - Withdrawals + Roth conversions",AJ698*MAX(0,MIN($B$47-AL698,MIN($B$59,IRMAA!$C$16)-(AL698+$B$8*0.85+AK698*$B$46))),0)</f>
        <v>0</v>
      </c>
      <c r="AO698" cm="1">
        <f t="array" ref="AO698">_xlfn.LET(_xlpm.N,$B$49,_xlpm.R,$B$48,_xlpm.Start,$B$47,_xlpm.PlanWD,AL698,_xlpm.PlanRoth,AM698,_xlpm.PlanConv,AN698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44866.96</v>
      </c>
      <c r="AP698" cm="1">
        <f t="array" ref="AP698">_xlfn.LET(_xlpm.N,$B$49,_xlpm.R,$B$48,_xlpm.Start,$B$47,_xlpm.PlanWD,AL698,_xlpm.PlanRoth,AM698,_xlpm.PlanConv,AN698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698" cm="1">
        <f t="array" ref="AQ698">_xlfn.LET(_xlpm.N,$B$49,_xlpm.R,$B$48,_xlpm.Start,$B$47,_xlpm.PlanWD,AL698,_xlpm.PlanRoth,AM698,_xlpm.PlanConv,AN698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960468.40225079271</v>
      </c>
      <c r="AR698" cm="1">
        <f t="array" ref="AR698">_xlfn.LET(_xlpm.N,$B$49,_xlpm.R,$B$48,_xlpm.Start,$B$47,_xlpm.PlanWD,AL698,_xlpm.PlanRoth,AM698,_xlpm.PlanConv,AN698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909343.45271985827</v>
      </c>
      <c r="AS698">
        <f>--AND(AK698&lt;=SUM('Retirement Gap'!$B$24:$B$25,'Retirement Gap'!$B$27),AL698+AN698&lt;=$B$47,AM698&lt;='Retirement Gap'!$B$29,ABS(AK698+AL698+AM698-$B$10)&lt;1)</f>
        <v>1</v>
      </c>
      <c r="AT698" cm="1">
        <f t="array" ref="AT698">IF(AS698=0,1E+99,_xlfn.SWITCH(LEFT($E$39,1),"1",AO698,"2",AP698*1000000000+AO698,"3",-AQ698,"4",AO698+AP698*25000+AR698*0.005-AQ698*0.0001,AO698))</f>
        <v>-960468.40225079271</v>
      </c>
    </row>
    <row r="699" spans="33:46" x14ac:dyDescent="0.55000000000000004">
      <c r="AG699">
        <f t="shared" si="72"/>
        <v>698</v>
      </c>
      <c r="AH699">
        <f t="shared" si="73"/>
        <v>1</v>
      </c>
      <c r="AI699">
        <f t="shared" si="74"/>
        <v>0.6</v>
      </c>
      <c r="AJ699">
        <f t="shared" si="75"/>
        <v>0.2</v>
      </c>
      <c r="AK699">
        <f t="shared" si="76"/>
        <v>0</v>
      </c>
      <c r="AL699">
        <f t="shared" si="77"/>
        <v>60744</v>
      </c>
      <c r="AM699">
        <f>MIN(MAX(0,$B$10-AL699)*AI699,'Retirement Gap'!$B$29)</f>
        <v>0</v>
      </c>
      <c r="AN699">
        <f>IF($E$40="B - Withdrawals + Roth conversions",AJ699*MAX(0,MIN($B$47-AL699,MIN($B$59,IRMAA!$C$16)-(AL699+$B$8*0.85+AK699*$B$46))),0)</f>
        <v>0</v>
      </c>
      <c r="AO699" cm="1">
        <f t="array" ref="AO699">_xlfn.LET(_xlpm.N,$B$49,_xlpm.R,$B$48,_xlpm.Start,$B$47,_xlpm.PlanWD,AL699,_xlpm.PlanRoth,AM699,_xlpm.PlanConv,AN699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44866.96</v>
      </c>
      <c r="AP699" cm="1">
        <f t="array" ref="AP699">_xlfn.LET(_xlpm.N,$B$49,_xlpm.R,$B$48,_xlpm.Start,$B$47,_xlpm.PlanWD,AL699,_xlpm.PlanRoth,AM699,_xlpm.PlanConv,AN699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699" cm="1">
        <f t="array" ref="AQ699">_xlfn.LET(_xlpm.N,$B$49,_xlpm.R,$B$48,_xlpm.Start,$B$47,_xlpm.PlanWD,AL699,_xlpm.PlanRoth,AM699,_xlpm.PlanConv,AN699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960468.40225079271</v>
      </c>
      <c r="AR699" cm="1">
        <f t="array" ref="AR699">_xlfn.LET(_xlpm.N,$B$49,_xlpm.R,$B$48,_xlpm.Start,$B$47,_xlpm.PlanWD,AL699,_xlpm.PlanRoth,AM699,_xlpm.PlanConv,AN699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909343.45271985827</v>
      </c>
      <c r="AS699">
        <f>--AND(AK699&lt;=SUM('Retirement Gap'!$B$24:$B$25,'Retirement Gap'!$B$27),AL699+AN699&lt;=$B$47,AM699&lt;='Retirement Gap'!$B$29,ABS(AK699+AL699+AM699-$B$10)&lt;1)</f>
        <v>1</v>
      </c>
      <c r="AT699" cm="1">
        <f t="array" ref="AT699">IF(AS699=0,1E+99,_xlfn.SWITCH(LEFT($E$39,1),"1",AO699,"2",AP699*1000000000+AO699,"3",-AQ699,"4",AO699+AP699*25000+AR699*0.005-AQ699*0.0001,AO699))</f>
        <v>-960468.40225079271</v>
      </c>
    </row>
    <row r="700" spans="33:46" x14ac:dyDescent="0.55000000000000004">
      <c r="AG700">
        <f t="shared" si="72"/>
        <v>699</v>
      </c>
      <c r="AH700">
        <f t="shared" si="73"/>
        <v>1</v>
      </c>
      <c r="AI700">
        <f t="shared" si="74"/>
        <v>0.6</v>
      </c>
      <c r="AJ700">
        <f t="shared" si="75"/>
        <v>0.4</v>
      </c>
      <c r="AK700">
        <f t="shared" si="76"/>
        <v>0</v>
      </c>
      <c r="AL700">
        <f t="shared" si="77"/>
        <v>60744</v>
      </c>
      <c r="AM700">
        <f>MIN(MAX(0,$B$10-AL700)*AI700,'Retirement Gap'!$B$29)</f>
        <v>0</v>
      </c>
      <c r="AN700">
        <f>IF($E$40="B - Withdrawals + Roth conversions",AJ700*MAX(0,MIN($B$47-AL700,MIN($B$59,IRMAA!$C$16)-(AL700+$B$8*0.85+AK700*$B$46))),0)</f>
        <v>0</v>
      </c>
      <c r="AO700" cm="1">
        <f t="array" ref="AO700">_xlfn.LET(_xlpm.N,$B$49,_xlpm.R,$B$48,_xlpm.Start,$B$47,_xlpm.PlanWD,AL700,_xlpm.PlanRoth,AM700,_xlpm.PlanConv,AN700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44866.96</v>
      </c>
      <c r="AP700" cm="1">
        <f t="array" ref="AP700">_xlfn.LET(_xlpm.N,$B$49,_xlpm.R,$B$48,_xlpm.Start,$B$47,_xlpm.PlanWD,AL700,_xlpm.PlanRoth,AM700,_xlpm.PlanConv,AN700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700" cm="1">
        <f t="array" ref="AQ700">_xlfn.LET(_xlpm.N,$B$49,_xlpm.R,$B$48,_xlpm.Start,$B$47,_xlpm.PlanWD,AL700,_xlpm.PlanRoth,AM700,_xlpm.PlanConv,AN700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960468.40225079271</v>
      </c>
      <c r="AR700" cm="1">
        <f t="array" ref="AR700">_xlfn.LET(_xlpm.N,$B$49,_xlpm.R,$B$48,_xlpm.Start,$B$47,_xlpm.PlanWD,AL700,_xlpm.PlanRoth,AM700,_xlpm.PlanConv,AN700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909343.45271985827</v>
      </c>
      <c r="AS700">
        <f>--AND(AK700&lt;=SUM('Retirement Gap'!$B$24:$B$25,'Retirement Gap'!$B$27),AL700+AN700&lt;=$B$47,AM700&lt;='Retirement Gap'!$B$29,ABS(AK700+AL700+AM700-$B$10)&lt;1)</f>
        <v>1</v>
      </c>
      <c r="AT700" cm="1">
        <f t="array" ref="AT700">IF(AS700=0,1E+99,_xlfn.SWITCH(LEFT($E$39,1),"1",AO700,"2",AP700*1000000000+AO700,"3",-AQ700,"4",AO700+AP700*25000+AR700*0.005-AQ700*0.0001,AO700))</f>
        <v>-960468.40225079271</v>
      </c>
    </row>
    <row r="701" spans="33:46" x14ac:dyDescent="0.55000000000000004">
      <c r="AG701">
        <f t="shared" si="72"/>
        <v>700</v>
      </c>
      <c r="AH701">
        <f t="shared" si="73"/>
        <v>1</v>
      </c>
      <c r="AI701">
        <f t="shared" si="74"/>
        <v>0.6</v>
      </c>
      <c r="AJ701">
        <f t="shared" si="75"/>
        <v>0.6</v>
      </c>
      <c r="AK701">
        <f t="shared" si="76"/>
        <v>0</v>
      </c>
      <c r="AL701">
        <f t="shared" si="77"/>
        <v>60744</v>
      </c>
      <c r="AM701">
        <f>MIN(MAX(0,$B$10-AL701)*AI701,'Retirement Gap'!$B$29)</f>
        <v>0</v>
      </c>
      <c r="AN701">
        <f>IF($E$40="B - Withdrawals + Roth conversions",AJ701*MAX(0,MIN($B$47-AL701,MIN($B$59,IRMAA!$C$16)-(AL701+$B$8*0.85+AK701*$B$46))),0)</f>
        <v>0</v>
      </c>
      <c r="AO701" cm="1">
        <f t="array" ref="AO701">_xlfn.LET(_xlpm.N,$B$49,_xlpm.R,$B$48,_xlpm.Start,$B$47,_xlpm.PlanWD,AL701,_xlpm.PlanRoth,AM701,_xlpm.PlanConv,AN701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44866.96</v>
      </c>
      <c r="AP701" cm="1">
        <f t="array" ref="AP701">_xlfn.LET(_xlpm.N,$B$49,_xlpm.R,$B$48,_xlpm.Start,$B$47,_xlpm.PlanWD,AL701,_xlpm.PlanRoth,AM701,_xlpm.PlanConv,AN701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701" cm="1">
        <f t="array" ref="AQ701">_xlfn.LET(_xlpm.N,$B$49,_xlpm.R,$B$48,_xlpm.Start,$B$47,_xlpm.PlanWD,AL701,_xlpm.PlanRoth,AM701,_xlpm.PlanConv,AN701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960468.40225079271</v>
      </c>
      <c r="AR701" cm="1">
        <f t="array" ref="AR701">_xlfn.LET(_xlpm.N,$B$49,_xlpm.R,$B$48,_xlpm.Start,$B$47,_xlpm.PlanWD,AL701,_xlpm.PlanRoth,AM701,_xlpm.PlanConv,AN701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909343.45271985827</v>
      </c>
      <c r="AS701">
        <f>--AND(AK701&lt;=SUM('Retirement Gap'!$B$24:$B$25,'Retirement Gap'!$B$27),AL701+AN701&lt;=$B$47,AM701&lt;='Retirement Gap'!$B$29,ABS(AK701+AL701+AM701-$B$10)&lt;1)</f>
        <v>1</v>
      </c>
      <c r="AT701" cm="1">
        <f t="array" ref="AT701">IF(AS701=0,1E+99,_xlfn.SWITCH(LEFT($E$39,1),"1",AO701,"2",AP701*1000000000+AO701,"3",-AQ701,"4",AO701+AP701*25000+AR701*0.005-AQ701*0.0001,AO701))</f>
        <v>-960468.40225079271</v>
      </c>
    </row>
    <row r="702" spans="33:46" x14ac:dyDescent="0.55000000000000004">
      <c r="AG702">
        <f t="shared" si="72"/>
        <v>701</v>
      </c>
      <c r="AH702">
        <f t="shared" si="73"/>
        <v>1</v>
      </c>
      <c r="AI702">
        <f t="shared" si="74"/>
        <v>0.6</v>
      </c>
      <c r="AJ702">
        <f t="shared" si="75"/>
        <v>0.8</v>
      </c>
      <c r="AK702">
        <f t="shared" si="76"/>
        <v>0</v>
      </c>
      <c r="AL702">
        <f t="shared" si="77"/>
        <v>60744</v>
      </c>
      <c r="AM702">
        <f>MIN(MAX(0,$B$10-AL702)*AI702,'Retirement Gap'!$B$29)</f>
        <v>0</v>
      </c>
      <c r="AN702">
        <f>IF($E$40="B - Withdrawals + Roth conversions",AJ702*MAX(0,MIN($B$47-AL702,MIN($B$59,IRMAA!$C$16)-(AL702+$B$8*0.85+AK702*$B$46))),0)</f>
        <v>0</v>
      </c>
      <c r="AO702" cm="1">
        <f t="array" ref="AO702">_xlfn.LET(_xlpm.N,$B$49,_xlpm.R,$B$48,_xlpm.Start,$B$47,_xlpm.PlanWD,AL702,_xlpm.PlanRoth,AM702,_xlpm.PlanConv,AN702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44866.96</v>
      </c>
      <c r="AP702" cm="1">
        <f t="array" ref="AP702">_xlfn.LET(_xlpm.N,$B$49,_xlpm.R,$B$48,_xlpm.Start,$B$47,_xlpm.PlanWD,AL702,_xlpm.PlanRoth,AM702,_xlpm.PlanConv,AN702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702" cm="1">
        <f t="array" ref="AQ702">_xlfn.LET(_xlpm.N,$B$49,_xlpm.R,$B$48,_xlpm.Start,$B$47,_xlpm.PlanWD,AL702,_xlpm.PlanRoth,AM702,_xlpm.PlanConv,AN702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960468.40225079271</v>
      </c>
      <c r="AR702" cm="1">
        <f t="array" ref="AR702">_xlfn.LET(_xlpm.N,$B$49,_xlpm.R,$B$48,_xlpm.Start,$B$47,_xlpm.PlanWD,AL702,_xlpm.PlanRoth,AM702,_xlpm.PlanConv,AN702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909343.45271985827</v>
      </c>
      <c r="AS702">
        <f>--AND(AK702&lt;=SUM('Retirement Gap'!$B$24:$B$25,'Retirement Gap'!$B$27),AL702+AN702&lt;=$B$47,AM702&lt;='Retirement Gap'!$B$29,ABS(AK702+AL702+AM702-$B$10)&lt;1)</f>
        <v>1</v>
      </c>
      <c r="AT702" cm="1">
        <f t="array" ref="AT702">IF(AS702=0,1E+99,_xlfn.SWITCH(LEFT($E$39,1),"1",AO702,"2",AP702*1000000000+AO702,"3",-AQ702,"4",AO702+AP702*25000+AR702*0.005-AQ702*0.0001,AO702))</f>
        <v>-960468.40225079271</v>
      </c>
    </row>
    <row r="703" spans="33:46" x14ac:dyDescent="0.55000000000000004">
      <c r="AG703">
        <f t="shared" si="72"/>
        <v>702</v>
      </c>
      <c r="AH703">
        <f t="shared" si="73"/>
        <v>1</v>
      </c>
      <c r="AI703">
        <f t="shared" si="74"/>
        <v>0.6</v>
      </c>
      <c r="AJ703">
        <f t="shared" si="75"/>
        <v>1</v>
      </c>
      <c r="AK703">
        <f t="shared" si="76"/>
        <v>0</v>
      </c>
      <c r="AL703">
        <f t="shared" si="77"/>
        <v>60744</v>
      </c>
      <c r="AM703">
        <f>MIN(MAX(0,$B$10-AL703)*AI703,'Retirement Gap'!$B$29)</f>
        <v>0</v>
      </c>
      <c r="AN703">
        <f>IF($E$40="B - Withdrawals + Roth conversions",AJ703*MAX(0,MIN($B$47-AL703,MIN($B$59,IRMAA!$C$16)-(AL703+$B$8*0.85+AK703*$B$46))),0)</f>
        <v>0</v>
      </c>
      <c r="AO703" cm="1">
        <f t="array" ref="AO703">_xlfn.LET(_xlpm.N,$B$49,_xlpm.R,$B$48,_xlpm.Start,$B$47,_xlpm.PlanWD,AL703,_xlpm.PlanRoth,AM703,_xlpm.PlanConv,AN703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44866.96</v>
      </c>
      <c r="AP703" cm="1">
        <f t="array" ref="AP703">_xlfn.LET(_xlpm.N,$B$49,_xlpm.R,$B$48,_xlpm.Start,$B$47,_xlpm.PlanWD,AL703,_xlpm.PlanRoth,AM703,_xlpm.PlanConv,AN703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703" cm="1">
        <f t="array" ref="AQ703">_xlfn.LET(_xlpm.N,$B$49,_xlpm.R,$B$48,_xlpm.Start,$B$47,_xlpm.PlanWD,AL703,_xlpm.PlanRoth,AM703,_xlpm.PlanConv,AN703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960468.40225079271</v>
      </c>
      <c r="AR703" cm="1">
        <f t="array" ref="AR703">_xlfn.LET(_xlpm.N,$B$49,_xlpm.R,$B$48,_xlpm.Start,$B$47,_xlpm.PlanWD,AL703,_xlpm.PlanRoth,AM703,_xlpm.PlanConv,AN703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909343.45271985827</v>
      </c>
      <c r="AS703">
        <f>--AND(AK703&lt;=SUM('Retirement Gap'!$B$24:$B$25,'Retirement Gap'!$B$27),AL703+AN703&lt;=$B$47,AM703&lt;='Retirement Gap'!$B$29,ABS(AK703+AL703+AM703-$B$10)&lt;1)</f>
        <v>1</v>
      </c>
      <c r="AT703" cm="1">
        <f t="array" ref="AT703">IF(AS703=0,1E+99,_xlfn.SWITCH(LEFT($E$39,1),"1",AO703,"2",AP703*1000000000+AO703,"3",-AQ703,"4",AO703+AP703*25000+AR703*0.005-AQ703*0.0001,AO703))</f>
        <v>-960468.40225079271</v>
      </c>
    </row>
    <row r="704" spans="33:46" x14ac:dyDescent="0.55000000000000004">
      <c r="AG704">
        <f t="shared" si="72"/>
        <v>703</v>
      </c>
      <c r="AH704">
        <f t="shared" si="73"/>
        <v>1</v>
      </c>
      <c r="AI704">
        <f t="shared" si="74"/>
        <v>0.7</v>
      </c>
      <c r="AJ704">
        <f t="shared" si="75"/>
        <v>0</v>
      </c>
      <c r="AK704">
        <f t="shared" si="76"/>
        <v>0</v>
      </c>
      <c r="AL704">
        <f t="shared" si="77"/>
        <v>60744</v>
      </c>
      <c r="AM704">
        <f>MIN(MAX(0,$B$10-AL704)*AI704,'Retirement Gap'!$B$29)</f>
        <v>0</v>
      </c>
      <c r="AN704">
        <f>IF($E$40="B - Withdrawals + Roth conversions",AJ704*MAX(0,MIN($B$47-AL704,MIN($B$59,IRMAA!$C$16)-(AL704+$B$8*0.85+AK704*$B$46))),0)</f>
        <v>0</v>
      </c>
      <c r="AO704" cm="1">
        <f t="array" ref="AO704">_xlfn.LET(_xlpm.N,$B$49,_xlpm.R,$B$48,_xlpm.Start,$B$47,_xlpm.PlanWD,AL704,_xlpm.PlanRoth,AM704,_xlpm.PlanConv,AN704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44866.96</v>
      </c>
      <c r="AP704" cm="1">
        <f t="array" ref="AP704">_xlfn.LET(_xlpm.N,$B$49,_xlpm.R,$B$48,_xlpm.Start,$B$47,_xlpm.PlanWD,AL704,_xlpm.PlanRoth,AM704,_xlpm.PlanConv,AN704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704" cm="1">
        <f t="array" ref="AQ704">_xlfn.LET(_xlpm.N,$B$49,_xlpm.R,$B$48,_xlpm.Start,$B$47,_xlpm.PlanWD,AL704,_xlpm.PlanRoth,AM704,_xlpm.PlanConv,AN704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960468.40225079271</v>
      </c>
      <c r="AR704" cm="1">
        <f t="array" ref="AR704">_xlfn.LET(_xlpm.N,$B$49,_xlpm.R,$B$48,_xlpm.Start,$B$47,_xlpm.PlanWD,AL704,_xlpm.PlanRoth,AM704,_xlpm.PlanConv,AN704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909343.45271985827</v>
      </c>
      <c r="AS704">
        <f>--AND(AK704&lt;=SUM('Retirement Gap'!$B$24:$B$25,'Retirement Gap'!$B$27),AL704+AN704&lt;=$B$47,AM704&lt;='Retirement Gap'!$B$29,ABS(AK704+AL704+AM704-$B$10)&lt;1)</f>
        <v>1</v>
      </c>
      <c r="AT704" cm="1">
        <f t="array" ref="AT704">IF(AS704=0,1E+99,_xlfn.SWITCH(LEFT($E$39,1),"1",AO704,"2",AP704*1000000000+AO704,"3",-AQ704,"4",AO704+AP704*25000+AR704*0.005-AQ704*0.0001,AO704))</f>
        <v>-960468.40225079271</v>
      </c>
    </row>
    <row r="705" spans="33:46" x14ac:dyDescent="0.55000000000000004">
      <c r="AG705">
        <f t="shared" si="72"/>
        <v>704</v>
      </c>
      <c r="AH705">
        <f t="shared" si="73"/>
        <v>1</v>
      </c>
      <c r="AI705">
        <f t="shared" si="74"/>
        <v>0.7</v>
      </c>
      <c r="AJ705">
        <f t="shared" si="75"/>
        <v>0.2</v>
      </c>
      <c r="AK705">
        <f t="shared" si="76"/>
        <v>0</v>
      </c>
      <c r="AL705">
        <f t="shared" si="77"/>
        <v>60744</v>
      </c>
      <c r="AM705">
        <f>MIN(MAX(0,$B$10-AL705)*AI705,'Retirement Gap'!$B$29)</f>
        <v>0</v>
      </c>
      <c r="AN705">
        <f>IF($E$40="B - Withdrawals + Roth conversions",AJ705*MAX(0,MIN($B$47-AL705,MIN($B$59,IRMAA!$C$16)-(AL705+$B$8*0.85+AK705*$B$46))),0)</f>
        <v>0</v>
      </c>
      <c r="AO705" cm="1">
        <f t="array" ref="AO705">_xlfn.LET(_xlpm.N,$B$49,_xlpm.R,$B$48,_xlpm.Start,$B$47,_xlpm.PlanWD,AL705,_xlpm.PlanRoth,AM705,_xlpm.PlanConv,AN705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44866.96</v>
      </c>
      <c r="AP705" cm="1">
        <f t="array" ref="AP705">_xlfn.LET(_xlpm.N,$B$49,_xlpm.R,$B$48,_xlpm.Start,$B$47,_xlpm.PlanWD,AL705,_xlpm.PlanRoth,AM705,_xlpm.PlanConv,AN705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705" cm="1">
        <f t="array" ref="AQ705">_xlfn.LET(_xlpm.N,$B$49,_xlpm.R,$B$48,_xlpm.Start,$B$47,_xlpm.PlanWD,AL705,_xlpm.PlanRoth,AM705,_xlpm.PlanConv,AN705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960468.40225079271</v>
      </c>
      <c r="AR705" cm="1">
        <f t="array" ref="AR705">_xlfn.LET(_xlpm.N,$B$49,_xlpm.R,$B$48,_xlpm.Start,$B$47,_xlpm.PlanWD,AL705,_xlpm.PlanRoth,AM705,_xlpm.PlanConv,AN705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909343.45271985827</v>
      </c>
      <c r="AS705">
        <f>--AND(AK705&lt;=SUM('Retirement Gap'!$B$24:$B$25,'Retirement Gap'!$B$27),AL705+AN705&lt;=$B$47,AM705&lt;='Retirement Gap'!$B$29,ABS(AK705+AL705+AM705-$B$10)&lt;1)</f>
        <v>1</v>
      </c>
      <c r="AT705" cm="1">
        <f t="array" ref="AT705">IF(AS705=0,1E+99,_xlfn.SWITCH(LEFT($E$39,1),"1",AO705,"2",AP705*1000000000+AO705,"3",-AQ705,"4",AO705+AP705*25000+AR705*0.005-AQ705*0.0001,AO705))</f>
        <v>-960468.40225079271</v>
      </c>
    </row>
    <row r="706" spans="33:46" x14ac:dyDescent="0.55000000000000004">
      <c r="AG706">
        <f t="shared" si="72"/>
        <v>705</v>
      </c>
      <c r="AH706">
        <f t="shared" si="73"/>
        <v>1</v>
      </c>
      <c r="AI706">
        <f t="shared" si="74"/>
        <v>0.7</v>
      </c>
      <c r="AJ706">
        <f t="shared" si="75"/>
        <v>0.4</v>
      </c>
      <c r="AK706">
        <f t="shared" si="76"/>
        <v>0</v>
      </c>
      <c r="AL706">
        <f t="shared" si="77"/>
        <v>60744</v>
      </c>
      <c r="AM706">
        <f>MIN(MAX(0,$B$10-AL706)*AI706,'Retirement Gap'!$B$29)</f>
        <v>0</v>
      </c>
      <c r="AN706">
        <f>IF($E$40="B - Withdrawals + Roth conversions",AJ706*MAX(0,MIN($B$47-AL706,MIN($B$59,IRMAA!$C$16)-(AL706+$B$8*0.85+AK706*$B$46))),0)</f>
        <v>0</v>
      </c>
      <c r="AO706" cm="1">
        <f t="array" ref="AO706">_xlfn.LET(_xlpm.N,$B$49,_xlpm.R,$B$48,_xlpm.Start,$B$47,_xlpm.PlanWD,AL706,_xlpm.PlanRoth,AM706,_xlpm.PlanConv,AN706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44866.96</v>
      </c>
      <c r="AP706" cm="1">
        <f t="array" ref="AP706">_xlfn.LET(_xlpm.N,$B$49,_xlpm.R,$B$48,_xlpm.Start,$B$47,_xlpm.PlanWD,AL706,_xlpm.PlanRoth,AM706,_xlpm.PlanConv,AN706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706" cm="1">
        <f t="array" ref="AQ706">_xlfn.LET(_xlpm.N,$B$49,_xlpm.R,$B$48,_xlpm.Start,$B$47,_xlpm.PlanWD,AL706,_xlpm.PlanRoth,AM706,_xlpm.PlanConv,AN706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960468.40225079271</v>
      </c>
      <c r="AR706" cm="1">
        <f t="array" ref="AR706">_xlfn.LET(_xlpm.N,$B$49,_xlpm.R,$B$48,_xlpm.Start,$B$47,_xlpm.PlanWD,AL706,_xlpm.PlanRoth,AM706,_xlpm.PlanConv,AN706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909343.45271985827</v>
      </c>
      <c r="AS706">
        <f>--AND(AK706&lt;=SUM('Retirement Gap'!$B$24:$B$25,'Retirement Gap'!$B$27),AL706+AN706&lt;=$B$47,AM706&lt;='Retirement Gap'!$B$29,ABS(AK706+AL706+AM706-$B$10)&lt;1)</f>
        <v>1</v>
      </c>
      <c r="AT706" cm="1">
        <f t="array" ref="AT706">IF(AS706=0,1E+99,_xlfn.SWITCH(LEFT($E$39,1),"1",AO706,"2",AP706*1000000000+AO706,"3",-AQ706,"4",AO706+AP706*25000+AR706*0.005-AQ706*0.0001,AO706))</f>
        <v>-960468.40225079271</v>
      </c>
    </row>
    <row r="707" spans="33:46" x14ac:dyDescent="0.55000000000000004">
      <c r="AG707">
        <f t="shared" ref="AG707:AG727" si="78">ROW()-1</f>
        <v>706</v>
      </c>
      <c r="AH707">
        <f t="shared" ref="AH707:AH727" si="79">INT((AG707-1)/66)/10</f>
        <v>1</v>
      </c>
      <c r="AI707">
        <f t="shared" ref="AI707:AI727" si="80">MOD(INT((AG707-1)/6),11)/10</f>
        <v>0.7</v>
      </c>
      <c r="AJ707">
        <f t="shared" ref="AJ707:AJ727" si="81">MOD(AG707-1,6)/5</f>
        <v>0.6</v>
      </c>
      <c r="AK707">
        <f t="shared" ref="AK707:AK727" si="82">MAX(0,$B$10-AL707-AM707)</f>
        <v>0</v>
      </c>
      <c r="AL707">
        <f t="shared" ref="AL707:AL727" si="83">MIN($B$10*AH707,$B$47)</f>
        <v>60744</v>
      </c>
      <c r="AM707">
        <f>MIN(MAX(0,$B$10-AL707)*AI707,'Retirement Gap'!$B$29)</f>
        <v>0</v>
      </c>
      <c r="AN707">
        <f>IF($E$40="B - Withdrawals + Roth conversions",AJ707*MAX(0,MIN($B$47-AL707,MIN($B$59,IRMAA!$C$16)-(AL707+$B$8*0.85+AK707*$B$46))),0)</f>
        <v>0</v>
      </c>
      <c r="AO707" cm="1">
        <f t="array" ref="AO707">_xlfn.LET(_xlpm.N,$B$49,_xlpm.R,$B$48,_xlpm.Start,$B$47,_xlpm.PlanWD,AL707,_xlpm.PlanRoth,AM707,_xlpm.PlanConv,AN707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44866.96</v>
      </c>
      <c r="AP707" cm="1">
        <f t="array" ref="AP707">_xlfn.LET(_xlpm.N,$B$49,_xlpm.R,$B$48,_xlpm.Start,$B$47,_xlpm.PlanWD,AL707,_xlpm.PlanRoth,AM707,_xlpm.PlanConv,AN707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707" cm="1">
        <f t="array" ref="AQ707">_xlfn.LET(_xlpm.N,$B$49,_xlpm.R,$B$48,_xlpm.Start,$B$47,_xlpm.PlanWD,AL707,_xlpm.PlanRoth,AM707,_xlpm.PlanConv,AN707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960468.40225079271</v>
      </c>
      <c r="AR707" cm="1">
        <f t="array" ref="AR707">_xlfn.LET(_xlpm.N,$B$49,_xlpm.R,$B$48,_xlpm.Start,$B$47,_xlpm.PlanWD,AL707,_xlpm.PlanRoth,AM707,_xlpm.PlanConv,AN707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909343.45271985827</v>
      </c>
      <c r="AS707">
        <f>--AND(AK707&lt;=SUM('Retirement Gap'!$B$24:$B$25,'Retirement Gap'!$B$27),AL707+AN707&lt;=$B$47,AM707&lt;='Retirement Gap'!$B$29,ABS(AK707+AL707+AM707-$B$10)&lt;1)</f>
        <v>1</v>
      </c>
      <c r="AT707" cm="1">
        <f t="array" ref="AT707">IF(AS707=0,1E+99,_xlfn.SWITCH(LEFT($E$39,1),"1",AO707,"2",AP707*1000000000+AO707,"3",-AQ707,"4",AO707+AP707*25000+AR707*0.005-AQ707*0.0001,AO707))</f>
        <v>-960468.40225079271</v>
      </c>
    </row>
    <row r="708" spans="33:46" x14ac:dyDescent="0.55000000000000004">
      <c r="AG708">
        <f t="shared" si="78"/>
        <v>707</v>
      </c>
      <c r="AH708">
        <f t="shared" si="79"/>
        <v>1</v>
      </c>
      <c r="AI708">
        <f t="shared" si="80"/>
        <v>0.7</v>
      </c>
      <c r="AJ708">
        <f t="shared" si="81"/>
        <v>0.8</v>
      </c>
      <c r="AK708">
        <f t="shared" si="82"/>
        <v>0</v>
      </c>
      <c r="AL708">
        <f t="shared" si="83"/>
        <v>60744</v>
      </c>
      <c r="AM708">
        <f>MIN(MAX(0,$B$10-AL708)*AI708,'Retirement Gap'!$B$29)</f>
        <v>0</v>
      </c>
      <c r="AN708">
        <f>IF($E$40="B - Withdrawals + Roth conversions",AJ708*MAX(0,MIN($B$47-AL708,MIN($B$59,IRMAA!$C$16)-(AL708+$B$8*0.85+AK708*$B$46))),0)</f>
        <v>0</v>
      </c>
      <c r="AO708" cm="1">
        <f t="array" ref="AO708">_xlfn.LET(_xlpm.N,$B$49,_xlpm.R,$B$48,_xlpm.Start,$B$47,_xlpm.PlanWD,AL708,_xlpm.PlanRoth,AM708,_xlpm.PlanConv,AN708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44866.96</v>
      </c>
      <c r="AP708" cm="1">
        <f t="array" ref="AP708">_xlfn.LET(_xlpm.N,$B$49,_xlpm.R,$B$48,_xlpm.Start,$B$47,_xlpm.PlanWD,AL708,_xlpm.PlanRoth,AM708,_xlpm.PlanConv,AN708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708" cm="1">
        <f t="array" ref="AQ708">_xlfn.LET(_xlpm.N,$B$49,_xlpm.R,$B$48,_xlpm.Start,$B$47,_xlpm.PlanWD,AL708,_xlpm.PlanRoth,AM708,_xlpm.PlanConv,AN708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960468.40225079271</v>
      </c>
      <c r="AR708" cm="1">
        <f t="array" ref="AR708">_xlfn.LET(_xlpm.N,$B$49,_xlpm.R,$B$48,_xlpm.Start,$B$47,_xlpm.PlanWD,AL708,_xlpm.PlanRoth,AM708,_xlpm.PlanConv,AN708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909343.45271985827</v>
      </c>
      <c r="AS708">
        <f>--AND(AK708&lt;=SUM('Retirement Gap'!$B$24:$B$25,'Retirement Gap'!$B$27),AL708+AN708&lt;=$B$47,AM708&lt;='Retirement Gap'!$B$29,ABS(AK708+AL708+AM708-$B$10)&lt;1)</f>
        <v>1</v>
      </c>
      <c r="AT708" cm="1">
        <f t="array" ref="AT708">IF(AS708=0,1E+99,_xlfn.SWITCH(LEFT($E$39,1),"1",AO708,"2",AP708*1000000000+AO708,"3",-AQ708,"4",AO708+AP708*25000+AR708*0.005-AQ708*0.0001,AO708))</f>
        <v>-960468.40225079271</v>
      </c>
    </row>
    <row r="709" spans="33:46" x14ac:dyDescent="0.55000000000000004">
      <c r="AG709">
        <f t="shared" si="78"/>
        <v>708</v>
      </c>
      <c r="AH709">
        <f t="shared" si="79"/>
        <v>1</v>
      </c>
      <c r="AI709">
        <f t="shared" si="80"/>
        <v>0.7</v>
      </c>
      <c r="AJ709">
        <f t="shared" si="81"/>
        <v>1</v>
      </c>
      <c r="AK709">
        <f t="shared" si="82"/>
        <v>0</v>
      </c>
      <c r="AL709">
        <f t="shared" si="83"/>
        <v>60744</v>
      </c>
      <c r="AM709">
        <f>MIN(MAX(0,$B$10-AL709)*AI709,'Retirement Gap'!$B$29)</f>
        <v>0</v>
      </c>
      <c r="AN709">
        <f>IF($E$40="B - Withdrawals + Roth conversions",AJ709*MAX(0,MIN($B$47-AL709,MIN($B$59,IRMAA!$C$16)-(AL709+$B$8*0.85+AK709*$B$46))),0)</f>
        <v>0</v>
      </c>
      <c r="AO709" cm="1">
        <f t="array" ref="AO709">_xlfn.LET(_xlpm.N,$B$49,_xlpm.R,$B$48,_xlpm.Start,$B$47,_xlpm.PlanWD,AL709,_xlpm.PlanRoth,AM709,_xlpm.PlanConv,AN709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44866.96</v>
      </c>
      <c r="AP709" cm="1">
        <f t="array" ref="AP709">_xlfn.LET(_xlpm.N,$B$49,_xlpm.R,$B$48,_xlpm.Start,$B$47,_xlpm.PlanWD,AL709,_xlpm.PlanRoth,AM709,_xlpm.PlanConv,AN709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709" cm="1">
        <f t="array" ref="AQ709">_xlfn.LET(_xlpm.N,$B$49,_xlpm.R,$B$48,_xlpm.Start,$B$47,_xlpm.PlanWD,AL709,_xlpm.PlanRoth,AM709,_xlpm.PlanConv,AN709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960468.40225079271</v>
      </c>
      <c r="AR709" cm="1">
        <f t="array" ref="AR709">_xlfn.LET(_xlpm.N,$B$49,_xlpm.R,$B$48,_xlpm.Start,$B$47,_xlpm.PlanWD,AL709,_xlpm.PlanRoth,AM709,_xlpm.PlanConv,AN709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909343.45271985827</v>
      </c>
      <c r="AS709">
        <f>--AND(AK709&lt;=SUM('Retirement Gap'!$B$24:$B$25,'Retirement Gap'!$B$27),AL709+AN709&lt;=$B$47,AM709&lt;='Retirement Gap'!$B$29,ABS(AK709+AL709+AM709-$B$10)&lt;1)</f>
        <v>1</v>
      </c>
      <c r="AT709" cm="1">
        <f t="array" ref="AT709">IF(AS709=0,1E+99,_xlfn.SWITCH(LEFT($E$39,1),"1",AO709,"2",AP709*1000000000+AO709,"3",-AQ709,"4",AO709+AP709*25000+AR709*0.005-AQ709*0.0001,AO709))</f>
        <v>-960468.40225079271</v>
      </c>
    </row>
    <row r="710" spans="33:46" x14ac:dyDescent="0.55000000000000004">
      <c r="AG710">
        <f t="shared" si="78"/>
        <v>709</v>
      </c>
      <c r="AH710">
        <f t="shared" si="79"/>
        <v>1</v>
      </c>
      <c r="AI710">
        <f t="shared" si="80"/>
        <v>0.8</v>
      </c>
      <c r="AJ710">
        <f t="shared" si="81"/>
        <v>0</v>
      </c>
      <c r="AK710">
        <f t="shared" si="82"/>
        <v>0</v>
      </c>
      <c r="AL710">
        <f t="shared" si="83"/>
        <v>60744</v>
      </c>
      <c r="AM710">
        <f>MIN(MAX(0,$B$10-AL710)*AI710,'Retirement Gap'!$B$29)</f>
        <v>0</v>
      </c>
      <c r="AN710">
        <f>IF($E$40="B - Withdrawals + Roth conversions",AJ710*MAX(0,MIN($B$47-AL710,MIN($B$59,IRMAA!$C$16)-(AL710+$B$8*0.85+AK710*$B$46))),0)</f>
        <v>0</v>
      </c>
      <c r="AO710" cm="1">
        <f t="array" ref="AO710">_xlfn.LET(_xlpm.N,$B$49,_xlpm.R,$B$48,_xlpm.Start,$B$47,_xlpm.PlanWD,AL710,_xlpm.PlanRoth,AM710,_xlpm.PlanConv,AN710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44866.96</v>
      </c>
      <c r="AP710" cm="1">
        <f t="array" ref="AP710">_xlfn.LET(_xlpm.N,$B$49,_xlpm.R,$B$48,_xlpm.Start,$B$47,_xlpm.PlanWD,AL710,_xlpm.PlanRoth,AM710,_xlpm.PlanConv,AN710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710" cm="1">
        <f t="array" ref="AQ710">_xlfn.LET(_xlpm.N,$B$49,_xlpm.R,$B$48,_xlpm.Start,$B$47,_xlpm.PlanWD,AL710,_xlpm.PlanRoth,AM710,_xlpm.PlanConv,AN710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960468.40225079271</v>
      </c>
      <c r="AR710" cm="1">
        <f t="array" ref="AR710">_xlfn.LET(_xlpm.N,$B$49,_xlpm.R,$B$48,_xlpm.Start,$B$47,_xlpm.PlanWD,AL710,_xlpm.PlanRoth,AM710,_xlpm.PlanConv,AN710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909343.45271985827</v>
      </c>
      <c r="AS710">
        <f>--AND(AK710&lt;=SUM('Retirement Gap'!$B$24:$B$25,'Retirement Gap'!$B$27),AL710+AN710&lt;=$B$47,AM710&lt;='Retirement Gap'!$B$29,ABS(AK710+AL710+AM710-$B$10)&lt;1)</f>
        <v>1</v>
      </c>
      <c r="AT710" cm="1">
        <f t="array" ref="AT710">IF(AS710=0,1E+99,_xlfn.SWITCH(LEFT($E$39,1),"1",AO710,"2",AP710*1000000000+AO710,"3",-AQ710,"4",AO710+AP710*25000+AR710*0.005-AQ710*0.0001,AO710))</f>
        <v>-960468.40225079271</v>
      </c>
    </row>
    <row r="711" spans="33:46" x14ac:dyDescent="0.55000000000000004">
      <c r="AG711">
        <f t="shared" si="78"/>
        <v>710</v>
      </c>
      <c r="AH711">
        <f t="shared" si="79"/>
        <v>1</v>
      </c>
      <c r="AI711">
        <f t="shared" si="80"/>
        <v>0.8</v>
      </c>
      <c r="AJ711">
        <f t="shared" si="81"/>
        <v>0.2</v>
      </c>
      <c r="AK711">
        <f t="shared" si="82"/>
        <v>0</v>
      </c>
      <c r="AL711">
        <f t="shared" si="83"/>
        <v>60744</v>
      </c>
      <c r="AM711">
        <f>MIN(MAX(0,$B$10-AL711)*AI711,'Retirement Gap'!$B$29)</f>
        <v>0</v>
      </c>
      <c r="AN711">
        <f>IF($E$40="B - Withdrawals + Roth conversions",AJ711*MAX(0,MIN($B$47-AL711,MIN($B$59,IRMAA!$C$16)-(AL711+$B$8*0.85+AK711*$B$46))),0)</f>
        <v>0</v>
      </c>
      <c r="AO711" cm="1">
        <f t="array" ref="AO711">_xlfn.LET(_xlpm.N,$B$49,_xlpm.R,$B$48,_xlpm.Start,$B$47,_xlpm.PlanWD,AL711,_xlpm.PlanRoth,AM711,_xlpm.PlanConv,AN711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44866.96</v>
      </c>
      <c r="AP711" cm="1">
        <f t="array" ref="AP711">_xlfn.LET(_xlpm.N,$B$49,_xlpm.R,$B$48,_xlpm.Start,$B$47,_xlpm.PlanWD,AL711,_xlpm.PlanRoth,AM711,_xlpm.PlanConv,AN711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711" cm="1">
        <f t="array" ref="AQ711">_xlfn.LET(_xlpm.N,$B$49,_xlpm.R,$B$48,_xlpm.Start,$B$47,_xlpm.PlanWD,AL711,_xlpm.PlanRoth,AM711,_xlpm.PlanConv,AN711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960468.40225079271</v>
      </c>
      <c r="AR711" cm="1">
        <f t="array" ref="AR711">_xlfn.LET(_xlpm.N,$B$49,_xlpm.R,$B$48,_xlpm.Start,$B$47,_xlpm.PlanWD,AL711,_xlpm.PlanRoth,AM711,_xlpm.PlanConv,AN711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909343.45271985827</v>
      </c>
      <c r="AS711">
        <f>--AND(AK711&lt;=SUM('Retirement Gap'!$B$24:$B$25,'Retirement Gap'!$B$27),AL711+AN711&lt;=$B$47,AM711&lt;='Retirement Gap'!$B$29,ABS(AK711+AL711+AM711-$B$10)&lt;1)</f>
        <v>1</v>
      </c>
      <c r="AT711" cm="1">
        <f t="array" ref="AT711">IF(AS711=0,1E+99,_xlfn.SWITCH(LEFT($E$39,1),"1",AO711,"2",AP711*1000000000+AO711,"3",-AQ711,"4",AO711+AP711*25000+AR711*0.005-AQ711*0.0001,AO711))</f>
        <v>-960468.40225079271</v>
      </c>
    </row>
    <row r="712" spans="33:46" x14ac:dyDescent="0.55000000000000004">
      <c r="AG712">
        <f t="shared" si="78"/>
        <v>711</v>
      </c>
      <c r="AH712">
        <f t="shared" si="79"/>
        <v>1</v>
      </c>
      <c r="AI712">
        <f t="shared" si="80"/>
        <v>0.8</v>
      </c>
      <c r="AJ712">
        <f t="shared" si="81"/>
        <v>0.4</v>
      </c>
      <c r="AK712">
        <f t="shared" si="82"/>
        <v>0</v>
      </c>
      <c r="AL712">
        <f t="shared" si="83"/>
        <v>60744</v>
      </c>
      <c r="AM712">
        <f>MIN(MAX(0,$B$10-AL712)*AI712,'Retirement Gap'!$B$29)</f>
        <v>0</v>
      </c>
      <c r="AN712">
        <f>IF($E$40="B - Withdrawals + Roth conversions",AJ712*MAX(0,MIN($B$47-AL712,MIN($B$59,IRMAA!$C$16)-(AL712+$B$8*0.85+AK712*$B$46))),0)</f>
        <v>0</v>
      </c>
      <c r="AO712" cm="1">
        <f t="array" ref="AO712">_xlfn.LET(_xlpm.N,$B$49,_xlpm.R,$B$48,_xlpm.Start,$B$47,_xlpm.PlanWD,AL712,_xlpm.PlanRoth,AM712,_xlpm.PlanConv,AN712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44866.96</v>
      </c>
      <c r="AP712" cm="1">
        <f t="array" ref="AP712">_xlfn.LET(_xlpm.N,$B$49,_xlpm.R,$B$48,_xlpm.Start,$B$47,_xlpm.PlanWD,AL712,_xlpm.PlanRoth,AM712,_xlpm.PlanConv,AN712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712" cm="1">
        <f t="array" ref="AQ712">_xlfn.LET(_xlpm.N,$B$49,_xlpm.R,$B$48,_xlpm.Start,$B$47,_xlpm.PlanWD,AL712,_xlpm.PlanRoth,AM712,_xlpm.PlanConv,AN712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960468.40225079271</v>
      </c>
      <c r="AR712" cm="1">
        <f t="array" ref="AR712">_xlfn.LET(_xlpm.N,$B$49,_xlpm.R,$B$48,_xlpm.Start,$B$47,_xlpm.PlanWD,AL712,_xlpm.PlanRoth,AM712,_xlpm.PlanConv,AN712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909343.45271985827</v>
      </c>
      <c r="AS712">
        <f>--AND(AK712&lt;=SUM('Retirement Gap'!$B$24:$B$25,'Retirement Gap'!$B$27),AL712+AN712&lt;=$B$47,AM712&lt;='Retirement Gap'!$B$29,ABS(AK712+AL712+AM712-$B$10)&lt;1)</f>
        <v>1</v>
      </c>
      <c r="AT712" cm="1">
        <f t="array" ref="AT712">IF(AS712=0,1E+99,_xlfn.SWITCH(LEFT($E$39,1),"1",AO712,"2",AP712*1000000000+AO712,"3",-AQ712,"4",AO712+AP712*25000+AR712*0.005-AQ712*0.0001,AO712))</f>
        <v>-960468.40225079271</v>
      </c>
    </row>
    <row r="713" spans="33:46" x14ac:dyDescent="0.55000000000000004">
      <c r="AG713">
        <f t="shared" si="78"/>
        <v>712</v>
      </c>
      <c r="AH713">
        <f t="shared" si="79"/>
        <v>1</v>
      </c>
      <c r="AI713">
        <f t="shared" si="80"/>
        <v>0.8</v>
      </c>
      <c r="AJ713">
        <f t="shared" si="81"/>
        <v>0.6</v>
      </c>
      <c r="AK713">
        <f t="shared" si="82"/>
        <v>0</v>
      </c>
      <c r="AL713">
        <f t="shared" si="83"/>
        <v>60744</v>
      </c>
      <c r="AM713">
        <f>MIN(MAX(0,$B$10-AL713)*AI713,'Retirement Gap'!$B$29)</f>
        <v>0</v>
      </c>
      <c r="AN713">
        <f>IF($E$40="B - Withdrawals + Roth conversions",AJ713*MAX(0,MIN($B$47-AL713,MIN($B$59,IRMAA!$C$16)-(AL713+$B$8*0.85+AK713*$B$46))),0)</f>
        <v>0</v>
      </c>
      <c r="AO713" cm="1">
        <f t="array" ref="AO713">_xlfn.LET(_xlpm.N,$B$49,_xlpm.R,$B$48,_xlpm.Start,$B$47,_xlpm.PlanWD,AL713,_xlpm.PlanRoth,AM713,_xlpm.PlanConv,AN713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44866.96</v>
      </c>
      <c r="AP713" cm="1">
        <f t="array" ref="AP713">_xlfn.LET(_xlpm.N,$B$49,_xlpm.R,$B$48,_xlpm.Start,$B$47,_xlpm.PlanWD,AL713,_xlpm.PlanRoth,AM713,_xlpm.PlanConv,AN713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713" cm="1">
        <f t="array" ref="AQ713">_xlfn.LET(_xlpm.N,$B$49,_xlpm.R,$B$48,_xlpm.Start,$B$47,_xlpm.PlanWD,AL713,_xlpm.PlanRoth,AM713,_xlpm.PlanConv,AN713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960468.40225079271</v>
      </c>
      <c r="AR713" cm="1">
        <f t="array" ref="AR713">_xlfn.LET(_xlpm.N,$B$49,_xlpm.R,$B$48,_xlpm.Start,$B$47,_xlpm.PlanWD,AL713,_xlpm.PlanRoth,AM713,_xlpm.PlanConv,AN713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909343.45271985827</v>
      </c>
      <c r="AS713">
        <f>--AND(AK713&lt;=SUM('Retirement Gap'!$B$24:$B$25,'Retirement Gap'!$B$27),AL713+AN713&lt;=$B$47,AM713&lt;='Retirement Gap'!$B$29,ABS(AK713+AL713+AM713-$B$10)&lt;1)</f>
        <v>1</v>
      </c>
      <c r="AT713" cm="1">
        <f t="array" ref="AT713">IF(AS713=0,1E+99,_xlfn.SWITCH(LEFT($E$39,1),"1",AO713,"2",AP713*1000000000+AO713,"3",-AQ713,"4",AO713+AP713*25000+AR713*0.005-AQ713*0.0001,AO713))</f>
        <v>-960468.40225079271</v>
      </c>
    </row>
    <row r="714" spans="33:46" x14ac:dyDescent="0.55000000000000004">
      <c r="AG714">
        <f t="shared" si="78"/>
        <v>713</v>
      </c>
      <c r="AH714">
        <f t="shared" si="79"/>
        <v>1</v>
      </c>
      <c r="AI714">
        <f t="shared" si="80"/>
        <v>0.8</v>
      </c>
      <c r="AJ714">
        <f t="shared" si="81"/>
        <v>0.8</v>
      </c>
      <c r="AK714">
        <f t="shared" si="82"/>
        <v>0</v>
      </c>
      <c r="AL714">
        <f t="shared" si="83"/>
        <v>60744</v>
      </c>
      <c r="AM714">
        <f>MIN(MAX(0,$B$10-AL714)*AI714,'Retirement Gap'!$B$29)</f>
        <v>0</v>
      </c>
      <c r="AN714">
        <f>IF($E$40="B - Withdrawals + Roth conversions",AJ714*MAX(0,MIN($B$47-AL714,MIN($B$59,IRMAA!$C$16)-(AL714+$B$8*0.85+AK714*$B$46))),0)</f>
        <v>0</v>
      </c>
      <c r="AO714" cm="1">
        <f t="array" ref="AO714">_xlfn.LET(_xlpm.N,$B$49,_xlpm.R,$B$48,_xlpm.Start,$B$47,_xlpm.PlanWD,AL714,_xlpm.PlanRoth,AM714,_xlpm.PlanConv,AN714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44866.96</v>
      </c>
      <c r="AP714" cm="1">
        <f t="array" ref="AP714">_xlfn.LET(_xlpm.N,$B$49,_xlpm.R,$B$48,_xlpm.Start,$B$47,_xlpm.PlanWD,AL714,_xlpm.PlanRoth,AM714,_xlpm.PlanConv,AN714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714" cm="1">
        <f t="array" ref="AQ714">_xlfn.LET(_xlpm.N,$B$49,_xlpm.R,$B$48,_xlpm.Start,$B$47,_xlpm.PlanWD,AL714,_xlpm.PlanRoth,AM714,_xlpm.PlanConv,AN714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960468.40225079271</v>
      </c>
      <c r="AR714" cm="1">
        <f t="array" ref="AR714">_xlfn.LET(_xlpm.N,$B$49,_xlpm.R,$B$48,_xlpm.Start,$B$47,_xlpm.PlanWD,AL714,_xlpm.PlanRoth,AM714,_xlpm.PlanConv,AN714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909343.45271985827</v>
      </c>
      <c r="AS714">
        <f>--AND(AK714&lt;=SUM('Retirement Gap'!$B$24:$B$25,'Retirement Gap'!$B$27),AL714+AN714&lt;=$B$47,AM714&lt;='Retirement Gap'!$B$29,ABS(AK714+AL714+AM714-$B$10)&lt;1)</f>
        <v>1</v>
      </c>
      <c r="AT714" cm="1">
        <f t="array" ref="AT714">IF(AS714=0,1E+99,_xlfn.SWITCH(LEFT($E$39,1),"1",AO714,"2",AP714*1000000000+AO714,"3",-AQ714,"4",AO714+AP714*25000+AR714*0.005-AQ714*0.0001,AO714))</f>
        <v>-960468.40225079271</v>
      </c>
    </row>
    <row r="715" spans="33:46" x14ac:dyDescent="0.55000000000000004">
      <c r="AG715">
        <f t="shared" si="78"/>
        <v>714</v>
      </c>
      <c r="AH715">
        <f t="shared" si="79"/>
        <v>1</v>
      </c>
      <c r="AI715">
        <f t="shared" si="80"/>
        <v>0.8</v>
      </c>
      <c r="AJ715">
        <f t="shared" si="81"/>
        <v>1</v>
      </c>
      <c r="AK715">
        <f t="shared" si="82"/>
        <v>0</v>
      </c>
      <c r="AL715">
        <f t="shared" si="83"/>
        <v>60744</v>
      </c>
      <c r="AM715">
        <f>MIN(MAX(0,$B$10-AL715)*AI715,'Retirement Gap'!$B$29)</f>
        <v>0</v>
      </c>
      <c r="AN715">
        <f>IF($E$40="B - Withdrawals + Roth conversions",AJ715*MAX(0,MIN($B$47-AL715,MIN($B$59,IRMAA!$C$16)-(AL715+$B$8*0.85+AK715*$B$46))),0)</f>
        <v>0</v>
      </c>
      <c r="AO715" cm="1">
        <f t="array" ref="AO715">_xlfn.LET(_xlpm.N,$B$49,_xlpm.R,$B$48,_xlpm.Start,$B$47,_xlpm.PlanWD,AL715,_xlpm.PlanRoth,AM715,_xlpm.PlanConv,AN715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44866.96</v>
      </c>
      <c r="AP715" cm="1">
        <f t="array" ref="AP715">_xlfn.LET(_xlpm.N,$B$49,_xlpm.R,$B$48,_xlpm.Start,$B$47,_xlpm.PlanWD,AL715,_xlpm.PlanRoth,AM715,_xlpm.PlanConv,AN715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715" cm="1">
        <f t="array" ref="AQ715">_xlfn.LET(_xlpm.N,$B$49,_xlpm.R,$B$48,_xlpm.Start,$B$47,_xlpm.PlanWD,AL715,_xlpm.PlanRoth,AM715,_xlpm.PlanConv,AN715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960468.40225079271</v>
      </c>
      <c r="AR715" cm="1">
        <f t="array" ref="AR715">_xlfn.LET(_xlpm.N,$B$49,_xlpm.R,$B$48,_xlpm.Start,$B$47,_xlpm.PlanWD,AL715,_xlpm.PlanRoth,AM715,_xlpm.PlanConv,AN715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909343.45271985827</v>
      </c>
      <c r="AS715">
        <f>--AND(AK715&lt;=SUM('Retirement Gap'!$B$24:$B$25,'Retirement Gap'!$B$27),AL715+AN715&lt;=$B$47,AM715&lt;='Retirement Gap'!$B$29,ABS(AK715+AL715+AM715-$B$10)&lt;1)</f>
        <v>1</v>
      </c>
      <c r="AT715" cm="1">
        <f t="array" ref="AT715">IF(AS715=0,1E+99,_xlfn.SWITCH(LEFT($E$39,1),"1",AO715,"2",AP715*1000000000+AO715,"3",-AQ715,"4",AO715+AP715*25000+AR715*0.005-AQ715*0.0001,AO715))</f>
        <v>-960468.40225079271</v>
      </c>
    </row>
    <row r="716" spans="33:46" x14ac:dyDescent="0.55000000000000004">
      <c r="AG716">
        <f t="shared" si="78"/>
        <v>715</v>
      </c>
      <c r="AH716">
        <f t="shared" si="79"/>
        <v>1</v>
      </c>
      <c r="AI716">
        <f t="shared" si="80"/>
        <v>0.9</v>
      </c>
      <c r="AJ716">
        <f t="shared" si="81"/>
        <v>0</v>
      </c>
      <c r="AK716">
        <f t="shared" si="82"/>
        <v>0</v>
      </c>
      <c r="AL716">
        <f t="shared" si="83"/>
        <v>60744</v>
      </c>
      <c r="AM716">
        <f>MIN(MAX(0,$B$10-AL716)*AI716,'Retirement Gap'!$B$29)</f>
        <v>0</v>
      </c>
      <c r="AN716">
        <f>IF($E$40="B - Withdrawals + Roth conversions",AJ716*MAX(0,MIN($B$47-AL716,MIN($B$59,IRMAA!$C$16)-(AL716+$B$8*0.85+AK716*$B$46))),0)</f>
        <v>0</v>
      </c>
      <c r="AO716" cm="1">
        <f t="array" ref="AO716">_xlfn.LET(_xlpm.N,$B$49,_xlpm.R,$B$48,_xlpm.Start,$B$47,_xlpm.PlanWD,AL716,_xlpm.PlanRoth,AM716,_xlpm.PlanConv,AN716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44866.96</v>
      </c>
      <c r="AP716" cm="1">
        <f t="array" ref="AP716">_xlfn.LET(_xlpm.N,$B$49,_xlpm.R,$B$48,_xlpm.Start,$B$47,_xlpm.PlanWD,AL716,_xlpm.PlanRoth,AM716,_xlpm.PlanConv,AN716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716" cm="1">
        <f t="array" ref="AQ716">_xlfn.LET(_xlpm.N,$B$49,_xlpm.R,$B$48,_xlpm.Start,$B$47,_xlpm.PlanWD,AL716,_xlpm.PlanRoth,AM716,_xlpm.PlanConv,AN716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960468.40225079271</v>
      </c>
      <c r="AR716" cm="1">
        <f t="array" ref="AR716">_xlfn.LET(_xlpm.N,$B$49,_xlpm.R,$B$48,_xlpm.Start,$B$47,_xlpm.PlanWD,AL716,_xlpm.PlanRoth,AM716,_xlpm.PlanConv,AN716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909343.45271985827</v>
      </c>
      <c r="AS716">
        <f>--AND(AK716&lt;=SUM('Retirement Gap'!$B$24:$B$25,'Retirement Gap'!$B$27),AL716+AN716&lt;=$B$47,AM716&lt;='Retirement Gap'!$B$29,ABS(AK716+AL716+AM716-$B$10)&lt;1)</f>
        <v>1</v>
      </c>
      <c r="AT716" cm="1">
        <f t="array" ref="AT716">IF(AS716=0,1E+99,_xlfn.SWITCH(LEFT($E$39,1),"1",AO716,"2",AP716*1000000000+AO716,"3",-AQ716,"4",AO716+AP716*25000+AR716*0.005-AQ716*0.0001,AO716))</f>
        <v>-960468.40225079271</v>
      </c>
    </row>
    <row r="717" spans="33:46" x14ac:dyDescent="0.55000000000000004">
      <c r="AG717">
        <f t="shared" si="78"/>
        <v>716</v>
      </c>
      <c r="AH717">
        <f t="shared" si="79"/>
        <v>1</v>
      </c>
      <c r="AI717">
        <f t="shared" si="80"/>
        <v>0.9</v>
      </c>
      <c r="AJ717">
        <f t="shared" si="81"/>
        <v>0.2</v>
      </c>
      <c r="AK717">
        <f t="shared" si="82"/>
        <v>0</v>
      </c>
      <c r="AL717">
        <f t="shared" si="83"/>
        <v>60744</v>
      </c>
      <c r="AM717">
        <f>MIN(MAX(0,$B$10-AL717)*AI717,'Retirement Gap'!$B$29)</f>
        <v>0</v>
      </c>
      <c r="AN717">
        <f>IF($E$40="B - Withdrawals + Roth conversions",AJ717*MAX(0,MIN($B$47-AL717,MIN($B$59,IRMAA!$C$16)-(AL717+$B$8*0.85+AK717*$B$46))),0)</f>
        <v>0</v>
      </c>
      <c r="AO717" cm="1">
        <f t="array" ref="AO717">_xlfn.LET(_xlpm.N,$B$49,_xlpm.R,$B$48,_xlpm.Start,$B$47,_xlpm.PlanWD,AL717,_xlpm.PlanRoth,AM717,_xlpm.PlanConv,AN717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44866.96</v>
      </c>
      <c r="AP717" cm="1">
        <f t="array" ref="AP717">_xlfn.LET(_xlpm.N,$B$49,_xlpm.R,$B$48,_xlpm.Start,$B$47,_xlpm.PlanWD,AL717,_xlpm.PlanRoth,AM717,_xlpm.PlanConv,AN717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717" cm="1">
        <f t="array" ref="AQ717">_xlfn.LET(_xlpm.N,$B$49,_xlpm.R,$B$48,_xlpm.Start,$B$47,_xlpm.PlanWD,AL717,_xlpm.PlanRoth,AM717,_xlpm.PlanConv,AN717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960468.40225079271</v>
      </c>
      <c r="AR717" cm="1">
        <f t="array" ref="AR717">_xlfn.LET(_xlpm.N,$B$49,_xlpm.R,$B$48,_xlpm.Start,$B$47,_xlpm.PlanWD,AL717,_xlpm.PlanRoth,AM717,_xlpm.PlanConv,AN717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909343.45271985827</v>
      </c>
      <c r="AS717">
        <f>--AND(AK717&lt;=SUM('Retirement Gap'!$B$24:$B$25,'Retirement Gap'!$B$27),AL717+AN717&lt;=$B$47,AM717&lt;='Retirement Gap'!$B$29,ABS(AK717+AL717+AM717-$B$10)&lt;1)</f>
        <v>1</v>
      </c>
      <c r="AT717" cm="1">
        <f t="array" ref="AT717">IF(AS717=0,1E+99,_xlfn.SWITCH(LEFT($E$39,1),"1",AO717,"2",AP717*1000000000+AO717,"3",-AQ717,"4",AO717+AP717*25000+AR717*0.005-AQ717*0.0001,AO717))</f>
        <v>-960468.40225079271</v>
      </c>
    </row>
    <row r="718" spans="33:46" x14ac:dyDescent="0.55000000000000004">
      <c r="AG718">
        <f t="shared" si="78"/>
        <v>717</v>
      </c>
      <c r="AH718">
        <f t="shared" si="79"/>
        <v>1</v>
      </c>
      <c r="AI718">
        <f t="shared" si="80"/>
        <v>0.9</v>
      </c>
      <c r="AJ718">
        <f t="shared" si="81"/>
        <v>0.4</v>
      </c>
      <c r="AK718">
        <f t="shared" si="82"/>
        <v>0</v>
      </c>
      <c r="AL718">
        <f t="shared" si="83"/>
        <v>60744</v>
      </c>
      <c r="AM718">
        <f>MIN(MAX(0,$B$10-AL718)*AI718,'Retirement Gap'!$B$29)</f>
        <v>0</v>
      </c>
      <c r="AN718">
        <f>IF($E$40="B - Withdrawals + Roth conversions",AJ718*MAX(0,MIN($B$47-AL718,MIN($B$59,IRMAA!$C$16)-(AL718+$B$8*0.85+AK718*$B$46))),0)</f>
        <v>0</v>
      </c>
      <c r="AO718" cm="1">
        <f t="array" ref="AO718">_xlfn.LET(_xlpm.N,$B$49,_xlpm.R,$B$48,_xlpm.Start,$B$47,_xlpm.PlanWD,AL718,_xlpm.PlanRoth,AM718,_xlpm.PlanConv,AN718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44866.96</v>
      </c>
      <c r="AP718" cm="1">
        <f t="array" ref="AP718">_xlfn.LET(_xlpm.N,$B$49,_xlpm.R,$B$48,_xlpm.Start,$B$47,_xlpm.PlanWD,AL718,_xlpm.PlanRoth,AM718,_xlpm.PlanConv,AN718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718" cm="1">
        <f t="array" ref="AQ718">_xlfn.LET(_xlpm.N,$B$49,_xlpm.R,$B$48,_xlpm.Start,$B$47,_xlpm.PlanWD,AL718,_xlpm.PlanRoth,AM718,_xlpm.PlanConv,AN718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960468.40225079271</v>
      </c>
      <c r="AR718" cm="1">
        <f t="array" ref="AR718">_xlfn.LET(_xlpm.N,$B$49,_xlpm.R,$B$48,_xlpm.Start,$B$47,_xlpm.PlanWD,AL718,_xlpm.PlanRoth,AM718,_xlpm.PlanConv,AN718,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909343.45271985827</v>
      </c>
      <c r="AS718">
        <f>--AND(AK718&lt;=SUM('Retirement Gap'!$B$24:$B$25,'Retirement Gap'!$B$27),AL718+AN718&lt;=$B$47,AM718&lt;='Retirement Gap'!$B$29,ABS(AK718+AL718+AM718-$B$10)&lt;1)</f>
        <v>1</v>
      </c>
      <c r="AT718" cm="1">
        <f t="array" ref="AT718">IF(AS718=0,1E+99,_xlfn.SWITCH(LEFT($E$39,1),"1",AO718,"2",AP718*1000000000+AO718,"3",-AQ718,"4",AO718+AP718*25000+AR718*0.005-AQ718*0.0001,AO718))</f>
        <v>-960468.40225079271</v>
      </c>
    </row>
    <row r="719" spans="33:46" x14ac:dyDescent="0.55000000000000004">
      <c r="AG719">
        <f t="shared" si="78"/>
        <v>718</v>
      </c>
      <c r="AH719">
        <f t="shared" si="79"/>
        <v>1</v>
      </c>
      <c r="AI719">
        <f t="shared" si="80"/>
        <v>0.9</v>
      </c>
      <c r="AJ719">
        <f t="shared" si="81"/>
        <v>0.6</v>
      </c>
      <c r="AK719">
        <f t="shared" si="82"/>
        <v>0</v>
      </c>
      <c r="AL719">
        <f t="shared" si="83"/>
        <v>60744</v>
      </c>
      <c r="AM719">
        <f>MIN(MAX(0,$B$10-AL719)*AI719,'Retirement Gap'!$B$29)</f>
        <v>0</v>
      </c>
      <c r="AN719">
        <f>IF($E$40="B - Withdrawals + Roth conversions",AJ719*MAX(0,MIN($B$47-AL719,MIN($B$59,IRMAA!$C$16)-(AL719+$B$8*0.85+AK719*$B$46))),0)</f>
        <v>0</v>
      </c>
      <c r="AO719" cm="1">
        <f t="array" ref="AO719">_xlfn.LET(_xlpm.N,$B$49,_xlpm.R,$B$48,_xlpm.Start,$B$47,_xlpm.PlanWD,AL719,_xlpm.PlanRoth,AM719,_xlpm.PlanConv,AN719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44866.96</v>
      </c>
      <c r="AP719" cm="1">
        <f t="array" ref="AP719">_xlfn.LET(_xlpm.N,$B$49,_xlpm.R,$B$48,_xlpm.Start,$B$47,_xlpm.PlanWD,AL719,_xlpm.PlanRoth,AM719,_xlpm.PlanConv,AN719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719" cm="1">
        <f t="array" ref="AQ719">_xlfn.LET(_xlpm.N,$B$49,_xlpm.R,$B$48,_xlpm.Start,$B$47,_xlpm.PlanWD,AL719,_xlpm.PlanRoth,AM719,_xlpm.PlanConv,AN719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960468.40225079271</v>
      </c>
      <c r="AR719" cm="1">
        <f t="array" ref="AR719">_xlfn.LET(_xlpm.N,$B$49,_xlpm.R,$B$48,_xlpm.Start,$B$47,_xlpm.PlanWD,AL719,_xlpm.PlanRoth,AM719,_xlpm.PlanConv,AN719,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909343.45271985827</v>
      </c>
      <c r="AS719">
        <f>--AND(AK719&lt;=SUM('Retirement Gap'!$B$24:$B$25,'Retirement Gap'!$B$27),AL719+AN719&lt;=$B$47,AM719&lt;='Retirement Gap'!$B$29,ABS(AK719+AL719+AM719-$B$10)&lt;1)</f>
        <v>1</v>
      </c>
      <c r="AT719" cm="1">
        <f t="array" ref="AT719">IF(AS719=0,1E+99,_xlfn.SWITCH(LEFT($E$39,1),"1",AO719,"2",AP719*1000000000+AO719,"3",-AQ719,"4",AO719+AP719*25000+AR719*0.005-AQ719*0.0001,AO719))</f>
        <v>-960468.40225079271</v>
      </c>
    </row>
    <row r="720" spans="33:46" x14ac:dyDescent="0.55000000000000004">
      <c r="AG720">
        <f t="shared" si="78"/>
        <v>719</v>
      </c>
      <c r="AH720">
        <f t="shared" si="79"/>
        <v>1</v>
      </c>
      <c r="AI720">
        <f t="shared" si="80"/>
        <v>0.9</v>
      </c>
      <c r="AJ720">
        <f t="shared" si="81"/>
        <v>0.8</v>
      </c>
      <c r="AK720">
        <f t="shared" si="82"/>
        <v>0</v>
      </c>
      <c r="AL720">
        <f t="shared" si="83"/>
        <v>60744</v>
      </c>
      <c r="AM720">
        <f>MIN(MAX(0,$B$10-AL720)*AI720,'Retirement Gap'!$B$29)</f>
        <v>0</v>
      </c>
      <c r="AN720">
        <f>IF($E$40="B - Withdrawals + Roth conversions",AJ720*MAX(0,MIN($B$47-AL720,MIN($B$59,IRMAA!$C$16)-(AL720+$B$8*0.85+AK720*$B$46))),0)</f>
        <v>0</v>
      </c>
      <c r="AO720" cm="1">
        <f t="array" ref="AO720">_xlfn.LET(_xlpm.N,$B$49,_xlpm.R,$B$48,_xlpm.Start,$B$47,_xlpm.PlanWD,AL720,_xlpm.PlanRoth,AM720,_xlpm.PlanConv,AN720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44866.96</v>
      </c>
      <c r="AP720" cm="1">
        <f t="array" ref="AP720">_xlfn.LET(_xlpm.N,$B$49,_xlpm.R,$B$48,_xlpm.Start,$B$47,_xlpm.PlanWD,AL720,_xlpm.PlanRoth,AM720,_xlpm.PlanConv,AN720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720" cm="1">
        <f t="array" ref="AQ720">_xlfn.LET(_xlpm.N,$B$49,_xlpm.R,$B$48,_xlpm.Start,$B$47,_xlpm.PlanWD,AL720,_xlpm.PlanRoth,AM720,_xlpm.PlanConv,AN720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960468.40225079271</v>
      </c>
      <c r="AR720" cm="1">
        <f t="array" ref="AR720">_xlfn.LET(_xlpm.N,$B$49,_xlpm.R,$B$48,_xlpm.Start,$B$47,_xlpm.PlanWD,AL720,_xlpm.PlanRoth,AM720,_xlpm.PlanConv,AN720,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909343.45271985827</v>
      </c>
      <c r="AS720">
        <f>--AND(AK720&lt;=SUM('Retirement Gap'!$B$24:$B$25,'Retirement Gap'!$B$27),AL720+AN720&lt;=$B$47,AM720&lt;='Retirement Gap'!$B$29,ABS(AK720+AL720+AM720-$B$10)&lt;1)</f>
        <v>1</v>
      </c>
      <c r="AT720" cm="1">
        <f t="array" ref="AT720">IF(AS720=0,1E+99,_xlfn.SWITCH(LEFT($E$39,1),"1",AO720,"2",AP720*1000000000+AO720,"3",-AQ720,"4",AO720+AP720*25000+AR720*0.005-AQ720*0.0001,AO720))</f>
        <v>-960468.40225079271</v>
      </c>
    </row>
    <row r="721" spans="33:46" x14ac:dyDescent="0.55000000000000004">
      <c r="AG721">
        <f t="shared" si="78"/>
        <v>720</v>
      </c>
      <c r="AH721">
        <f t="shared" si="79"/>
        <v>1</v>
      </c>
      <c r="AI721">
        <f t="shared" si="80"/>
        <v>0.9</v>
      </c>
      <c r="AJ721">
        <f t="shared" si="81"/>
        <v>1</v>
      </c>
      <c r="AK721">
        <f t="shared" si="82"/>
        <v>0</v>
      </c>
      <c r="AL721">
        <f t="shared" si="83"/>
        <v>60744</v>
      </c>
      <c r="AM721">
        <f>MIN(MAX(0,$B$10-AL721)*AI721,'Retirement Gap'!$B$29)</f>
        <v>0</v>
      </c>
      <c r="AN721">
        <f>IF($E$40="B - Withdrawals + Roth conversions",AJ721*MAX(0,MIN($B$47-AL721,MIN($B$59,IRMAA!$C$16)-(AL721+$B$8*0.85+AK721*$B$46))),0)</f>
        <v>0</v>
      </c>
      <c r="AO721" cm="1">
        <f t="array" ref="AO721">_xlfn.LET(_xlpm.N,$B$49,_xlpm.R,$B$48,_xlpm.Start,$B$47,_xlpm.PlanWD,AL721,_xlpm.PlanRoth,AM721,_xlpm.PlanConv,AN721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44866.96</v>
      </c>
      <c r="AP721" cm="1">
        <f t="array" ref="AP721">_xlfn.LET(_xlpm.N,$B$49,_xlpm.R,$B$48,_xlpm.Start,$B$47,_xlpm.PlanWD,AL721,_xlpm.PlanRoth,AM721,_xlpm.PlanConv,AN721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721" cm="1">
        <f t="array" ref="AQ721">_xlfn.LET(_xlpm.N,$B$49,_xlpm.R,$B$48,_xlpm.Start,$B$47,_xlpm.PlanWD,AL721,_xlpm.PlanRoth,AM721,_xlpm.PlanConv,AN721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960468.40225079271</v>
      </c>
      <c r="AR721" cm="1">
        <f t="array" ref="AR721">_xlfn.LET(_xlpm.N,$B$49,_xlpm.R,$B$48,_xlpm.Start,$B$47,_xlpm.PlanWD,AL721,_xlpm.PlanRoth,AM721,_xlpm.PlanConv,AN721,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909343.45271985827</v>
      </c>
      <c r="AS721">
        <f>--AND(AK721&lt;=SUM('Retirement Gap'!$B$24:$B$25,'Retirement Gap'!$B$27),AL721+AN721&lt;=$B$47,AM721&lt;='Retirement Gap'!$B$29,ABS(AK721+AL721+AM721-$B$10)&lt;1)</f>
        <v>1</v>
      </c>
      <c r="AT721" cm="1">
        <f t="array" ref="AT721">IF(AS721=0,1E+99,_xlfn.SWITCH(LEFT($E$39,1),"1",AO721,"2",AP721*1000000000+AO721,"3",-AQ721,"4",AO721+AP721*25000+AR721*0.005-AQ721*0.0001,AO721))</f>
        <v>-960468.40225079271</v>
      </c>
    </row>
    <row r="722" spans="33:46" x14ac:dyDescent="0.55000000000000004">
      <c r="AG722">
        <f t="shared" si="78"/>
        <v>721</v>
      </c>
      <c r="AH722">
        <f t="shared" si="79"/>
        <v>1</v>
      </c>
      <c r="AI722">
        <f t="shared" si="80"/>
        <v>1</v>
      </c>
      <c r="AJ722">
        <f t="shared" si="81"/>
        <v>0</v>
      </c>
      <c r="AK722">
        <f t="shared" si="82"/>
        <v>0</v>
      </c>
      <c r="AL722">
        <f t="shared" si="83"/>
        <v>60744</v>
      </c>
      <c r="AM722">
        <f>MIN(MAX(0,$B$10-AL722)*AI722,'Retirement Gap'!$B$29)</f>
        <v>0</v>
      </c>
      <c r="AN722">
        <f>IF($E$40="B - Withdrawals + Roth conversions",AJ722*MAX(0,MIN($B$47-AL722,MIN($B$59,IRMAA!$C$16)-(AL722+$B$8*0.85+AK722*$B$46))),0)</f>
        <v>0</v>
      </c>
      <c r="AO722" cm="1">
        <f t="array" ref="AO722">_xlfn.LET(_xlpm.N,$B$49,_xlpm.R,$B$48,_xlpm.Start,$B$47,_xlpm.PlanWD,AL722,_xlpm.PlanRoth,AM722,_xlpm.PlanConv,AN722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44866.96</v>
      </c>
      <c r="AP722" cm="1">
        <f t="array" ref="AP722">_xlfn.LET(_xlpm.N,$B$49,_xlpm.R,$B$48,_xlpm.Start,$B$47,_xlpm.PlanWD,AL722,_xlpm.PlanRoth,AM722,_xlpm.PlanConv,AN722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722" cm="1">
        <f t="array" ref="AQ722">_xlfn.LET(_xlpm.N,$B$49,_xlpm.R,$B$48,_xlpm.Start,$B$47,_xlpm.PlanWD,AL722,_xlpm.PlanRoth,AM722,_xlpm.PlanConv,AN722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960468.40225079271</v>
      </c>
      <c r="AR722" cm="1">
        <f t="array" ref="AR722">_xlfn.LET(_xlpm.N,$B$49,_xlpm.R,$B$48,_xlpm.Start,$B$47,_xlpm.PlanWD,AL722,_xlpm.PlanRoth,AM722,_xlpm.PlanConv,AN722,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909343.45271985827</v>
      </c>
      <c r="AS722">
        <f>--AND(AK722&lt;=SUM('Retirement Gap'!$B$24:$B$25,'Retirement Gap'!$B$27),AL722+AN722&lt;=$B$47,AM722&lt;='Retirement Gap'!$B$29,ABS(AK722+AL722+AM722-$B$10)&lt;1)</f>
        <v>1</v>
      </c>
      <c r="AT722" cm="1">
        <f t="array" ref="AT722">IF(AS722=0,1E+99,_xlfn.SWITCH(LEFT($E$39,1),"1",AO722,"2",AP722*1000000000+AO722,"3",-AQ722,"4",AO722+AP722*25000+AR722*0.005-AQ722*0.0001,AO722))</f>
        <v>-960468.40225079271</v>
      </c>
    </row>
    <row r="723" spans="33:46" x14ac:dyDescent="0.55000000000000004">
      <c r="AG723">
        <f t="shared" si="78"/>
        <v>722</v>
      </c>
      <c r="AH723">
        <f t="shared" si="79"/>
        <v>1</v>
      </c>
      <c r="AI723">
        <f t="shared" si="80"/>
        <v>1</v>
      </c>
      <c r="AJ723">
        <f t="shared" si="81"/>
        <v>0.2</v>
      </c>
      <c r="AK723">
        <f t="shared" si="82"/>
        <v>0</v>
      </c>
      <c r="AL723">
        <f t="shared" si="83"/>
        <v>60744</v>
      </c>
      <c r="AM723">
        <f>MIN(MAX(0,$B$10-AL723)*AI723,'Retirement Gap'!$B$29)</f>
        <v>0</v>
      </c>
      <c r="AN723">
        <f>IF($E$40="B - Withdrawals + Roth conversions",AJ723*MAX(0,MIN($B$47-AL723,MIN($B$59,IRMAA!$C$16)-(AL723+$B$8*0.85+AK723*$B$46))),0)</f>
        <v>0</v>
      </c>
      <c r="AO723" cm="1">
        <f t="array" ref="AO723">_xlfn.LET(_xlpm.N,$B$49,_xlpm.R,$B$48,_xlpm.Start,$B$47,_xlpm.PlanWD,AL723,_xlpm.PlanRoth,AM723,_xlpm.PlanConv,AN723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44866.96</v>
      </c>
      <c r="AP723" cm="1">
        <f t="array" ref="AP723">_xlfn.LET(_xlpm.N,$B$49,_xlpm.R,$B$48,_xlpm.Start,$B$47,_xlpm.PlanWD,AL723,_xlpm.PlanRoth,AM723,_xlpm.PlanConv,AN723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723" cm="1">
        <f t="array" ref="AQ723">_xlfn.LET(_xlpm.N,$B$49,_xlpm.R,$B$48,_xlpm.Start,$B$47,_xlpm.PlanWD,AL723,_xlpm.PlanRoth,AM723,_xlpm.PlanConv,AN723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960468.40225079271</v>
      </c>
      <c r="AR723" cm="1">
        <f t="array" ref="AR723">_xlfn.LET(_xlpm.N,$B$49,_xlpm.R,$B$48,_xlpm.Start,$B$47,_xlpm.PlanWD,AL723,_xlpm.PlanRoth,AM723,_xlpm.PlanConv,AN723,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909343.45271985827</v>
      </c>
      <c r="AS723">
        <f>--AND(AK723&lt;=SUM('Retirement Gap'!$B$24:$B$25,'Retirement Gap'!$B$27),AL723+AN723&lt;=$B$47,AM723&lt;='Retirement Gap'!$B$29,ABS(AK723+AL723+AM723-$B$10)&lt;1)</f>
        <v>1</v>
      </c>
      <c r="AT723" cm="1">
        <f t="array" ref="AT723">IF(AS723=0,1E+99,_xlfn.SWITCH(LEFT($E$39,1),"1",AO723,"2",AP723*1000000000+AO723,"3",-AQ723,"4",AO723+AP723*25000+AR723*0.005-AQ723*0.0001,AO723))</f>
        <v>-960468.40225079271</v>
      </c>
    </row>
    <row r="724" spans="33:46" x14ac:dyDescent="0.55000000000000004">
      <c r="AG724">
        <f t="shared" si="78"/>
        <v>723</v>
      </c>
      <c r="AH724">
        <f t="shared" si="79"/>
        <v>1</v>
      </c>
      <c r="AI724">
        <f t="shared" si="80"/>
        <v>1</v>
      </c>
      <c r="AJ724">
        <f t="shared" si="81"/>
        <v>0.4</v>
      </c>
      <c r="AK724">
        <f t="shared" si="82"/>
        <v>0</v>
      </c>
      <c r="AL724">
        <f t="shared" si="83"/>
        <v>60744</v>
      </c>
      <c r="AM724">
        <f>MIN(MAX(0,$B$10-AL724)*AI724,'Retirement Gap'!$B$29)</f>
        <v>0</v>
      </c>
      <c r="AN724">
        <f>IF($E$40="B - Withdrawals + Roth conversions",AJ724*MAX(0,MIN($B$47-AL724,MIN($B$59,IRMAA!$C$16)-(AL724+$B$8*0.85+AK724*$B$46))),0)</f>
        <v>0</v>
      </c>
      <c r="AO724" cm="1">
        <f t="array" ref="AO724">_xlfn.LET(_xlpm.N,$B$49,_xlpm.R,$B$48,_xlpm.Start,$B$47,_xlpm.PlanWD,AL724,_xlpm.PlanRoth,AM724,_xlpm.PlanConv,AN724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44866.96</v>
      </c>
      <c r="AP724" cm="1">
        <f t="array" ref="AP724">_xlfn.LET(_xlpm.N,$B$49,_xlpm.R,$B$48,_xlpm.Start,$B$47,_xlpm.PlanWD,AL724,_xlpm.PlanRoth,AM724,_xlpm.PlanConv,AN724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724" cm="1">
        <f t="array" ref="AQ724">_xlfn.LET(_xlpm.N,$B$49,_xlpm.R,$B$48,_xlpm.Start,$B$47,_xlpm.PlanWD,AL724,_xlpm.PlanRoth,AM724,_xlpm.PlanConv,AN724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960468.40225079271</v>
      </c>
      <c r="AR724" cm="1">
        <f t="array" ref="AR724">_xlfn.LET(_xlpm.N,$B$49,_xlpm.R,$B$48,_xlpm.Start,$B$47,_xlpm.PlanWD,AL724,_xlpm.PlanRoth,AM724,_xlpm.PlanConv,AN724,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909343.45271985827</v>
      </c>
      <c r="AS724">
        <f>--AND(AK724&lt;=SUM('Retirement Gap'!$B$24:$B$25,'Retirement Gap'!$B$27),AL724+AN724&lt;=$B$47,AM724&lt;='Retirement Gap'!$B$29,ABS(AK724+AL724+AM724-$B$10)&lt;1)</f>
        <v>1</v>
      </c>
      <c r="AT724" cm="1">
        <f t="array" ref="AT724">IF(AS724=0,1E+99,_xlfn.SWITCH(LEFT($E$39,1),"1",AO724,"2",AP724*1000000000+AO724,"3",-AQ724,"4",AO724+AP724*25000+AR724*0.005-AQ724*0.0001,AO724))</f>
        <v>-960468.40225079271</v>
      </c>
    </row>
    <row r="725" spans="33:46" x14ac:dyDescent="0.55000000000000004">
      <c r="AG725">
        <f t="shared" si="78"/>
        <v>724</v>
      </c>
      <c r="AH725">
        <f t="shared" si="79"/>
        <v>1</v>
      </c>
      <c r="AI725">
        <f t="shared" si="80"/>
        <v>1</v>
      </c>
      <c r="AJ725">
        <f t="shared" si="81"/>
        <v>0.6</v>
      </c>
      <c r="AK725">
        <f t="shared" si="82"/>
        <v>0</v>
      </c>
      <c r="AL725">
        <f t="shared" si="83"/>
        <v>60744</v>
      </c>
      <c r="AM725">
        <f>MIN(MAX(0,$B$10-AL725)*AI725,'Retirement Gap'!$B$29)</f>
        <v>0</v>
      </c>
      <c r="AN725">
        <f>IF($E$40="B - Withdrawals + Roth conversions",AJ725*MAX(0,MIN($B$47-AL725,MIN($B$59,IRMAA!$C$16)-(AL725+$B$8*0.85+AK725*$B$46))),0)</f>
        <v>0</v>
      </c>
      <c r="AO725" cm="1">
        <f t="array" ref="AO725">_xlfn.LET(_xlpm.N,$B$49,_xlpm.R,$B$48,_xlpm.Start,$B$47,_xlpm.PlanWD,AL725,_xlpm.PlanRoth,AM725,_xlpm.PlanConv,AN725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44866.96</v>
      </c>
      <c r="AP725" cm="1">
        <f t="array" ref="AP725">_xlfn.LET(_xlpm.N,$B$49,_xlpm.R,$B$48,_xlpm.Start,$B$47,_xlpm.PlanWD,AL725,_xlpm.PlanRoth,AM725,_xlpm.PlanConv,AN725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725" cm="1">
        <f t="array" ref="AQ725">_xlfn.LET(_xlpm.N,$B$49,_xlpm.R,$B$48,_xlpm.Start,$B$47,_xlpm.PlanWD,AL725,_xlpm.PlanRoth,AM725,_xlpm.PlanConv,AN725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960468.40225079271</v>
      </c>
      <c r="AR725" cm="1">
        <f t="array" ref="AR725">_xlfn.LET(_xlpm.N,$B$49,_xlpm.R,$B$48,_xlpm.Start,$B$47,_xlpm.PlanWD,AL725,_xlpm.PlanRoth,AM725,_xlpm.PlanConv,AN725,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909343.45271985827</v>
      </c>
      <c r="AS725">
        <f>--AND(AK725&lt;=SUM('Retirement Gap'!$B$24:$B$25,'Retirement Gap'!$B$27),AL725+AN725&lt;=$B$47,AM725&lt;='Retirement Gap'!$B$29,ABS(AK725+AL725+AM725-$B$10)&lt;1)</f>
        <v>1</v>
      </c>
      <c r="AT725" cm="1">
        <f t="array" ref="AT725">IF(AS725=0,1E+99,_xlfn.SWITCH(LEFT($E$39,1),"1",AO725,"2",AP725*1000000000+AO725,"3",-AQ725,"4",AO725+AP725*25000+AR725*0.005-AQ725*0.0001,AO725))</f>
        <v>-960468.40225079271</v>
      </c>
    </row>
    <row r="726" spans="33:46" x14ac:dyDescent="0.55000000000000004">
      <c r="AG726">
        <f t="shared" si="78"/>
        <v>725</v>
      </c>
      <c r="AH726">
        <f t="shared" si="79"/>
        <v>1</v>
      </c>
      <c r="AI726">
        <f t="shared" si="80"/>
        <v>1</v>
      </c>
      <c r="AJ726">
        <f t="shared" si="81"/>
        <v>0.8</v>
      </c>
      <c r="AK726">
        <f t="shared" si="82"/>
        <v>0</v>
      </c>
      <c r="AL726">
        <f t="shared" si="83"/>
        <v>60744</v>
      </c>
      <c r="AM726">
        <f>MIN(MAX(0,$B$10-AL726)*AI726,'Retirement Gap'!$B$29)</f>
        <v>0</v>
      </c>
      <c r="AN726">
        <f>IF($E$40="B - Withdrawals + Roth conversions",AJ726*MAX(0,MIN($B$47-AL726,MIN($B$59,IRMAA!$C$16)-(AL726+$B$8*0.85+AK726*$B$46))),0)</f>
        <v>0</v>
      </c>
      <c r="AO726" cm="1">
        <f t="array" ref="AO726">_xlfn.LET(_xlpm.N,$B$49,_xlpm.R,$B$48,_xlpm.Start,$B$47,_xlpm.PlanWD,AL726,_xlpm.PlanRoth,AM726,_xlpm.PlanConv,AN726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44866.96</v>
      </c>
      <c r="AP726" cm="1">
        <f t="array" ref="AP726">_xlfn.LET(_xlpm.N,$B$49,_xlpm.R,$B$48,_xlpm.Start,$B$47,_xlpm.PlanWD,AL726,_xlpm.PlanRoth,AM726,_xlpm.PlanConv,AN726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726" cm="1">
        <f t="array" ref="AQ726">_xlfn.LET(_xlpm.N,$B$49,_xlpm.R,$B$48,_xlpm.Start,$B$47,_xlpm.PlanWD,AL726,_xlpm.PlanRoth,AM726,_xlpm.PlanConv,AN726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960468.40225079271</v>
      </c>
      <c r="AR726" cm="1">
        <f t="array" ref="AR726">_xlfn.LET(_xlpm.N,$B$49,_xlpm.R,$B$48,_xlpm.Start,$B$47,_xlpm.PlanWD,AL726,_xlpm.PlanRoth,AM726,_xlpm.PlanConv,AN726,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909343.45271985827</v>
      </c>
      <c r="AS726">
        <f>--AND(AK726&lt;=SUM('Retirement Gap'!$B$24:$B$25,'Retirement Gap'!$B$27),AL726+AN726&lt;=$B$47,AM726&lt;='Retirement Gap'!$B$29,ABS(AK726+AL726+AM726-$B$10)&lt;1)</f>
        <v>1</v>
      </c>
      <c r="AT726" cm="1">
        <f t="array" ref="AT726">IF(AS726=0,1E+99,_xlfn.SWITCH(LEFT($E$39,1),"1",AO726,"2",AP726*1000000000+AO726,"3",-AQ726,"4",AO726+AP726*25000+AR726*0.005-AQ726*0.0001,AO726))</f>
        <v>-960468.40225079271</v>
      </c>
    </row>
    <row r="727" spans="33:46" x14ac:dyDescent="0.55000000000000004">
      <c r="AG727">
        <f t="shared" si="78"/>
        <v>726</v>
      </c>
      <c r="AH727">
        <f t="shared" si="79"/>
        <v>1</v>
      </c>
      <c r="AI727">
        <f t="shared" si="80"/>
        <v>1</v>
      </c>
      <c r="AJ727">
        <f t="shared" si="81"/>
        <v>1</v>
      </c>
      <c r="AK727">
        <f t="shared" si="82"/>
        <v>0</v>
      </c>
      <c r="AL727">
        <f t="shared" si="83"/>
        <v>60744</v>
      </c>
      <c r="AM727">
        <f>MIN(MAX(0,$B$10-AL727)*AI727,'Retirement Gap'!$B$29)</f>
        <v>0</v>
      </c>
      <c r="AN727">
        <f>IF($E$40="B - Withdrawals + Roth conversions",AJ727*MAX(0,MIN($B$47-AL727,MIN($B$59,IRMAA!$C$16)-(AL727+$B$8*0.85+AK727*$B$46))),0)</f>
        <v>0</v>
      </c>
      <c r="AO727" cm="1">
        <f t="array" ref="AO727">_xlfn.LET(_xlpm.N,$B$49,_xlpm.R,$B$48,_xlpm.Start,$B$47,_xlpm.PlanWD,AL727,_xlpm.PlanRoth,AM727,_xlpm.PlanConv,AN727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SUM(_xlpm.Taxes))</f>
        <v>44866.96</v>
      </c>
      <c r="AP727" cm="1">
        <f t="array" ref="AP727">_xlfn.LET(_xlpm.N,$B$49,_xlpm.R,$B$48,_xlpm.Start,$B$47,_xlpm.PlanWD,AL727,_xlpm.PlanRoth,AM727,_xlpm.PlanConv,AN727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IER,_xlfn.LAMBDA(_xlpm.PT,_xlpm.BR,_xlfn.LET(_xlpm.SS,$B$8,_xlpm.CG,_xlpm.BR*$B$46,_xlpm.Prov,_xlpm.PT+_xlpm.CG+_xlpm.SS*0.5,_xlpm.TSS,_xlpm.SS*IF(AND(Tax!$B$21&lt;=0,Tax!$B$22&lt;=0),IF(_xlpm.SS&gt;0,0.85,0),IF(_xlpm.Prov&lt;Tax!$B$21,0,IF(_xlpm.Prov&lt;Tax!$B$22,0.5,0.85))),_xlpm.MAGI,_xlpm.PT+_xlpm.TSS+_xlpm.CG,LOOKUP(_xlpm.MAGI,IRMAA!$B$16:$B$21,IRMAA!$A$16:$A$21))),_xlpm.Tiers,_xlfn.MAP(_xlpm.SpendWDs,_xlpm.Convs,_xlpm.BRs,_xlfn.LAMBDA(_xlpm.WD,_xlpm.Conv,_xlpm.BR,_xlpm.TIER(_xlpm.WD+_xlpm.Conv,_xlpm.BR))),MAX(_xlpm.Tiers))</f>
        <v>0</v>
      </c>
      <c r="AQ727" cm="1">
        <f t="array" ref="AQ727">_xlfn.LET(_xlpm.N,$B$49,_xlpm.R,$B$48,_xlpm.Start,$B$47,_xlpm.PlanWD,AL727,_xlpm.PlanRoth,AM727,_xlpm.PlanConv,AN727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_xlpm.Opens,_xlfn.MAP(_xlfn.SEQUENCE(_xlpm.N),_xlfn.LAMBDA(_xlpm.i,IF(_xlpm.i=1,_xlpm.Start,INDEX(_xlpm.Bals,_xlpm.i-1)))),_xlpm.Reqs,_xlfn.MAP(_xlpm.Opens,_xlpm.Ages,_xlfn.LAMBDA(_xlpm.Open,_xlpm.Age,_xlfn.LET(_xlpm.Factor,_xlfn.XLOOKUP(_xlpm.Age,RMD!$A$21:$A$69,RMD!$B$21:$B$69,0),IF(AND(_xlpm.Age&gt;=RMD!$B$9,_xlpm.Factor&gt;0),_xlpm.Open/_xlpm.Factor,0)))),_xlpm.SpendWDs,_xlfn.MAP(_xlpm.Opens,_xlpm.Reqs,_xlfn.LAMBDA(_xlpm.Open,_xlpm.Req,MIN(_xlpm.Open,MAX(_xlpm.PlanWD,_xlpm.Req)))),_xlpm.Convs,_xlfn.MAP(_xlpm.Opens,_xlpm.SpendWDs,_xlfn.LAMBDA(_xlpm.Open,_xlpm.WD,MIN(MAX(0,_xlpm.Open-_xlpm.WD),_xlpm.PlanConv))),_xlpm.BRs,_xlfn.MAP(_xlpm.SpendWDs,_xlfn.LAMBDA(_xlpm.WD,MAX(0,$B$10-_xlpm.WD-_xlpm.PlanRoth))),_xlpm.TAX,_xlfn.LAMBDA(_xlpm.PT,_xlpm.BR,_xlfn.LET(_xlpm.SS,$B$8,_xlpm.CG,_xlpm.BR*$B$46,_xlpm.Prov,_xlpm.PT+_xlpm.CG+_xlpm.SS*0.5,_xlpm.TSS,_xlpm.SS*IF(AND(Tax!$B$21&lt;=0,Tax!$B$22&lt;=0),IF(_xlpm.SS&gt;0,0.85,0),IF(_xlpm.Prov&lt;Tax!$B$21,0,IF(_xlpm.Prov&lt;Tax!$B$22,0.5,0.85))),_xlpm.Ord,_xlpm.PT+_xlpm.TSS,_xlpm.TO,MAX(0,_xlpm.Ord-Tax!$B$10),_xlpm.OT,MAX(0,MIN(_xlpm.TO,Tax!$B$11))*0.1+MAX(0,MIN(_xlpm.TO,Tax!$B$12)-Tax!$B$11)*0.12+MAX(0,MIN(_xlpm.TO,Tax!$B$13)-Tax!$B$12)*0.22+MAX(0,MIN(_xlpm.TO,Tax!$B$14)-Tax!$B$13)*0.24+MAX(0,MIN(_xlpm.TO,Tax!$B$15)-Tax!$B$14)*0.32+MAX(0,MIN(_xlpm.TO,Tax!$B$16)-Tax!$B$15)*0.35+MAX(0,_xlpm.TO-Tax!$B$16)*0.37,_xlpm.HI,_xlpm.TO+_xlpm.CG,_xlpm.CGT,MAX(0,MIN(_xlpm.HI,Tax!$B$18)-_xlpm.TO)*0+MAX(0,MIN(_xlpm.HI,Tax!$B$19)-MAX(_xlpm.TO,Tax!$B$18))*0.15+MAX(0,_xlpm.HI-MAX(_xlpm.TO,Tax!$B$19))*0.2,_xlpm.MAGI,_xlpm.PT+_xlpm.TSS+_xlpm.CG,_xlpm.NIIT,MAX(0,MIN(_xlpm.CG,_xlpm.MAGI-Tax!$B$20))*0.038,_xlpm.OT+_xlpm.CGT+_xlpm.NIIT)),_xlpm.Taxes,_xlfn.MAP(_xlpm.SpendWDs,_xlpm.Convs,_xlpm.BRs,_xlfn.LAMBDA(_xlpm.WD,_xlpm.Conv,_xlpm.BR,_xlpm.TAX(_xlpm.WD+_xlpm.Conv,_xlpm.BR))),_xlpm.TotalBals,_xlfn.SCAN('Retirement Gap'!$B$30,_xlpm.Taxes,_xlfn.LAMBDA(_xlpm.Open,_xlpm.Tx,MAX(0,_xlpm.Open*(1+_xlpm.R)-$B$10-_xlpm.Tx))),INDEX(_xlpm.TotalBals,_xlpm.N))</f>
        <v>960468.40225079271</v>
      </c>
      <c r="AR727" cm="1">
        <f t="array" ref="AR727">_xlfn.LET(_xlpm.N,$B$49,_xlpm.R,$B$48,_xlpm.Start,$B$47,_xlpm.PlanWD,AL727,_xlpm.PlanRoth,AM727,_xlpm.PlanConv,AN727,_xlpm.Ages,Inputs!$B$8+_xlfn.SEQUENCE(_xlpm.N)-1,_xlpm.Bals,_xlfn.SCAN(_xlpm.Start,_xlfn.SEQUENCE(_xlpm.N),_xlfn.LAMBDA(_xlpm.Open,_xlpm.i,_xlfn.LET(_xlpm.Age,Inputs!$B$8+_xlpm.i-1,_xlpm.Factor,_xlfn.XLOOKUP(_xlpm.Age,RMD!$A$21:$A$69,RMD!$B$21:$B$69,0),_xlpm.Req,IF(AND(_xlpm.Age&gt;=RMD!$B$9,_xlpm.Factor&gt;0),_xlpm.Open/_xlpm.Factor,0),_xlpm.SpendWD,MIN(_xlpm.Open,MAX(_xlpm.PlanWD,_xlpm.Req)),_xlpm.Conv,MIN(MAX(0,_xlpm.Open-_xlpm.SpendWD),_xlpm.PlanConv),MAX(0,_xlpm.Open*(1+_xlpm.R)-_xlpm.SpendWD-_xlpm.Conv)))),INDEX(_xlpm.Bals,_xlpm.N))</f>
        <v>909343.45271985827</v>
      </c>
      <c r="AS727">
        <f>--AND(AK727&lt;=SUM('Retirement Gap'!$B$24:$B$25,'Retirement Gap'!$B$27),AL727+AN727&lt;=$B$47,AM727&lt;='Retirement Gap'!$B$29,ABS(AK727+AL727+AM727-$B$10)&lt;1)</f>
        <v>1</v>
      </c>
      <c r="AT727" cm="1">
        <f t="array" ref="AT727">IF(AS727=0,1E+99,_xlfn.SWITCH(LEFT($E$39,1),"1",AO727,"2",AP727*1000000000+AO727,"3",-AQ727,"4",AO727+AP727*25000+AR727*0.005-AQ727*0.0001,AO727))</f>
        <v>-960468.40225079271</v>
      </c>
    </row>
  </sheetData>
  <mergeCells count="1">
    <mergeCell ref="A1:F1"/>
  </mergeCells>
  <dataValidations count="4">
    <dataValidation type="list" allowBlank="1" showInputMessage="1" showErrorMessage="1" errorTitle="Choose a listed option" error="Select One-year, Through age 70, or Full lifetime." promptTitle="Comparison Basis" prompt="Choose the period used for scenario comparison metrics." sqref="B31" xr:uid="{A9865A66-562E-4242-B60F-6A1D529363BE}">
      <formula1>"One-year,Through age 70,Full lifetime"</formula1>
    </dataValidation>
    <dataValidation type="decimal" allowBlank="1" showInputMessage="1" showErrorMessage="1" errorTitle="Enter 0% to 100%" error="Enter the taxable-gain share of brokerage withdrawals." sqref="B46" xr:uid="{633F9446-089E-493C-A1CF-1BB226641230}">
      <formula1>0</formula1>
      <formula2>1</formula2>
    </dataValidation>
    <dataValidation type="list" allowBlank="1" showInputMessage="1" showErrorMessage="1" sqref="E39" xr:uid="{89F459EF-06A3-4365-80A0-500BC5350D22}">
      <formula1>"1 - Lowest lifetime federal tax,2 - Lowest tax + IRMAA exposure,3 - Highest ending portfolio,4 - Balanced score"</formula1>
    </dataValidation>
    <dataValidation type="list" allowBlank="1" showInputMessage="1" showErrorMessage="1" sqref="E40" xr:uid="{CC45BC12-610D-4C51-83BE-F3BAB3FD8772}">
      <formula1>"A - Withdrawals only,B - Withdrawals + Roth conversions"</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306F22-C3EB-44A8-86A1-E381D02D3DD9}">
  <dimension ref="A1:F49"/>
  <sheetViews>
    <sheetView topLeftCell="A35" zoomScale="110" zoomScaleNormal="110" workbookViewId="0">
      <selection activeCell="A49" sqref="A49"/>
    </sheetView>
  </sheetViews>
  <sheetFormatPr defaultRowHeight="14.4" x14ac:dyDescent="0.55000000000000004"/>
  <cols>
    <col min="1" max="1" width="38.578125" customWidth="1"/>
    <col min="2" max="2" width="22.83984375" customWidth="1"/>
    <col min="3" max="4" width="19.26171875" customWidth="1"/>
    <col min="5" max="5" width="10.578125" customWidth="1"/>
    <col min="6" max="6" width="35.15625" customWidth="1"/>
  </cols>
  <sheetData>
    <row r="1" spans="1:6" ht="18.3" x14ac:dyDescent="0.7">
      <c r="A1" s="267" t="s">
        <v>539</v>
      </c>
      <c r="B1" s="267"/>
      <c r="C1" s="267"/>
      <c r="D1" s="267"/>
      <c r="E1" s="267"/>
      <c r="F1" s="267"/>
    </row>
    <row r="3" spans="1:6" x14ac:dyDescent="0.55000000000000004">
      <c r="A3" s="49" t="s">
        <v>294</v>
      </c>
    </row>
    <row r="4" spans="1:6" x14ac:dyDescent="0.55000000000000004">
      <c r="A4" t="s">
        <v>295</v>
      </c>
    </row>
    <row r="5" spans="1:6" x14ac:dyDescent="0.55000000000000004">
      <c r="A5" t="s">
        <v>296</v>
      </c>
    </row>
    <row r="6" spans="1:6" x14ac:dyDescent="0.55000000000000004">
      <c r="A6" t="s">
        <v>297</v>
      </c>
    </row>
    <row r="7" spans="1:6" x14ac:dyDescent="0.55000000000000004">
      <c r="A7" t="s">
        <v>298</v>
      </c>
    </row>
    <row r="8" spans="1:6" x14ac:dyDescent="0.55000000000000004">
      <c r="A8" t="s">
        <v>299</v>
      </c>
    </row>
    <row r="9" spans="1:6" x14ac:dyDescent="0.55000000000000004">
      <c r="A9" t="s">
        <v>300</v>
      </c>
    </row>
    <row r="10" spans="1:6" x14ac:dyDescent="0.55000000000000004">
      <c r="A10" t="s">
        <v>301</v>
      </c>
    </row>
    <row r="12" spans="1:6" x14ac:dyDescent="0.55000000000000004">
      <c r="A12" s="49" t="s">
        <v>612</v>
      </c>
    </row>
    <row r="13" spans="1:6" ht="43.2" x14ac:dyDescent="0.55000000000000004">
      <c r="A13" s="75" t="s">
        <v>613</v>
      </c>
    </row>
    <row r="14" spans="1:6" ht="57.6" x14ac:dyDescent="0.55000000000000004">
      <c r="A14" s="75" t="s">
        <v>614</v>
      </c>
    </row>
    <row r="15" spans="1:6" ht="43.2" x14ac:dyDescent="0.55000000000000004">
      <c r="A15" s="75" t="s">
        <v>615</v>
      </c>
    </row>
    <row r="17" spans="1:1" x14ac:dyDescent="0.55000000000000004">
      <c r="A17" s="49" t="s">
        <v>302</v>
      </c>
    </row>
    <row r="18" spans="1:1" x14ac:dyDescent="0.55000000000000004">
      <c r="A18" t="s">
        <v>303</v>
      </c>
    </row>
    <row r="19" spans="1:1" x14ac:dyDescent="0.55000000000000004">
      <c r="A19" t="s">
        <v>304</v>
      </c>
    </row>
    <row r="20" spans="1:1" x14ac:dyDescent="0.55000000000000004">
      <c r="A20" t="s">
        <v>305</v>
      </c>
    </row>
    <row r="21" spans="1:1" x14ac:dyDescent="0.55000000000000004">
      <c r="A21" t="s">
        <v>306</v>
      </c>
    </row>
    <row r="22" spans="1:1" x14ac:dyDescent="0.55000000000000004">
      <c r="A22" t="s">
        <v>307</v>
      </c>
    </row>
    <row r="23" spans="1:1" x14ac:dyDescent="0.55000000000000004">
      <c r="A23" t="s">
        <v>308</v>
      </c>
    </row>
    <row r="25" spans="1:1" x14ac:dyDescent="0.55000000000000004">
      <c r="A25" s="49" t="s">
        <v>309</v>
      </c>
    </row>
    <row r="26" spans="1:1" x14ac:dyDescent="0.55000000000000004">
      <c r="A26" t="s">
        <v>310</v>
      </c>
    </row>
    <row r="27" spans="1:1" x14ac:dyDescent="0.55000000000000004">
      <c r="A27" t="s">
        <v>311</v>
      </c>
    </row>
    <row r="29" spans="1:1" x14ac:dyDescent="0.55000000000000004">
      <c r="A29" s="49" t="s">
        <v>312</v>
      </c>
    </row>
    <row r="30" spans="1:1" x14ac:dyDescent="0.55000000000000004">
      <c r="A30" t="s">
        <v>313</v>
      </c>
    </row>
    <row r="31" spans="1:1" x14ac:dyDescent="0.55000000000000004">
      <c r="A31" t="s">
        <v>314</v>
      </c>
    </row>
    <row r="32" spans="1:1" x14ac:dyDescent="0.55000000000000004">
      <c r="A32" t="s">
        <v>315</v>
      </c>
    </row>
    <row r="33" spans="1:1" x14ac:dyDescent="0.55000000000000004">
      <c r="A33" t="s">
        <v>316</v>
      </c>
    </row>
    <row r="35" spans="1:1" x14ac:dyDescent="0.55000000000000004">
      <c r="A35" s="49" t="s">
        <v>317</v>
      </c>
    </row>
    <row r="36" spans="1:1" x14ac:dyDescent="0.55000000000000004">
      <c r="A36" t="s">
        <v>318</v>
      </c>
    </row>
    <row r="37" spans="1:1" x14ac:dyDescent="0.55000000000000004">
      <c r="A37" t="s">
        <v>319</v>
      </c>
    </row>
    <row r="38" spans="1:1" x14ac:dyDescent="0.55000000000000004">
      <c r="A38" t="s">
        <v>320</v>
      </c>
    </row>
    <row r="39" spans="1:1" x14ac:dyDescent="0.55000000000000004">
      <c r="A39" t="s">
        <v>321</v>
      </c>
    </row>
    <row r="41" spans="1:1" x14ac:dyDescent="0.55000000000000004">
      <c r="A41" s="32" t="s">
        <v>322</v>
      </c>
    </row>
    <row r="43" spans="1:1" x14ac:dyDescent="0.55000000000000004">
      <c r="A43" s="49" t="s">
        <v>323</v>
      </c>
    </row>
    <row r="44" spans="1:1" x14ac:dyDescent="0.55000000000000004">
      <c r="A44" t="s">
        <v>324</v>
      </c>
    </row>
    <row r="45" spans="1:1" x14ac:dyDescent="0.55000000000000004">
      <c r="A45" t="s">
        <v>325</v>
      </c>
    </row>
    <row r="46" spans="1:1" x14ac:dyDescent="0.55000000000000004">
      <c r="A46" t="s">
        <v>326</v>
      </c>
    </row>
    <row r="47" spans="1:1" x14ac:dyDescent="0.55000000000000004">
      <c r="A47" t="s">
        <v>327</v>
      </c>
    </row>
    <row r="48" spans="1:1" x14ac:dyDescent="0.55000000000000004">
      <c r="A48" t="s">
        <v>328</v>
      </c>
    </row>
    <row r="49" spans="1:1" x14ac:dyDescent="0.55000000000000004">
      <c r="A49" t="s">
        <v>329</v>
      </c>
    </row>
  </sheetData>
  <mergeCells count="1">
    <mergeCell ref="A1:F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98C1B-AB2A-4EB8-9755-9E828DDAE9AE}">
  <dimension ref="A1:BD200"/>
  <sheetViews>
    <sheetView zoomScaleNormal="100" workbookViewId="0">
      <selection activeCell="D82" sqref="D82"/>
    </sheetView>
  </sheetViews>
  <sheetFormatPr defaultRowHeight="14.4" x14ac:dyDescent="0.55000000000000004"/>
  <cols>
    <col min="1" max="1" width="12.26171875" style="4" customWidth="1"/>
    <col min="2" max="2" width="32.41796875" style="1" customWidth="1"/>
    <col min="3" max="3" width="35.15625" style="76" customWidth="1"/>
    <col min="4" max="4" width="12.578125" style="4" customWidth="1"/>
    <col min="5" max="5" width="12.578125" style="1" customWidth="1"/>
    <col min="6" max="6" width="12.578125" style="35" customWidth="1"/>
    <col min="7" max="7" width="12.578125" style="34" customWidth="1"/>
    <col min="8" max="51" width="12.578125" customWidth="1"/>
    <col min="53" max="53" width="29" customWidth="1"/>
    <col min="54" max="54" width="15.83984375" customWidth="1"/>
    <col min="55" max="55" width="3.15625" customWidth="1"/>
    <col min="56" max="56" width="15.83984375" customWidth="1"/>
  </cols>
  <sheetData>
    <row r="1" spans="1:56" ht="32.1" customHeight="1" x14ac:dyDescent="0.9">
      <c r="A1" s="275" t="s">
        <v>695</v>
      </c>
      <c r="B1" s="275"/>
      <c r="C1" s="276"/>
      <c r="D1" s="275"/>
      <c r="E1" s="275"/>
      <c r="F1" s="275"/>
      <c r="G1" s="275"/>
      <c r="H1" s="275"/>
      <c r="I1" s="275"/>
      <c r="J1" s="275"/>
      <c r="K1" s="275"/>
      <c r="L1" s="275"/>
      <c r="M1" s="275"/>
      <c r="N1" s="275"/>
      <c r="O1" s="275"/>
      <c r="P1" s="275"/>
      <c r="Q1" s="275"/>
      <c r="R1" s="275"/>
      <c r="S1" s="275"/>
      <c r="T1" s="275"/>
      <c r="U1" s="275"/>
      <c r="V1" s="275"/>
      <c r="W1" s="275"/>
      <c r="X1" s="275"/>
      <c r="Y1" s="275"/>
      <c r="Z1" s="275"/>
      <c r="AA1" s="275"/>
      <c r="AB1" s="275"/>
      <c r="AC1" s="275"/>
      <c r="AD1" s="275"/>
      <c r="AE1" s="275"/>
      <c r="AF1" s="275"/>
      <c r="AG1" s="275"/>
      <c r="AH1" s="275"/>
      <c r="AI1" s="275"/>
      <c r="AJ1" s="275"/>
      <c r="AK1" s="275"/>
      <c r="AL1" s="275"/>
      <c r="AM1" s="275"/>
      <c r="AN1" s="275"/>
      <c r="AO1" s="275"/>
      <c r="AP1" s="275"/>
      <c r="AQ1" s="275"/>
      <c r="AR1" s="275"/>
      <c r="AS1" s="275"/>
      <c r="AT1" s="275"/>
      <c r="AU1" s="275"/>
      <c r="AV1" s="275"/>
      <c r="AW1" s="275"/>
      <c r="AX1" s="275"/>
      <c r="AY1" s="275"/>
      <c r="BA1" s="50"/>
      <c r="BB1" s="50"/>
      <c r="BC1" s="50"/>
      <c r="BD1" s="50"/>
    </row>
    <row r="2" spans="1:56" ht="24" customHeight="1" x14ac:dyDescent="0.55000000000000004">
      <c r="A2" s="277" t="s">
        <v>696</v>
      </c>
      <c r="B2" s="277"/>
      <c r="C2" s="278"/>
      <c r="D2" s="277"/>
      <c r="E2" s="277"/>
      <c r="F2" s="277"/>
      <c r="G2" s="277"/>
      <c r="H2" s="277"/>
      <c r="I2" s="277"/>
      <c r="J2" s="277"/>
      <c r="K2" s="277"/>
      <c r="L2" s="277"/>
      <c r="M2" s="277"/>
      <c r="N2" s="277"/>
      <c r="O2" s="277"/>
      <c r="P2" s="277"/>
      <c r="Q2" s="277"/>
      <c r="R2" s="277"/>
      <c r="S2" s="277"/>
      <c r="T2" s="277"/>
      <c r="U2" s="277"/>
      <c r="V2" s="277"/>
      <c r="W2" s="277"/>
      <c r="X2" s="277"/>
      <c r="Y2" s="277"/>
      <c r="Z2" s="277"/>
      <c r="AA2" s="277"/>
      <c r="AB2" s="277"/>
      <c r="AC2" s="277"/>
      <c r="AD2" s="277"/>
      <c r="AE2" s="277"/>
      <c r="AF2" s="277"/>
      <c r="AG2" s="277"/>
      <c r="AH2" s="277"/>
      <c r="AI2" s="277"/>
      <c r="AJ2" s="277"/>
      <c r="AK2" s="277"/>
      <c r="AL2" s="277"/>
      <c r="AM2" s="277"/>
      <c r="AN2" s="277"/>
      <c r="AO2" s="277"/>
      <c r="AP2" s="277"/>
      <c r="AQ2" s="277"/>
      <c r="AR2" s="277"/>
      <c r="AS2" s="277"/>
      <c r="AT2" s="277"/>
      <c r="AU2" s="277"/>
      <c r="AV2" s="277"/>
      <c r="AW2" s="277"/>
      <c r="AX2" s="277"/>
      <c r="AY2" s="277"/>
      <c r="BA2" s="50"/>
      <c r="BB2" s="50"/>
      <c r="BC2" s="50"/>
      <c r="BD2" s="50"/>
    </row>
    <row r="3" spans="1:56" x14ac:dyDescent="0.55000000000000004">
      <c r="A3" s="78" t="s">
        <v>330</v>
      </c>
      <c r="B3" s="78" t="s">
        <v>331</v>
      </c>
      <c r="C3" s="79" t="s">
        <v>332</v>
      </c>
      <c r="D3" s="80">
        <v>2026</v>
      </c>
      <c r="E3" s="80">
        <v>2027</v>
      </c>
      <c r="F3" s="80">
        <v>2028</v>
      </c>
      <c r="G3" s="80">
        <v>2029</v>
      </c>
      <c r="H3" s="80">
        <v>2030</v>
      </c>
      <c r="I3" s="80">
        <v>2031</v>
      </c>
      <c r="J3" s="80">
        <v>2032</v>
      </c>
      <c r="K3" s="80">
        <v>2033</v>
      </c>
      <c r="L3" s="80">
        <v>2034</v>
      </c>
      <c r="M3" s="80">
        <v>2035</v>
      </c>
      <c r="N3" s="80">
        <v>2036</v>
      </c>
      <c r="O3" s="80">
        <v>2037</v>
      </c>
      <c r="P3" s="80">
        <v>2038</v>
      </c>
      <c r="Q3" s="80">
        <v>2039</v>
      </c>
      <c r="R3" s="80">
        <v>2040</v>
      </c>
      <c r="S3" s="80">
        <v>2041</v>
      </c>
      <c r="T3" s="80">
        <v>2042</v>
      </c>
      <c r="U3" s="80">
        <v>2043</v>
      </c>
      <c r="V3" s="80">
        <v>2044</v>
      </c>
      <c r="W3" s="80">
        <v>2045</v>
      </c>
      <c r="X3" s="80">
        <v>2046</v>
      </c>
      <c r="Y3" s="80">
        <v>2047</v>
      </c>
      <c r="Z3" s="80">
        <v>2048</v>
      </c>
      <c r="AA3" s="80">
        <v>2049</v>
      </c>
      <c r="AB3" s="80">
        <v>2050</v>
      </c>
      <c r="AC3" s="80">
        <v>2051</v>
      </c>
      <c r="AD3" s="80">
        <v>2052</v>
      </c>
      <c r="AE3" s="80">
        <v>2053</v>
      </c>
      <c r="AF3" s="80">
        <v>2054</v>
      </c>
      <c r="AG3" s="80">
        <f>AF3+1</f>
        <v>2055</v>
      </c>
      <c r="AH3" s="80">
        <f t="shared" ref="AH3:AY3" si="0">AG3+1</f>
        <v>2056</v>
      </c>
      <c r="AI3" s="80">
        <f t="shared" si="0"/>
        <v>2057</v>
      </c>
      <c r="AJ3" s="80">
        <f t="shared" si="0"/>
        <v>2058</v>
      </c>
      <c r="AK3" s="80">
        <f t="shared" si="0"/>
        <v>2059</v>
      </c>
      <c r="AL3" s="80">
        <f t="shared" si="0"/>
        <v>2060</v>
      </c>
      <c r="AM3" s="80">
        <f t="shared" si="0"/>
        <v>2061</v>
      </c>
      <c r="AN3" s="80">
        <f t="shared" si="0"/>
        <v>2062</v>
      </c>
      <c r="AO3" s="80">
        <f t="shared" si="0"/>
        <v>2063</v>
      </c>
      <c r="AP3" s="80">
        <f t="shared" si="0"/>
        <v>2064</v>
      </c>
      <c r="AQ3" s="80">
        <f t="shared" si="0"/>
        <v>2065</v>
      </c>
      <c r="AR3" s="80">
        <f t="shared" si="0"/>
        <v>2066</v>
      </c>
      <c r="AS3" s="80">
        <f t="shared" si="0"/>
        <v>2067</v>
      </c>
      <c r="AT3" s="80">
        <f t="shared" si="0"/>
        <v>2068</v>
      </c>
      <c r="AU3" s="80">
        <f t="shared" si="0"/>
        <v>2069</v>
      </c>
      <c r="AV3" s="80">
        <f t="shared" si="0"/>
        <v>2070</v>
      </c>
      <c r="AW3" s="80">
        <f t="shared" si="0"/>
        <v>2071</v>
      </c>
      <c r="AX3" s="80">
        <f t="shared" si="0"/>
        <v>2072</v>
      </c>
      <c r="AY3" s="80">
        <f t="shared" si="0"/>
        <v>2073</v>
      </c>
      <c r="AZ3" s="1"/>
      <c r="BA3" s="220" t="s">
        <v>333</v>
      </c>
      <c r="BB3" s="221"/>
      <c r="BC3" s="222"/>
      <c r="BD3" s="222"/>
    </row>
    <row r="4" spans="1:56" ht="14.7" thickBot="1" x14ac:dyDescent="0.6">
      <c r="A4" s="77" t="s">
        <v>76</v>
      </c>
      <c r="B4" s="77" t="s">
        <v>76</v>
      </c>
      <c r="C4" s="81"/>
      <c r="D4" s="77">
        <v>38</v>
      </c>
      <c r="E4" s="77">
        <v>39</v>
      </c>
      <c r="F4" s="77">
        <v>40</v>
      </c>
      <c r="G4" s="77">
        <v>41</v>
      </c>
      <c r="H4" s="77">
        <v>42</v>
      </c>
      <c r="I4" s="77">
        <v>43</v>
      </c>
      <c r="J4" s="77">
        <v>44</v>
      </c>
      <c r="K4" s="77">
        <v>45</v>
      </c>
      <c r="L4" s="77">
        <v>46</v>
      </c>
      <c r="M4" s="77">
        <v>47</v>
      </c>
      <c r="N4" s="77">
        <v>48</v>
      </c>
      <c r="O4" s="77">
        <v>49</v>
      </c>
      <c r="P4" s="77">
        <v>50</v>
      </c>
      <c r="Q4" s="77">
        <v>51</v>
      </c>
      <c r="R4" s="77">
        <v>52</v>
      </c>
      <c r="S4" s="77">
        <v>53</v>
      </c>
      <c r="T4" s="77">
        <v>54</v>
      </c>
      <c r="U4" s="77">
        <v>55</v>
      </c>
      <c r="V4" s="77">
        <v>56</v>
      </c>
      <c r="W4" s="77">
        <v>57</v>
      </c>
      <c r="X4" s="77">
        <v>58</v>
      </c>
      <c r="Y4" s="77">
        <v>59</v>
      </c>
      <c r="Z4" s="77">
        <v>60</v>
      </c>
      <c r="AA4" s="77">
        <v>61</v>
      </c>
      <c r="AB4" s="77">
        <v>62</v>
      </c>
      <c r="AC4" s="77">
        <v>63</v>
      </c>
      <c r="AD4" s="77">
        <v>64</v>
      </c>
      <c r="AE4" s="77">
        <v>65</v>
      </c>
      <c r="AF4" s="77">
        <v>66</v>
      </c>
      <c r="AG4" s="77">
        <f>AF4+1</f>
        <v>67</v>
      </c>
      <c r="AH4" s="77">
        <f t="shared" ref="AH4:AY4" si="1">AG4+1</f>
        <v>68</v>
      </c>
      <c r="AI4" s="77">
        <f t="shared" si="1"/>
        <v>69</v>
      </c>
      <c r="AJ4" s="77">
        <f t="shared" si="1"/>
        <v>70</v>
      </c>
      <c r="AK4" s="77">
        <f t="shared" si="1"/>
        <v>71</v>
      </c>
      <c r="AL4" s="77">
        <f t="shared" si="1"/>
        <v>72</v>
      </c>
      <c r="AM4" s="77">
        <f t="shared" si="1"/>
        <v>73</v>
      </c>
      <c r="AN4" s="77">
        <f t="shared" si="1"/>
        <v>74</v>
      </c>
      <c r="AO4" s="77">
        <f t="shared" si="1"/>
        <v>75</v>
      </c>
      <c r="AP4" s="77">
        <f t="shared" si="1"/>
        <v>76</v>
      </c>
      <c r="AQ4" s="77">
        <f t="shared" si="1"/>
        <v>77</v>
      </c>
      <c r="AR4" s="77">
        <f t="shared" si="1"/>
        <v>78</v>
      </c>
      <c r="AS4" s="77">
        <f t="shared" si="1"/>
        <v>79</v>
      </c>
      <c r="AT4" s="77">
        <f t="shared" si="1"/>
        <v>80</v>
      </c>
      <c r="AU4" s="77">
        <f t="shared" si="1"/>
        <v>81</v>
      </c>
      <c r="AV4" s="77">
        <f t="shared" si="1"/>
        <v>82</v>
      </c>
      <c r="AW4" s="77">
        <f t="shared" si="1"/>
        <v>83</v>
      </c>
      <c r="AX4" s="77">
        <f t="shared" si="1"/>
        <v>84</v>
      </c>
      <c r="AY4" s="77">
        <f t="shared" si="1"/>
        <v>85</v>
      </c>
      <c r="AZ4" s="1"/>
      <c r="BA4" s="222" t="s">
        <v>334</v>
      </c>
      <c r="BB4" s="223">
        <f>Inputs!B13</f>
        <v>0.06</v>
      </c>
      <c r="BC4" s="222"/>
      <c r="BD4" s="222"/>
    </row>
    <row r="5" spans="1:56" ht="14.7" thickTop="1" x14ac:dyDescent="0.55000000000000004">
      <c r="A5" s="145" t="s">
        <v>335</v>
      </c>
      <c r="B5" s="145" t="s">
        <v>336</v>
      </c>
      <c r="C5" s="146" t="s">
        <v>337</v>
      </c>
      <c r="D5" s="82">
        <v>0</v>
      </c>
      <c r="E5" s="82">
        <v>0</v>
      </c>
      <c r="F5" s="82">
        <v>0</v>
      </c>
      <c r="G5" s="82">
        <v>0</v>
      </c>
      <c r="H5" s="82">
        <v>0</v>
      </c>
      <c r="I5" s="82">
        <v>0</v>
      </c>
      <c r="J5" s="82">
        <v>0</v>
      </c>
      <c r="K5" s="82">
        <v>0</v>
      </c>
      <c r="L5" s="82">
        <v>0</v>
      </c>
      <c r="M5" s="82">
        <v>0</v>
      </c>
      <c r="N5" s="82">
        <v>0</v>
      </c>
      <c r="O5" s="82">
        <v>0</v>
      </c>
      <c r="P5" s="82">
        <v>0</v>
      </c>
      <c r="Q5" s="82">
        <v>0</v>
      </c>
      <c r="R5" s="82">
        <v>0</v>
      </c>
      <c r="S5" s="82">
        <v>0</v>
      </c>
      <c r="T5" s="82">
        <v>0</v>
      </c>
      <c r="U5" s="82">
        <v>0</v>
      </c>
      <c r="V5" s="82">
        <v>0</v>
      </c>
      <c r="W5" s="82">
        <v>0</v>
      </c>
      <c r="X5" s="82">
        <v>0</v>
      </c>
      <c r="Y5" s="82">
        <v>0</v>
      </c>
      <c r="Z5" s="82">
        <v>0</v>
      </c>
      <c r="AA5" s="82">
        <v>0</v>
      </c>
      <c r="AB5" s="82">
        <v>0</v>
      </c>
      <c r="AC5" s="82">
        <v>0</v>
      </c>
      <c r="AD5" s="82">
        <v>0</v>
      </c>
      <c r="AE5" s="82">
        <v>0</v>
      </c>
      <c r="AF5" s="82">
        <v>0</v>
      </c>
      <c r="AG5" s="82">
        <v>0</v>
      </c>
      <c r="AH5" s="82">
        <v>0</v>
      </c>
      <c r="AI5" s="82">
        <v>0</v>
      </c>
      <c r="AJ5" s="82">
        <v>0</v>
      </c>
      <c r="AK5" s="82">
        <v>0</v>
      </c>
      <c r="AL5" s="82">
        <v>0</v>
      </c>
      <c r="AM5" s="82">
        <v>0</v>
      </c>
      <c r="AN5" s="82">
        <v>0</v>
      </c>
      <c r="AO5" s="82">
        <v>0</v>
      </c>
      <c r="AP5" s="82">
        <v>0</v>
      </c>
      <c r="AQ5" s="82">
        <v>0</v>
      </c>
      <c r="AR5" s="82">
        <v>0</v>
      </c>
      <c r="AS5" s="82">
        <v>0</v>
      </c>
      <c r="AT5" s="82">
        <v>0</v>
      </c>
      <c r="AU5" s="82">
        <v>0</v>
      </c>
      <c r="AV5" s="82">
        <v>0</v>
      </c>
      <c r="AW5" s="82">
        <v>0</v>
      </c>
      <c r="AX5" s="82">
        <v>0</v>
      </c>
      <c r="AY5" s="82">
        <v>0</v>
      </c>
      <c r="BA5" s="188" t="s">
        <v>338</v>
      </c>
      <c r="BB5" s="224">
        <f>Inputs!B14</f>
        <v>0.04</v>
      </c>
      <c r="BC5" s="188"/>
      <c r="BD5" s="188"/>
    </row>
    <row r="6" spans="1:56" x14ac:dyDescent="0.55000000000000004">
      <c r="A6" s="147" t="s">
        <v>335</v>
      </c>
      <c r="B6" s="147" t="s">
        <v>339</v>
      </c>
      <c r="C6" s="148" t="s">
        <v>340</v>
      </c>
      <c r="D6" s="83">
        <v>186000</v>
      </c>
      <c r="E6" s="83">
        <v>186000</v>
      </c>
      <c r="F6" s="83">
        <v>186000</v>
      </c>
      <c r="G6" s="83">
        <v>186000</v>
      </c>
      <c r="H6" s="83">
        <v>186000</v>
      </c>
      <c r="I6" s="83">
        <v>186000</v>
      </c>
      <c r="J6" s="83">
        <v>186000</v>
      </c>
      <c r="K6" s="83">
        <v>186000</v>
      </c>
      <c r="L6" s="83">
        <v>186000</v>
      </c>
      <c r="M6" s="83">
        <v>186000</v>
      </c>
      <c r="N6" s="83">
        <v>186000</v>
      </c>
      <c r="O6" s="83">
        <v>186000</v>
      </c>
      <c r="P6" s="83">
        <v>186000</v>
      </c>
      <c r="Q6" s="83">
        <v>186000</v>
      </c>
      <c r="R6" s="83">
        <v>186000</v>
      </c>
      <c r="S6" s="83">
        <v>186000</v>
      </c>
      <c r="T6" s="83">
        <v>186000</v>
      </c>
      <c r="U6" s="83">
        <v>186000</v>
      </c>
      <c r="V6" s="83">
        <v>186000</v>
      </c>
      <c r="W6" s="83">
        <v>186000</v>
      </c>
      <c r="X6" s="83">
        <v>186000</v>
      </c>
      <c r="Y6" s="83">
        <v>186000</v>
      </c>
      <c r="Z6" s="83">
        <v>186000</v>
      </c>
      <c r="AA6" s="83">
        <v>0</v>
      </c>
      <c r="AB6" s="83">
        <v>0</v>
      </c>
      <c r="AC6" s="83">
        <v>0</v>
      </c>
      <c r="AD6" s="83">
        <v>0</v>
      </c>
      <c r="AE6" s="83">
        <v>0</v>
      </c>
      <c r="AF6" s="83">
        <v>0</v>
      </c>
      <c r="AG6" s="83">
        <v>0</v>
      </c>
      <c r="AH6" s="83">
        <v>0</v>
      </c>
      <c r="AI6" s="83">
        <v>0</v>
      </c>
      <c r="AJ6" s="83">
        <v>0</v>
      </c>
      <c r="AK6" s="83">
        <v>0</v>
      </c>
      <c r="AL6" s="83">
        <v>0</v>
      </c>
      <c r="AM6" s="83">
        <v>0</v>
      </c>
      <c r="AN6" s="83">
        <v>0</v>
      </c>
      <c r="AO6" s="83">
        <v>0</v>
      </c>
      <c r="AP6" s="83">
        <v>0</v>
      </c>
      <c r="AQ6" s="83">
        <v>0</v>
      </c>
      <c r="AR6" s="83">
        <v>0</v>
      </c>
      <c r="AS6" s="83">
        <v>0</v>
      </c>
      <c r="AT6" s="83">
        <v>0</v>
      </c>
      <c r="AU6" s="83">
        <v>0</v>
      </c>
      <c r="AV6" s="83">
        <v>0</v>
      </c>
      <c r="AW6" s="83">
        <v>0</v>
      </c>
      <c r="AX6" s="83">
        <v>0</v>
      </c>
      <c r="AY6" s="83">
        <v>0</v>
      </c>
      <c r="BA6" s="188" t="s">
        <v>112</v>
      </c>
      <c r="BB6" s="224">
        <f>Inputs!B12</f>
        <v>0.03</v>
      </c>
      <c r="BC6" s="188"/>
      <c r="BD6" s="188"/>
    </row>
    <row r="7" spans="1:56" x14ac:dyDescent="0.55000000000000004">
      <c r="A7" s="147" t="s">
        <v>335</v>
      </c>
      <c r="B7" s="147" t="s">
        <v>341</v>
      </c>
      <c r="C7" s="148" t="s">
        <v>342</v>
      </c>
      <c r="D7" s="83">
        <v>0</v>
      </c>
      <c r="E7" s="83">
        <v>0</v>
      </c>
      <c r="F7" s="83">
        <v>0</v>
      </c>
      <c r="G7" s="83">
        <v>0</v>
      </c>
      <c r="H7" s="83">
        <v>0</v>
      </c>
      <c r="I7" s="83">
        <v>0</v>
      </c>
      <c r="J7" s="83">
        <v>0</v>
      </c>
      <c r="K7" s="83">
        <v>0</v>
      </c>
      <c r="L7" s="83">
        <v>0</v>
      </c>
      <c r="M7" s="83">
        <v>0</v>
      </c>
      <c r="N7" s="83">
        <v>0</v>
      </c>
      <c r="O7" s="83">
        <v>0</v>
      </c>
      <c r="P7" s="83">
        <v>0</v>
      </c>
      <c r="Q7" s="83">
        <v>0</v>
      </c>
      <c r="R7" s="83">
        <v>0</v>
      </c>
      <c r="S7" s="83">
        <v>0</v>
      </c>
      <c r="T7" s="83">
        <v>0</v>
      </c>
      <c r="U7" s="83">
        <v>0</v>
      </c>
      <c r="V7" s="83">
        <v>0</v>
      </c>
      <c r="W7" s="83">
        <v>0</v>
      </c>
      <c r="X7" s="83">
        <v>0</v>
      </c>
      <c r="Y7" s="83">
        <v>0</v>
      </c>
      <c r="Z7" s="83">
        <v>0</v>
      </c>
      <c r="AA7" s="83">
        <v>0</v>
      </c>
      <c r="AB7" s="83">
        <v>0</v>
      </c>
      <c r="AC7" s="83">
        <v>0</v>
      </c>
      <c r="AD7" s="83">
        <v>0</v>
      </c>
      <c r="AE7" s="83">
        <v>0</v>
      </c>
      <c r="AF7" s="83">
        <v>0</v>
      </c>
      <c r="AG7" s="83">
        <v>0</v>
      </c>
      <c r="AH7" s="83">
        <v>0</v>
      </c>
      <c r="AI7" s="83">
        <v>0</v>
      </c>
      <c r="AJ7" s="83">
        <v>0</v>
      </c>
      <c r="AK7" s="83">
        <v>0</v>
      </c>
      <c r="AL7" s="83">
        <v>0</v>
      </c>
      <c r="AM7" s="83">
        <v>0</v>
      </c>
      <c r="AN7" s="83">
        <v>0</v>
      </c>
      <c r="AO7" s="83">
        <v>0</v>
      </c>
      <c r="AP7" s="83">
        <v>0</v>
      </c>
      <c r="AQ7" s="83">
        <v>0</v>
      </c>
      <c r="AR7" s="83">
        <v>0</v>
      </c>
      <c r="AS7" s="83">
        <v>0</v>
      </c>
      <c r="AT7" s="83">
        <v>0</v>
      </c>
      <c r="AU7" s="83">
        <v>0</v>
      </c>
      <c r="AV7" s="83">
        <v>0</v>
      </c>
      <c r="AW7" s="83">
        <v>0</v>
      </c>
      <c r="AX7" s="83">
        <v>0</v>
      </c>
      <c r="AY7" s="83">
        <v>0</v>
      </c>
      <c r="BA7" s="188" t="s">
        <v>343</v>
      </c>
      <c r="BB7" s="225">
        <f>Tax!B10</f>
        <v>32200</v>
      </c>
      <c r="BC7" s="188"/>
      <c r="BD7" s="188"/>
    </row>
    <row r="8" spans="1:56" ht="28.8" x14ac:dyDescent="0.55000000000000004">
      <c r="A8" s="147" t="s">
        <v>335</v>
      </c>
      <c r="B8" s="147" t="s">
        <v>344</v>
      </c>
      <c r="C8" s="148" t="s">
        <v>345</v>
      </c>
      <c r="D8" s="83">
        <f>IF(D$4&lt;Inputs!$B$8,0,_xlfn.XLOOKUP(Inputs!$B$8,'SS Benefits'!$A$5:$A$8,'SS Benefits'!$E$5:$E$8,0))</f>
        <v>0</v>
      </c>
      <c r="E8" s="83">
        <f>IF(E$4&lt;Inputs!$B$8,0,_xlfn.XLOOKUP(Inputs!$B$8,'SS Benefits'!$A$5:$A$8,'SS Benefits'!$E$5:$E$8,0))</f>
        <v>0</v>
      </c>
      <c r="F8" s="83">
        <f>IF(F$4&lt;Inputs!$B$8,0,_xlfn.XLOOKUP(Inputs!$B$8,'SS Benefits'!$A$5:$A$8,'SS Benefits'!$E$5:$E$8,0))</f>
        <v>0</v>
      </c>
      <c r="G8" s="83">
        <f>IF(G$4&lt;Inputs!$B$8,0,_xlfn.XLOOKUP(Inputs!$B$8,'SS Benefits'!$A$5:$A$8,'SS Benefits'!$E$5:$E$8,0))</f>
        <v>0</v>
      </c>
      <c r="H8" s="83">
        <f>IF(H$4&lt;Inputs!$B$8,0,_xlfn.XLOOKUP(Inputs!$B$8,'SS Benefits'!$A$5:$A$8,'SS Benefits'!$E$5:$E$8,0))</f>
        <v>0</v>
      </c>
      <c r="I8" s="83">
        <f>IF(I$4&lt;Inputs!$B$8,0,_xlfn.XLOOKUP(Inputs!$B$8,'SS Benefits'!$A$5:$A$8,'SS Benefits'!$E$5:$E$8,0))</f>
        <v>0</v>
      </c>
      <c r="J8" s="83">
        <f>IF(J$4&lt;Inputs!$B$8,0,_xlfn.XLOOKUP(Inputs!$B$8,'SS Benefits'!$A$5:$A$8,'SS Benefits'!$E$5:$E$8,0))</f>
        <v>0</v>
      </c>
      <c r="K8" s="83">
        <f>IF(K$4&lt;Inputs!$B$8,0,_xlfn.XLOOKUP(Inputs!$B$8,'SS Benefits'!$A$5:$A$8,'SS Benefits'!$E$5:$E$8,0))</f>
        <v>0</v>
      </c>
      <c r="L8" s="83">
        <f>IF(L$4&lt;Inputs!$B$8,0,_xlfn.XLOOKUP(Inputs!$B$8,'SS Benefits'!$A$5:$A$8,'SS Benefits'!$E$5:$E$8,0))</f>
        <v>0</v>
      </c>
      <c r="M8" s="83">
        <f>IF(M$4&lt;Inputs!$B$8,0,_xlfn.XLOOKUP(Inputs!$B$8,'SS Benefits'!$A$5:$A$8,'SS Benefits'!$E$5:$E$8,0))</f>
        <v>0</v>
      </c>
      <c r="N8" s="83">
        <f>IF(N$4&lt;Inputs!$B$8,0,_xlfn.XLOOKUP(Inputs!$B$8,'SS Benefits'!$A$5:$A$8,'SS Benefits'!$E$5:$E$8,0))</f>
        <v>0</v>
      </c>
      <c r="O8" s="83">
        <f>IF(O$4&lt;Inputs!$B$8,0,_xlfn.XLOOKUP(Inputs!$B$8,'SS Benefits'!$A$5:$A$8,'SS Benefits'!$E$5:$E$8,0))</f>
        <v>0</v>
      </c>
      <c r="P8" s="83">
        <f>IF(P$4&lt;Inputs!$B$8,0,_xlfn.XLOOKUP(Inputs!$B$8,'SS Benefits'!$A$5:$A$8,'SS Benefits'!$E$5:$E$8,0))</f>
        <v>0</v>
      </c>
      <c r="Q8" s="83">
        <f>IF(Q$4&lt;Inputs!$B$8,0,_xlfn.XLOOKUP(Inputs!$B$8,'SS Benefits'!$A$5:$A$8,'SS Benefits'!$E$5:$E$8,0))</f>
        <v>0</v>
      </c>
      <c r="R8" s="83">
        <f>IF(R$4&lt;Inputs!$B$8,0,_xlfn.XLOOKUP(Inputs!$B$8,'SS Benefits'!$A$5:$A$8,'SS Benefits'!$E$5:$E$8,0))</f>
        <v>0</v>
      </c>
      <c r="S8" s="83">
        <f>IF(S$4&lt;Inputs!$B$8,0,_xlfn.XLOOKUP(Inputs!$B$8,'SS Benefits'!$A$5:$A$8,'SS Benefits'!$E$5:$E$8,0))</f>
        <v>0</v>
      </c>
      <c r="T8" s="83">
        <f>IF(T$4&lt;Inputs!$B$8,0,_xlfn.XLOOKUP(Inputs!$B$8,'SS Benefits'!$A$5:$A$8,'SS Benefits'!$E$5:$E$8,0))</f>
        <v>0</v>
      </c>
      <c r="U8" s="83">
        <f>IF(U$4&lt;Inputs!$B$8,0,_xlfn.XLOOKUP(Inputs!$B$8,'SS Benefits'!$A$5:$A$8,'SS Benefits'!$E$5:$E$8,0))</f>
        <v>0</v>
      </c>
      <c r="V8" s="83">
        <f>IF(V$4&lt;Inputs!$B$8,0,_xlfn.XLOOKUP(Inputs!$B$8,'SS Benefits'!$A$5:$A$8,'SS Benefits'!$E$5:$E$8,0))</f>
        <v>0</v>
      </c>
      <c r="W8" s="83">
        <f>IF(W$4&lt;Inputs!$B$8,0,_xlfn.XLOOKUP(Inputs!$B$8,'SS Benefits'!$A$5:$A$8,'SS Benefits'!$E$5:$E$8,0))</f>
        <v>0</v>
      </c>
      <c r="X8" s="83">
        <f>IF(X$4&lt;Inputs!$B$8,0,_xlfn.XLOOKUP(Inputs!$B$8,'SS Benefits'!$A$5:$A$8,'SS Benefits'!$E$5:$E$8,0))</f>
        <v>0</v>
      </c>
      <c r="Y8" s="83">
        <f>IF(Y$4&lt;Inputs!$B$8,0,_xlfn.XLOOKUP(Inputs!$B$8,'SS Benefits'!$A$5:$A$8,'SS Benefits'!$E$5:$E$8,0))</f>
        <v>0</v>
      </c>
      <c r="Z8" s="83">
        <f>IF(Z$4&lt;Inputs!$B$8,0,_xlfn.XLOOKUP(Inputs!$B$8,'SS Benefits'!$A$5:$A$8,'SS Benefits'!$E$5:$E$8,0))</f>
        <v>0</v>
      </c>
      <c r="AA8" s="83">
        <f>IF(AA$4&lt;Inputs!$B$8,0,_xlfn.XLOOKUP(Inputs!$B$8,'SS Benefits'!$A$5:$A$8,'SS Benefits'!$E$5:$E$8,0))</f>
        <v>0</v>
      </c>
      <c r="AB8" s="83">
        <f>IF(AB$4&lt;Inputs!$B$8,0,_xlfn.XLOOKUP(Inputs!$B$8,'SS Benefits'!$A$5:$A$8,'SS Benefits'!$E$5:$E$8,0))</f>
        <v>0</v>
      </c>
      <c r="AC8" s="83">
        <f>IF(AC$4&lt;Inputs!$B$8,0,_xlfn.XLOOKUP(Inputs!$B$8,'SS Benefits'!$A$5:$A$8,'SS Benefits'!$E$5:$E$8,0))</f>
        <v>0</v>
      </c>
      <c r="AD8" s="83">
        <f>IF(AD$4&lt;Inputs!$B$8,0,_xlfn.XLOOKUP(Inputs!$B$8,'SS Benefits'!$A$5:$A$8,'SS Benefits'!$E$5:$E$8,0))</f>
        <v>0</v>
      </c>
      <c r="AE8" s="83">
        <f>IF(AE$4&lt;Inputs!$B$8,0,_xlfn.XLOOKUP(Inputs!$B$8,'SS Benefits'!$A$5:$A$8,'SS Benefits'!$E$5:$E$8,0))</f>
        <v>59256</v>
      </c>
      <c r="AF8" s="83">
        <f>IF(AF$4&lt;Inputs!$B$8,0,_xlfn.XLOOKUP(Inputs!$B$8,'SS Benefits'!$A$5:$A$8,'SS Benefits'!$E$5:$E$8,0))</f>
        <v>59256</v>
      </c>
      <c r="AG8" s="83">
        <f>IF(AG$4&lt;Inputs!$B$8,0,_xlfn.XLOOKUP(Inputs!$B$8,'SS Benefits'!$A$5:$A$8,'SS Benefits'!$E$5:$E$8,0))</f>
        <v>59256</v>
      </c>
      <c r="AH8" s="83">
        <f>IF(AH$4&lt;Inputs!$B$8,0,_xlfn.XLOOKUP(Inputs!$B$8,'SS Benefits'!$A$5:$A$8,'SS Benefits'!$E$5:$E$8,0))</f>
        <v>59256</v>
      </c>
      <c r="AI8" s="83">
        <f>IF(AI$4&lt;Inputs!$B$8,0,_xlfn.XLOOKUP(Inputs!$B$8,'SS Benefits'!$A$5:$A$8,'SS Benefits'!$E$5:$E$8,0))</f>
        <v>59256</v>
      </c>
      <c r="AJ8" s="83">
        <f>IF(AJ$4&lt;Inputs!$B$8,0,_xlfn.XLOOKUP(Inputs!$B$8,'SS Benefits'!$A$5:$A$8,'SS Benefits'!$E$5:$E$8,0))</f>
        <v>59256</v>
      </c>
      <c r="AK8" s="83">
        <f>IF(AK$4&lt;Inputs!$B$8,0,_xlfn.XLOOKUP(Inputs!$B$8,'SS Benefits'!$A$5:$A$8,'SS Benefits'!$E$5:$E$8,0))</f>
        <v>59256</v>
      </c>
      <c r="AL8" s="83">
        <f>IF(AL$4&lt;Inputs!$B$8,0,_xlfn.XLOOKUP(Inputs!$B$8,'SS Benefits'!$A$5:$A$8,'SS Benefits'!$E$5:$E$8,0))</f>
        <v>59256</v>
      </c>
      <c r="AM8" s="83">
        <f>IF(AM$4&lt;Inputs!$B$8,0,_xlfn.XLOOKUP(Inputs!$B$8,'SS Benefits'!$A$5:$A$8,'SS Benefits'!$E$5:$E$8,0))</f>
        <v>59256</v>
      </c>
      <c r="AN8" s="83">
        <f>IF(AN$4&lt;Inputs!$B$8,0,_xlfn.XLOOKUP(Inputs!$B$8,'SS Benefits'!$A$5:$A$8,'SS Benefits'!$E$5:$E$8,0))</f>
        <v>59256</v>
      </c>
      <c r="AO8" s="83">
        <f>IF(AO$4&lt;Inputs!$B$8,0,_xlfn.XLOOKUP(Inputs!$B$8,'SS Benefits'!$A$5:$A$8,'SS Benefits'!$E$5:$E$8,0))</f>
        <v>59256</v>
      </c>
      <c r="AP8" s="83">
        <f>IF(AP$4&lt;Inputs!$B$8,0,_xlfn.XLOOKUP(Inputs!$B$8,'SS Benefits'!$A$5:$A$8,'SS Benefits'!$E$5:$E$8,0))</f>
        <v>59256</v>
      </c>
      <c r="AQ8" s="83">
        <f>IF(AQ$4&lt;Inputs!$B$8,0,_xlfn.XLOOKUP(Inputs!$B$8,'SS Benefits'!$A$5:$A$8,'SS Benefits'!$E$5:$E$8,0))</f>
        <v>59256</v>
      </c>
      <c r="AR8" s="83">
        <f>IF(AR$4&lt;Inputs!$B$8,0,_xlfn.XLOOKUP(Inputs!$B$8,'SS Benefits'!$A$5:$A$8,'SS Benefits'!$E$5:$E$8,0))</f>
        <v>59256</v>
      </c>
      <c r="AS8" s="83">
        <f>IF(AS$4&lt;Inputs!$B$8,0,_xlfn.XLOOKUP(Inputs!$B$8,'SS Benefits'!$A$5:$A$8,'SS Benefits'!$E$5:$E$8,0))</f>
        <v>59256</v>
      </c>
      <c r="AT8" s="83">
        <f>IF(AT$4&lt;Inputs!$B$8,0,_xlfn.XLOOKUP(Inputs!$B$8,'SS Benefits'!$A$5:$A$8,'SS Benefits'!$E$5:$E$8,0))</f>
        <v>59256</v>
      </c>
      <c r="AU8" s="83">
        <f>IF(AU$4&lt;Inputs!$B$8,0,_xlfn.XLOOKUP(Inputs!$B$8,'SS Benefits'!$A$5:$A$8,'SS Benefits'!$E$5:$E$8,0))</f>
        <v>59256</v>
      </c>
      <c r="AV8" s="83">
        <f>IF(AV$4&lt;Inputs!$B$8,0,_xlfn.XLOOKUP(Inputs!$B$8,'SS Benefits'!$A$5:$A$8,'SS Benefits'!$E$5:$E$8,0))</f>
        <v>59256</v>
      </c>
      <c r="AW8" s="83">
        <f>IF(AW$4&lt;Inputs!$B$8,0,_xlfn.XLOOKUP(Inputs!$B$8,'SS Benefits'!$A$5:$A$8,'SS Benefits'!$E$5:$E$8,0))</f>
        <v>59256</v>
      </c>
      <c r="AX8" s="83">
        <f>IF(AX$4&lt;Inputs!$B$8,0,_xlfn.XLOOKUP(Inputs!$B$8,'SS Benefits'!$A$5:$A$8,'SS Benefits'!$E$5:$E$8,0))</f>
        <v>59256</v>
      </c>
      <c r="AY8" s="83">
        <f>IF(AY$4&lt;Inputs!$B$8,0,_xlfn.XLOOKUP(Inputs!$B$8,'SS Benefits'!$A$5:$A$8,'SS Benefits'!$E$5:$E$8,0))</f>
        <v>59256</v>
      </c>
      <c r="BA8" s="188" t="s">
        <v>346</v>
      </c>
      <c r="BB8" s="226">
        <v>218000</v>
      </c>
      <c r="BC8" s="188"/>
      <c r="BD8" s="188"/>
    </row>
    <row r="9" spans="1:56" ht="28.8" x14ac:dyDescent="0.55000000000000004">
      <c r="A9" s="149" t="s">
        <v>347</v>
      </c>
      <c r="B9" s="149" t="s">
        <v>348</v>
      </c>
      <c r="C9" s="150" t="s">
        <v>349</v>
      </c>
      <c r="D9" s="84">
        <f>D15</f>
        <v>0</v>
      </c>
      <c r="E9" s="84">
        <f t="shared" ref="E9:AF9" si="2">E15</f>
        <v>0</v>
      </c>
      <c r="F9" s="84">
        <f t="shared" si="2"/>
        <v>0</v>
      </c>
      <c r="G9" s="84">
        <f t="shared" si="2"/>
        <v>0</v>
      </c>
      <c r="H9" s="84">
        <f t="shared" si="2"/>
        <v>0</v>
      </c>
      <c r="I9" s="84">
        <f t="shared" si="2"/>
        <v>0</v>
      </c>
      <c r="J9" s="84">
        <f t="shared" si="2"/>
        <v>0</v>
      </c>
      <c r="K9" s="84">
        <f t="shared" si="2"/>
        <v>0</v>
      </c>
      <c r="L9" s="84">
        <f t="shared" si="2"/>
        <v>0</v>
      </c>
      <c r="M9" s="84">
        <f t="shared" si="2"/>
        <v>0</v>
      </c>
      <c r="N9" s="84">
        <f t="shared" si="2"/>
        <v>0</v>
      </c>
      <c r="O9" s="84">
        <f t="shared" si="2"/>
        <v>0</v>
      </c>
      <c r="P9" s="84">
        <f t="shared" si="2"/>
        <v>0</v>
      </c>
      <c r="Q9" s="84">
        <f t="shared" si="2"/>
        <v>0</v>
      </c>
      <c r="R9" s="84">
        <f t="shared" si="2"/>
        <v>0</v>
      </c>
      <c r="S9" s="84">
        <f t="shared" si="2"/>
        <v>0</v>
      </c>
      <c r="T9" s="84">
        <f t="shared" si="2"/>
        <v>0</v>
      </c>
      <c r="U9" s="84">
        <f t="shared" si="2"/>
        <v>0</v>
      </c>
      <c r="V9" s="84">
        <f t="shared" si="2"/>
        <v>0</v>
      </c>
      <c r="W9" s="84">
        <f t="shared" si="2"/>
        <v>0</v>
      </c>
      <c r="X9" s="84">
        <f t="shared" si="2"/>
        <v>0</v>
      </c>
      <c r="Y9" s="84">
        <f t="shared" si="2"/>
        <v>0</v>
      </c>
      <c r="Z9" s="84">
        <f t="shared" si="2"/>
        <v>0</v>
      </c>
      <c r="AA9" s="84">
        <f t="shared" si="2"/>
        <v>0</v>
      </c>
      <c r="AB9" s="84">
        <f t="shared" si="2"/>
        <v>0</v>
      </c>
      <c r="AC9" s="84">
        <f t="shared" si="2"/>
        <v>0</v>
      </c>
      <c r="AD9" s="84">
        <f t="shared" si="2"/>
        <v>0</v>
      </c>
      <c r="AE9" s="84">
        <f t="shared" si="2"/>
        <v>0</v>
      </c>
      <c r="AF9" s="84">
        <f t="shared" si="2"/>
        <v>0</v>
      </c>
      <c r="AG9" s="84">
        <f t="shared" ref="AG9:AY9" si="3">AG15</f>
        <v>0</v>
      </c>
      <c r="AH9" s="84">
        <f t="shared" si="3"/>
        <v>0</v>
      </c>
      <c r="AI9" s="84">
        <f t="shared" si="3"/>
        <v>0</v>
      </c>
      <c r="AJ9" s="84">
        <f t="shared" si="3"/>
        <v>0</v>
      </c>
      <c r="AK9" s="84">
        <f t="shared" si="3"/>
        <v>0</v>
      </c>
      <c r="AL9" s="84">
        <f t="shared" si="3"/>
        <v>0</v>
      </c>
      <c r="AM9" s="84">
        <f t="shared" si="3"/>
        <v>0</v>
      </c>
      <c r="AN9" s="84">
        <f t="shared" si="3"/>
        <v>0</v>
      </c>
      <c r="AO9" s="84">
        <f t="shared" si="3"/>
        <v>70956.648688994697</v>
      </c>
      <c r="AP9" s="84">
        <f t="shared" si="3"/>
        <v>75076.325844946463</v>
      </c>
      <c r="AQ9" s="84">
        <f t="shared" si="3"/>
        <v>79082.582184794708</v>
      </c>
      <c r="AR9" s="84">
        <f t="shared" si="3"/>
        <v>83662.182625859641</v>
      </c>
      <c r="AS9" s="84">
        <f t="shared" si="3"/>
        <v>88499.522095222128</v>
      </c>
      <c r="AT9" s="84">
        <f t="shared" si="3"/>
        <v>93607.959855768146</v>
      </c>
      <c r="AU9" s="84">
        <f t="shared" si="3"/>
        <v>98491.014256491733</v>
      </c>
      <c r="AV9" s="84">
        <f t="shared" si="3"/>
        <v>104155.57853589211</v>
      </c>
      <c r="AW9" s="84">
        <f t="shared" si="3"/>
        <v>109510.46986174872</v>
      </c>
      <c r="AX9" s="84">
        <f t="shared" si="3"/>
        <v>115781.24795740361</v>
      </c>
      <c r="AY9" s="84">
        <f t="shared" si="3"/>
        <v>121628.20097925252</v>
      </c>
      <c r="BA9" s="188" t="s">
        <v>350</v>
      </c>
      <c r="BB9" s="188">
        <f>RMD!B9</f>
        <v>75</v>
      </c>
      <c r="BC9" s="188"/>
      <c r="BD9" s="188"/>
    </row>
    <row r="10" spans="1:56" x14ac:dyDescent="0.55000000000000004">
      <c r="A10" s="147" t="s">
        <v>335</v>
      </c>
      <c r="B10" s="147" t="s">
        <v>351</v>
      </c>
      <c r="C10" s="148" t="s">
        <v>352</v>
      </c>
      <c r="D10" s="83">
        <v>0</v>
      </c>
      <c r="E10" s="83">
        <v>0</v>
      </c>
      <c r="F10" s="83">
        <v>0</v>
      </c>
      <c r="G10" s="83">
        <v>0</v>
      </c>
      <c r="H10" s="83">
        <v>0</v>
      </c>
      <c r="I10" s="83">
        <v>0</v>
      </c>
      <c r="J10" s="83">
        <v>0</v>
      </c>
      <c r="K10" s="83">
        <v>0</v>
      </c>
      <c r="L10" s="83">
        <v>0</v>
      </c>
      <c r="M10" s="83">
        <v>0</v>
      </c>
      <c r="N10" s="83">
        <v>0</v>
      </c>
      <c r="O10" s="83">
        <v>0</v>
      </c>
      <c r="P10" s="83">
        <v>0</v>
      </c>
      <c r="Q10" s="83">
        <v>0</v>
      </c>
      <c r="R10" s="83">
        <v>0</v>
      </c>
      <c r="S10" s="83">
        <v>0</v>
      </c>
      <c r="T10" s="83">
        <v>0</v>
      </c>
      <c r="U10" s="83">
        <v>0</v>
      </c>
      <c r="V10" s="83">
        <v>0</v>
      </c>
      <c r="W10" s="83">
        <v>0</v>
      </c>
      <c r="X10" s="83">
        <v>0</v>
      </c>
      <c r="Y10" s="83">
        <v>0</v>
      </c>
      <c r="Z10" s="83">
        <v>0</v>
      </c>
      <c r="AA10" s="83">
        <v>35000</v>
      </c>
      <c r="AB10" s="83">
        <v>35000</v>
      </c>
      <c r="AC10" s="83">
        <v>35000</v>
      </c>
      <c r="AD10" s="83">
        <v>25000</v>
      </c>
      <c r="AE10" s="83">
        <v>25000</v>
      </c>
      <c r="AF10" s="83">
        <v>11000</v>
      </c>
      <c r="AG10" s="83">
        <v>0</v>
      </c>
      <c r="AH10" s="83">
        <v>0</v>
      </c>
      <c r="AI10" s="83">
        <v>0</v>
      </c>
      <c r="AJ10" s="83">
        <v>0</v>
      </c>
      <c r="AK10" s="83">
        <v>0</v>
      </c>
      <c r="AL10" s="83">
        <v>0</v>
      </c>
      <c r="AM10" s="83">
        <v>0</v>
      </c>
      <c r="AN10" s="83">
        <v>0</v>
      </c>
      <c r="AO10" s="83">
        <v>0</v>
      </c>
      <c r="AP10" s="83">
        <v>0</v>
      </c>
      <c r="AQ10" s="83">
        <v>0</v>
      </c>
      <c r="AR10" s="83">
        <v>0</v>
      </c>
      <c r="AS10" s="83">
        <v>0</v>
      </c>
      <c r="AT10" s="83">
        <v>0</v>
      </c>
      <c r="AU10" s="83">
        <v>0</v>
      </c>
      <c r="AV10" s="83">
        <v>0</v>
      </c>
      <c r="AW10" s="83">
        <v>0</v>
      </c>
      <c r="AX10" s="83">
        <v>0</v>
      </c>
      <c r="AY10" s="83">
        <v>0</v>
      </c>
      <c r="BA10" s="188" t="s">
        <v>353</v>
      </c>
      <c r="BB10" s="225">
        <f>Tax!B12</f>
        <v>100800</v>
      </c>
      <c r="BC10" s="188"/>
      <c r="BD10" s="188"/>
    </row>
    <row r="11" spans="1:56" x14ac:dyDescent="0.55000000000000004">
      <c r="A11" s="147" t="s">
        <v>335</v>
      </c>
      <c r="B11" s="147" t="s">
        <v>354</v>
      </c>
      <c r="C11" s="148" t="s">
        <v>355</v>
      </c>
      <c r="D11" s="83">
        <v>0</v>
      </c>
      <c r="E11" s="83">
        <v>0</v>
      </c>
      <c r="F11" s="83">
        <v>0</v>
      </c>
      <c r="G11" s="83">
        <v>0</v>
      </c>
      <c r="H11" s="83">
        <v>0</v>
      </c>
      <c r="I11" s="83">
        <v>0</v>
      </c>
      <c r="J11" s="83">
        <v>0</v>
      </c>
      <c r="K11" s="83">
        <v>0</v>
      </c>
      <c r="L11" s="83">
        <v>0</v>
      </c>
      <c r="M11" s="83">
        <v>0</v>
      </c>
      <c r="N11" s="83">
        <v>0</v>
      </c>
      <c r="O11" s="83">
        <v>0</v>
      </c>
      <c r="P11" s="83">
        <v>0</v>
      </c>
      <c r="Q11" s="83">
        <v>0</v>
      </c>
      <c r="R11" s="83">
        <v>0</v>
      </c>
      <c r="S11" s="83">
        <v>0</v>
      </c>
      <c r="T11" s="83">
        <v>0</v>
      </c>
      <c r="U11" s="83">
        <v>0</v>
      </c>
      <c r="V11" s="83">
        <v>0</v>
      </c>
      <c r="W11" s="83">
        <v>0</v>
      </c>
      <c r="X11" s="83">
        <v>0</v>
      </c>
      <c r="Y11" s="83">
        <v>0</v>
      </c>
      <c r="Z11" s="83">
        <v>0</v>
      </c>
      <c r="AA11" s="83">
        <v>0</v>
      </c>
      <c r="AB11" s="83">
        <v>0</v>
      </c>
      <c r="AC11" s="83">
        <v>0</v>
      </c>
      <c r="AD11" s="83">
        <v>0</v>
      </c>
      <c r="AE11" s="83">
        <v>0</v>
      </c>
      <c r="AF11" s="83">
        <v>0</v>
      </c>
      <c r="AG11" s="83">
        <v>0</v>
      </c>
      <c r="AH11" s="83">
        <v>0</v>
      </c>
      <c r="AI11" s="83">
        <v>0</v>
      </c>
      <c r="AJ11" s="83">
        <v>0</v>
      </c>
      <c r="AK11" s="83">
        <v>0</v>
      </c>
      <c r="AL11" s="83">
        <v>0</v>
      </c>
      <c r="AM11" s="83">
        <v>0</v>
      </c>
      <c r="AN11" s="83">
        <v>0</v>
      </c>
      <c r="AO11" s="83">
        <v>0</v>
      </c>
      <c r="AP11" s="83">
        <v>0</v>
      </c>
      <c r="AQ11" s="83">
        <v>0</v>
      </c>
      <c r="AR11" s="83">
        <v>0</v>
      </c>
      <c r="AS11" s="83">
        <v>0</v>
      </c>
      <c r="AT11" s="83">
        <v>0</v>
      </c>
      <c r="AU11" s="83">
        <v>0</v>
      </c>
      <c r="AV11" s="83">
        <v>0</v>
      </c>
      <c r="AW11" s="83">
        <v>0</v>
      </c>
      <c r="AX11" s="83">
        <v>0</v>
      </c>
      <c r="AY11" s="83">
        <v>0</v>
      </c>
      <c r="BA11" s="188" t="s">
        <v>356</v>
      </c>
      <c r="BB11" s="225">
        <f>Tax!B13</f>
        <v>211400</v>
      </c>
      <c r="BC11" s="188"/>
      <c r="BD11" s="188"/>
    </row>
    <row r="12" spans="1:56" x14ac:dyDescent="0.55000000000000004">
      <c r="A12" s="147" t="s">
        <v>335</v>
      </c>
      <c r="B12" s="147" t="s">
        <v>357</v>
      </c>
      <c r="C12" s="148" t="s">
        <v>358</v>
      </c>
      <c r="D12" s="83">
        <v>0</v>
      </c>
      <c r="E12" s="83">
        <v>0</v>
      </c>
      <c r="F12" s="83">
        <v>0</v>
      </c>
      <c r="G12" s="83">
        <v>0</v>
      </c>
      <c r="H12" s="83">
        <v>0</v>
      </c>
      <c r="I12" s="83">
        <v>0</v>
      </c>
      <c r="J12" s="83">
        <v>0</v>
      </c>
      <c r="K12" s="83">
        <v>0</v>
      </c>
      <c r="L12" s="83">
        <v>0</v>
      </c>
      <c r="M12" s="83">
        <v>0</v>
      </c>
      <c r="N12" s="83">
        <v>0</v>
      </c>
      <c r="O12" s="83">
        <v>0</v>
      </c>
      <c r="P12" s="83">
        <v>0</v>
      </c>
      <c r="Q12" s="83">
        <v>0</v>
      </c>
      <c r="R12" s="83">
        <v>0</v>
      </c>
      <c r="S12" s="83">
        <v>0</v>
      </c>
      <c r="T12" s="83">
        <v>0</v>
      </c>
      <c r="U12" s="83">
        <v>0</v>
      </c>
      <c r="V12" s="83">
        <v>0</v>
      </c>
      <c r="W12" s="83">
        <v>0</v>
      </c>
      <c r="X12" s="83">
        <v>0</v>
      </c>
      <c r="Y12" s="83">
        <v>0</v>
      </c>
      <c r="Z12" s="83">
        <v>0</v>
      </c>
      <c r="AA12" s="83">
        <v>0</v>
      </c>
      <c r="AB12" s="83">
        <v>0</v>
      </c>
      <c r="AC12" s="83">
        <v>0</v>
      </c>
      <c r="AD12" s="83">
        <v>0</v>
      </c>
      <c r="AE12" s="83">
        <v>0</v>
      </c>
      <c r="AF12" s="83">
        <v>0</v>
      </c>
      <c r="AG12" s="83">
        <v>0</v>
      </c>
      <c r="AH12" s="83">
        <v>0</v>
      </c>
      <c r="AI12" s="83">
        <v>0</v>
      </c>
      <c r="AJ12" s="83">
        <v>0</v>
      </c>
      <c r="AK12" s="83">
        <v>0</v>
      </c>
      <c r="AL12" s="83">
        <v>0</v>
      </c>
      <c r="AM12" s="83">
        <v>0</v>
      </c>
      <c r="AN12" s="83">
        <v>0</v>
      </c>
      <c r="AO12" s="83">
        <v>0</v>
      </c>
      <c r="AP12" s="83">
        <v>0</v>
      </c>
      <c r="AQ12" s="83">
        <v>0</v>
      </c>
      <c r="AR12" s="83">
        <v>0</v>
      </c>
      <c r="AS12" s="83">
        <v>0</v>
      </c>
      <c r="AT12" s="83">
        <v>0</v>
      </c>
      <c r="AU12" s="83">
        <v>0</v>
      </c>
      <c r="AV12" s="83">
        <v>0</v>
      </c>
      <c r="AW12" s="83">
        <v>0</v>
      </c>
      <c r="AX12" s="83">
        <v>0</v>
      </c>
      <c r="AY12" s="83">
        <v>0</v>
      </c>
      <c r="BA12" s="188" t="s">
        <v>359</v>
      </c>
      <c r="BB12" s="225">
        <f>Tax!B14</f>
        <v>403550</v>
      </c>
      <c r="BC12" s="188"/>
      <c r="BD12" s="188"/>
    </row>
    <row r="13" spans="1:56" x14ac:dyDescent="0.55000000000000004">
      <c r="A13" s="147" t="s">
        <v>335</v>
      </c>
      <c r="B13" s="147" t="s">
        <v>360</v>
      </c>
      <c r="C13" s="148" t="s">
        <v>361</v>
      </c>
      <c r="D13" s="85">
        <v>0</v>
      </c>
      <c r="E13" s="85">
        <v>0</v>
      </c>
      <c r="F13" s="85">
        <v>0</v>
      </c>
      <c r="G13" s="85">
        <v>0</v>
      </c>
      <c r="H13" s="85">
        <v>0</v>
      </c>
      <c r="I13" s="85">
        <v>0</v>
      </c>
      <c r="J13" s="85">
        <v>0</v>
      </c>
      <c r="K13" s="85">
        <v>0</v>
      </c>
      <c r="L13" s="85">
        <v>0</v>
      </c>
      <c r="M13" s="85">
        <v>0</v>
      </c>
      <c r="N13" s="85">
        <v>0</v>
      </c>
      <c r="O13" s="85">
        <v>0</v>
      </c>
      <c r="P13" s="85">
        <v>0</v>
      </c>
      <c r="Q13" s="85">
        <v>0</v>
      </c>
      <c r="R13" s="85">
        <v>0</v>
      </c>
      <c r="S13" s="85">
        <v>0</v>
      </c>
      <c r="T13" s="85">
        <v>0</v>
      </c>
      <c r="U13" s="85">
        <v>0</v>
      </c>
      <c r="V13" s="85">
        <v>0</v>
      </c>
      <c r="W13" s="85">
        <v>0</v>
      </c>
      <c r="X13" s="85">
        <v>0</v>
      </c>
      <c r="Y13" s="85">
        <v>0</v>
      </c>
      <c r="Z13" s="85">
        <v>0</v>
      </c>
      <c r="AA13" s="85">
        <v>0</v>
      </c>
      <c r="AB13" s="85">
        <v>0</v>
      </c>
      <c r="AC13" s="85">
        <v>0</v>
      </c>
      <c r="AD13" s="85">
        <v>0</v>
      </c>
      <c r="AE13" s="85">
        <v>0</v>
      </c>
      <c r="AF13" s="85">
        <v>0</v>
      </c>
      <c r="AG13" s="85">
        <v>0</v>
      </c>
      <c r="AH13" s="85">
        <v>0</v>
      </c>
      <c r="AI13" s="85">
        <v>0</v>
      </c>
      <c r="AJ13" s="85">
        <v>0</v>
      </c>
      <c r="AK13" s="85">
        <v>0</v>
      </c>
      <c r="AL13" s="85">
        <v>0</v>
      </c>
      <c r="AM13" s="85">
        <v>0</v>
      </c>
      <c r="AN13" s="85">
        <v>0</v>
      </c>
      <c r="AO13" s="85">
        <v>0</v>
      </c>
      <c r="AP13" s="85">
        <v>0</v>
      </c>
      <c r="AQ13" s="85">
        <v>0</v>
      </c>
      <c r="AR13" s="85">
        <v>0</v>
      </c>
      <c r="AS13" s="85">
        <v>0</v>
      </c>
      <c r="AT13" s="85">
        <v>0</v>
      </c>
      <c r="AU13" s="85">
        <v>0</v>
      </c>
      <c r="AV13" s="85">
        <v>0</v>
      </c>
      <c r="AW13" s="85">
        <v>0</v>
      </c>
      <c r="AX13" s="85">
        <v>0</v>
      </c>
      <c r="AY13" s="85">
        <v>0</v>
      </c>
      <c r="BA13" s="188" t="s">
        <v>362</v>
      </c>
      <c r="BB13" s="225">
        <f>Tax!B13</f>
        <v>211400</v>
      </c>
      <c r="BC13" s="188"/>
      <c r="BD13" s="188"/>
    </row>
    <row r="14" spans="1:56" ht="29.1" thickBot="1" x14ac:dyDescent="0.6">
      <c r="A14" s="147" t="s">
        <v>335</v>
      </c>
      <c r="B14" s="147" t="s">
        <v>619</v>
      </c>
      <c r="C14" s="148" t="s">
        <v>620</v>
      </c>
      <c r="D14" s="85">
        <v>0</v>
      </c>
      <c r="E14" s="85">
        <v>0</v>
      </c>
      <c r="F14" s="85">
        <v>0</v>
      </c>
      <c r="G14" s="85">
        <v>0</v>
      </c>
      <c r="H14" s="85">
        <v>0</v>
      </c>
      <c r="I14" s="85">
        <v>0</v>
      </c>
      <c r="J14" s="85">
        <v>0</v>
      </c>
      <c r="K14" s="85">
        <v>0</v>
      </c>
      <c r="L14" s="85">
        <v>0</v>
      </c>
      <c r="M14" s="85">
        <v>0</v>
      </c>
      <c r="N14" s="85">
        <v>0</v>
      </c>
      <c r="O14" s="85">
        <v>0</v>
      </c>
      <c r="P14" s="85">
        <v>0</v>
      </c>
      <c r="Q14" s="85">
        <v>0</v>
      </c>
      <c r="R14" s="85">
        <v>0</v>
      </c>
      <c r="S14" s="85">
        <v>0</v>
      </c>
      <c r="T14" s="85">
        <v>0</v>
      </c>
      <c r="U14" s="85">
        <v>0</v>
      </c>
      <c r="V14" s="85">
        <v>0</v>
      </c>
      <c r="W14" s="85">
        <v>0</v>
      </c>
      <c r="X14" s="85">
        <v>0</v>
      </c>
      <c r="Y14" s="85">
        <v>0</v>
      </c>
      <c r="Z14" s="85">
        <v>0</v>
      </c>
      <c r="AA14" s="85">
        <v>0</v>
      </c>
      <c r="AB14" s="85">
        <v>0</v>
      </c>
      <c r="AC14" s="85">
        <v>0</v>
      </c>
      <c r="AD14" s="85">
        <v>0</v>
      </c>
      <c r="AE14" s="85">
        <v>0</v>
      </c>
      <c r="AF14" s="85">
        <v>0</v>
      </c>
      <c r="AG14" s="85">
        <v>0</v>
      </c>
      <c r="AH14" s="85">
        <v>0</v>
      </c>
      <c r="AI14" s="85">
        <v>0</v>
      </c>
      <c r="AJ14" s="85">
        <v>0</v>
      </c>
      <c r="AK14" s="85">
        <v>0</v>
      </c>
      <c r="AL14" s="85">
        <v>0</v>
      </c>
      <c r="AM14" s="85">
        <v>0</v>
      </c>
      <c r="AN14" s="85">
        <v>0</v>
      </c>
      <c r="AO14" s="85">
        <v>0</v>
      </c>
      <c r="AP14" s="85">
        <v>0</v>
      </c>
      <c r="AQ14" s="85">
        <v>0</v>
      </c>
      <c r="AR14" s="85">
        <v>0</v>
      </c>
      <c r="AS14" s="85">
        <v>0</v>
      </c>
      <c r="AT14" s="85">
        <v>0</v>
      </c>
      <c r="AU14" s="85">
        <v>0</v>
      </c>
      <c r="AV14" s="85">
        <v>0</v>
      </c>
      <c r="AW14" s="85">
        <v>0</v>
      </c>
      <c r="AX14" s="85">
        <v>0</v>
      </c>
      <c r="AY14" s="85">
        <v>0</v>
      </c>
      <c r="BA14" s="188" t="s">
        <v>363</v>
      </c>
      <c r="BB14" s="225">
        <f>Tax!B20</f>
        <v>250000</v>
      </c>
      <c r="BC14" s="188"/>
      <c r="BD14" s="188"/>
    </row>
    <row r="15" spans="1:56" ht="29.1" thickTop="1" x14ac:dyDescent="0.55000000000000004">
      <c r="A15" s="151" t="s">
        <v>347</v>
      </c>
      <c r="B15" s="151" t="s">
        <v>364</v>
      </c>
      <c r="C15" s="152" t="s">
        <v>365</v>
      </c>
      <c r="D15" s="86">
        <f>IF(D$4&lt;RMD!$B$9,0,IFERROR($BB$18/_xlfn.XLOOKUP(D$4,RMD!$A$21:$A$69,RMD!$B$21:$B$69),0))</f>
        <v>0</v>
      </c>
      <c r="E15" s="86">
        <f>IF(E$4&lt;RMD!$B$9,0,IFERROR(D37/_xlfn.XLOOKUP(E$4,RMD!$A$21:$A$69,RMD!$B$21:$B$69),0))</f>
        <v>0</v>
      </c>
      <c r="F15" s="86">
        <f>IF(F$4&lt;RMD!$B$9,0,IFERROR(E37/_xlfn.XLOOKUP(F$4,RMD!$A$21:$A$69,RMD!$B$21:$B$69),0))</f>
        <v>0</v>
      </c>
      <c r="G15" s="86">
        <f>IF(G$4&lt;RMD!$B$9,0,IFERROR(F37/_xlfn.XLOOKUP(G$4,RMD!$A$21:$A$69,RMD!$B$21:$B$69),0))</f>
        <v>0</v>
      </c>
      <c r="H15" s="86">
        <f>IF(H$4&lt;RMD!$B$9,0,IFERROR(G37/_xlfn.XLOOKUP(H$4,RMD!$A$21:$A$69,RMD!$B$21:$B$69),0))</f>
        <v>0</v>
      </c>
      <c r="I15" s="86">
        <f>IF(I$4&lt;RMD!$B$9,0,IFERROR(H37/_xlfn.XLOOKUP(I$4,RMD!$A$21:$A$69,RMD!$B$21:$B$69),0))</f>
        <v>0</v>
      </c>
      <c r="J15" s="86">
        <f>IF(J$4&lt;RMD!$B$9,0,IFERROR(I37/_xlfn.XLOOKUP(J$4,RMD!$A$21:$A$69,RMD!$B$21:$B$69),0))</f>
        <v>0</v>
      </c>
      <c r="K15" s="86">
        <f>IF(K$4&lt;RMD!$B$9,0,IFERROR(J37/_xlfn.XLOOKUP(K$4,RMD!$A$21:$A$69,RMD!$B$21:$B$69),0))</f>
        <v>0</v>
      </c>
      <c r="L15" s="86">
        <f>IF(L$4&lt;RMD!$B$9,0,IFERROR(K37/_xlfn.XLOOKUP(L$4,RMD!$A$21:$A$69,RMD!$B$21:$B$69),0))</f>
        <v>0</v>
      </c>
      <c r="M15" s="86">
        <f>IF(M$4&lt;RMD!$B$9,0,IFERROR(L37/_xlfn.XLOOKUP(M$4,RMD!$A$21:$A$69,RMD!$B$21:$B$69),0))</f>
        <v>0</v>
      </c>
      <c r="N15" s="86">
        <f>IF(N$4&lt;RMD!$B$9,0,IFERROR(M37/_xlfn.XLOOKUP(N$4,RMD!$A$21:$A$69,RMD!$B$21:$B$69),0))</f>
        <v>0</v>
      </c>
      <c r="O15" s="86">
        <f>IF(O$4&lt;RMD!$B$9,0,IFERROR(N37/_xlfn.XLOOKUP(O$4,RMD!$A$21:$A$69,RMD!$B$21:$B$69),0))</f>
        <v>0</v>
      </c>
      <c r="P15" s="86">
        <f>IF(P$4&lt;RMD!$B$9,0,IFERROR(O37/_xlfn.XLOOKUP(P$4,RMD!$A$21:$A$69,RMD!$B$21:$B$69),0))</f>
        <v>0</v>
      </c>
      <c r="Q15" s="86">
        <f>IF(Q$4&lt;RMD!$B$9,0,IFERROR(P37/_xlfn.XLOOKUP(Q$4,RMD!$A$21:$A$69,RMD!$B$21:$B$69),0))</f>
        <v>0</v>
      </c>
      <c r="R15" s="86">
        <f>IF(R$4&lt;RMD!$B$9,0,IFERROR(Q37/_xlfn.XLOOKUP(R$4,RMD!$A$21:$A$69,RMD!$B$21:$B$69),0))</f>
        <v>0</v>
      </c>
      <c r="S15" s="86">
        <f>IF(S$4&lt;RMD!$B$9,0,IFERROR(R37/_xlfn.XLOOKUP(S$4,RMD!$A$21:$A$69,RMD!$B$21:$B$69),0))</f>
        <v>0</v>
      </c>
      <c r="T15" s="86">
        <f>IF(T$4&lt;RMD!$B$9,0,IFERROR(S37/_xlfn.XLOOKUP(T$4,RMD!$A$21:$A$69,RMD!$B$21:$B$69),0))</f>
        <v>0</v>
      </c>
      <c r="U15" s="86">
        <f>IF(U$4&lt;RMD!$B$9,0,IFERROR(T37/_xlfn.XLOOKUP(U$4,RMD!$A$21:$A$69,RMD!$B$21:$B$69),0))</f>
        <v>0</v>
      </c>
      <c r="V15" s="86">
        <f>IF(V$4&lt;RMD!$B$9,0,IFERROR(U37/_xlfn.XLOOKUP(V$4,RMD!$A$21:$A$69,RMD!$B$21:$B$69),0))</f>
        <v>0</v>
      </c>
      <c r="W15" s="86">
        <f>IF(W$4&lt;RMD!$B$9,0,IFERROR(V37/_xlfn.XLOOKUP(W$4,RMD!$A$21:$A$69,RMD!$B$21:$B$69),0))</f>
        <v>0</v>
      </c>
      <c r="X15" s="86">
        <f>IF(X$4&lt;RMD!$B$9,0,IFERROR(W37/_xlfn.XLOOKUP(X$4,RMD!$A$21:$A$69,RMD!$B$21:$B$69),0))</f>
        <v>0</v>
      </c>
      <c r="Y15" s="86">
        <f>IF(Y$4&lt;RMD!$B$9,0,IFERROR(X37/_xlfn.XLOOKUP(Y$4,RMD!$A$21:$A$69,RMD!$B$21:$B$69),0))</f>
        <v>0</v>
      </c>
      <c r="Z15" s="86">
        <f>IF(Z$4&lt;RMD!$B$9,0,IFERROR(Y37/_xlfn.XLOOKUP(Z$4,RMD!$A$21:$A$69,RMD!$B$21:$B$69),0))</f>
        <v>0</v>
      </c>
      <c r="AA15" s="86">
        <f>IF(AA$4&lt;RMD!$B$9,0,IFERROR(Z37/_xlfn.XLOOKUP(AA$4,RMD!$A$21:$A$69,RMD!$B$21:$B$69),0))</f>
        <v>0</v>
      </c>
      <c r="AB15" s="86">
        <f>IF(AB$4&lt;RMD!$B$9,0,IFERROR(AA37/_xlfn.XLOOKUP(AB$4,RMD!$A$21:$A$69,RMD!$B$21:$B$69),0))</f>
        <v>0</v>
      </c>
      <c r="AC15" s="86">
        <f>IF(AC$4&lt;RMD!$B$9,0,IFERROR(AB37/_xlfn.XLOOKUP(AC$4,RMD!$A$21:$A$69,RMD!$B$21:$B$69),0))</f>
        <v>0</v>
      </c>
      <c r="AD15" s="86">
        <f>IF(AD$4&lt;RMD!$B$9,0,IFERROR(AC37/_xlfn.XLOOKUP(AD$4,RMD!$A$21:$A$69,RMD!$B$21:$B$69),0))</f>
        <v>0</v>
      </c>
      <c r="AE15" s="86">
        <f>IF(AE$4&lt;RMD!$B$9,0,IFERROR(AD37/_xlfn.XLOOKUP(AE$4,RMD!$A$21:$A$69,RMD!$B$21:$B$69),0))</f>
        <v>0</v>
      </c>
      <c r="AF15" s="86">
        <f>IF(AF$4&lt;RMD!$B$9,0,IFERROR(AE37/_xlfn.XLOOKUP(AF$4,RMD!$A$21:$A$69,RMD!$B$21:$B$69),0))</f>
        <v>0</v>
      </c>
      <c r="AG15" s="86">
        <f>IF(AG$4&lt;RMD!$B$9,0,IFERROR(AF37/_xlfn.XLOOKUP(AG$4,RMD!$A$21:$A$69,RMD!$B$21:$B$69),0))</f>
        <v>0</v>
      </c>
      <c r="AH15" s="86">
        <f>IF(AH$4&lt;RMD!$B$9,0,IFERROR(AG37/_xlfn.XLOOKUP(AH$4,RMD!$A$21:$A$69,RMD!$B$21:$B$69),0))</f>
        <v>0</v>
      </c>
      <c r="AI15" s="86">
        <f>IF(AI$4&lt;RMD!$B$9,0,IFERROR(AH37/_xlfn.XLOOKUP(AI$4,RMD!$A$21:$A$69,RMD!$B$21:$B$69),0))</f>
        <v>0</v>
      </c>
      <c r="AJ15" s="86">
        <f>IF(AJ$4&lt;RMD!$B$9,0,IFERROR(AI37/_xlfn.XLOOKUP(AJ$4,RMD!$A$21:$A$69,RMD!$B$21:$B$69),0))</f>
        <v>0</v>
      </c>
      <c r="AK15" s="86">
        <f>IF(AK$4&lt;RMD!$B$9,0,IFERROR(AJ37/_xlfn.XLOOKUP(AK$4,RMD!$A$21:$A$69,RMD!$B$21:$B$69),0))</f>
        <v>0</v>
      </c>
      <c r="AL15" s="86">
        <f>IF(AL$4&lt;RMD!$B$9,0,IFERROR(AK37/_xlfn.XLOOKUP(AL$4,RMD!$A$21:$A$69,RMD!$B$21:$B$69),0))</f>
        <v>0</v>
      </c>
      <c r="AM15" s="86">
        <f>IF(AM$4&lt;RMD!$B$9,0,IFERROR(AL37/_xlfn.XLOOKUP(AM$4,RMD!$A$21:$A$69,RMD!$B$21:$B$69),0))</f>
        <v>0</v>
      </c>
      <c r="AN15" s="86">
        <f>IF(AN$4&lt;RMD!$B$9,0,IFERROR(AM37/_xlfn.XLOOKUP(AN$4,RMD!$A$21:$A$69,RMD!$B$21:$B$69),0))</f>
        <v>0</v>
      </c>
      <c r="AO15" s="86">
        <f>IF(AO$4&lt;RMD!$B$9,0,IFERROR(AN37/_xlfn.XLOOKUP(AO$4,RMD!$A$21:$A$69,RMD!$B$21:$B$69),0))</f>
        <v>70956.648688994697</v>
      </c>
      <c r="AP15" s="86">
        <f>IF(AP$4&lt;RMD!$B$9,0,IFERROR(AO37/_xlfn.XLOOKUP(AP$4,RMD!$A$21:$A$69,RMD!$B$21:$B$69),0))</f>
        <v>75076.325844946463</v>
      </c>
      <c r="AQ15" s="86">
        <f>IF(AQ$4&lt;RMD!$B$9,0,IFERROR(AP37/_xlfn.XLOOKUP(AQ$4,RMD!$A$21:$A$69,RMD!$B$21:$B$69),0))</f>
        <v>79082.582184794708</v>
      </c>
      <c r="AR15" s="86">
        <f>IF(AR$4&lt;RMD!$B$9,0,IFERROR(AQ37/_xlfn.XLOOKUP(AR$4,RMD!$A$21:$A$69,RMD!$B$21:$B$69),0))</f>
        <v>83662.182625859641</v>
      </c>
      <c r="AS15" s="86">
        <f>IF(AS$4&lt;RMD!$B$9,0,IFERROR(AR37/_xlfn.XLOOKUP(AS$4,RMD!$A$21:$A$69,RMD!$B$21:$B$69),0))</f>
        <v>88499.522095222128</v>
      </c>
      <c r="AT15" s="86">
        <f>IF(AT$4&lt;RMD!$B$9,0,IFERROR(AS37/_xlfn.XLOOKUP(AT$4,RMD!$A$21:$A$69,RMD!$B$21:$B$69),0))</f>
        <v>93607.959855768146</v>
      </c>
      <c r="AU15" s="86">
        <f>IF(AU$4&lt;RMD!$B$9,0,IFERROR(AT37/_xlfn.XLOOKUP(AU$4,RMD!$A$21:$A$69,RMD!$B$21:$B$69),0))</f>
        <v>98491.014256491733</v>
      </c>
      <c r="AV15" s="86">
        <f>IF(AV$4&lt;RMD!$B$9,0,IFERROR(AU37/_xlfn.XLOOKUP(AV$4,RMD!$A$21:$A$69,RMD!$B$21:$B$69),0))</f>
        <v>104155.57853589211</v>
      </c>
      <c r="AW15" s="86">
        <f>IF(AW$4&lt;RMD!$B$9,0,IFERROR(AV37/_xlfn.XLOOKUP(AW$4,RMD!$A$21:$A$69,RMD!$B$21:$B$69),0))</f>
        <v>109510.46986174872</v>
      </c>
      <c r="AX15" s="86">
        <f>IF(AX$4&lt;RMD!$B$9,0,IFERROR(AW37/_xlfn.XLOOKUP(AX$4,RMD!$A$21:$A$69,RMD!$B$21:$B$69),0))</f>
        <v>115781.24795740361</v>
      </c>
      <c r="AY15" s="86">
        <f>IF(AY$4&lt;RMD!$B$9,0,IFERROR(AX37/_xlfn.XLOOKUP(AY$4,RMD!$A$21:$A$69,RMD!$B$21:$B$69),0))</f>
        <v>121628.20097925252</v>
      </c>
      <c r="BA15" s="188" t="s">
        <v>366</v>
      </c>
      <c r="BB15" s="225">
        <f>Tax!B18</f>
        <v>98900</v>
      </c>
      <c r="BC15" s="188"/>
      <c r="BD15" s="188"/>
    </row>
    <row r="16" spans="1:56" x14ac:dyDescent="0.55000000000000004">
      <c r="A16" s="149" t="s">
        <v>347</v>
      </c>
      <c r="B16" s="149" t="s">
        <v>367</v>
      </c>
      <c r="C16" s="150" t="s">
        <v>368</v>
      </c>
      <c r="D16" s="84">
        <f>D50+D6+D7+D15</f>
        <v>186000</v>
      </c>
      <c r="E16" s="84">
        <f t="shared" ref="E16:AF16" si="4">E50+E6+E7+E15</f>
        <v>186000</v>
      </c>
      <c r="F16" s="84">
        <f t="shared" si="4"/>
        <v>186000</v>
      </c>
      <c r="G16" s="84">
        <f t="shared" si="4"/>
        <v>186000</v>
      </c>
      <c r="H16" s="84">
        <f t="shared" si="4"/>
        <v>186000</v>
      </c>
      <c r="I16" s="84">
        <f t="shared" si="4"/>
        <v>186000</v>
      </c>
      <c r="J16" s="84">
        <f t="shared" si="4"/>
        <v>186000</v>
      </c>
      <c r="K16" s="84">
        <f t="shared" si="4"/>
        <v>186000</v>
      </c>
      <c r="L16" s="84">
        <f t="shared" si="4"/>
        <v>186000</v>
      </c>
      <c r="M16" s="84">
        <f t="shared" si="4"/>
        <v>186000</v>
      </c>
      <c r="N16" s="84">
        <f t="shared" si="4"/>
        <v>186000</v>
      </c>
      <c r="O16" s="84">
        <f t="shared" si="4"/>
        <v>186000</v>
      </c>
      <c r="P16" s="84">
        <f t="shared" si="4"/>
        <v>186000</v>
      </c>
      <c r="Q16" s="84">
        <f t="shared" si="4"/>
        <v>186000</v>
      </c>
      <c r="R16" s="84">
        <f t="shared" si="4"/>
        <v>186000</v>
      </c>
      <c r="S16" s="84">
        <f t="shared" si="4"/>
        <v>186000</v>
      </c>
      <c r="T16" s="84">
        <f t="shared" si="4"/>
        <v>186000</v>
      </c>
      <c r="U16" s="84">
        <f t="shared" si="4"/>
        <v>186000</v>
      </c>
      <c r="V16" s="84">
        <f t="shared" si="4"/>
        <v>186000</v>
      </c>
      <c r="W16" s="84">
        <f t="shared" si="4"/>
        <v>186000</v>
      </c>
      <c r="X16" s="84">
        <f t="shared" si="4"/>
        <v>186000</v>
      </c>
      <c r="Y16" s="84">
        <f t="shared" si="4"/>
        <v>186000</v>
      </c>
      <c r="Z16" s="84">
        <f t="shared" si="4"/>
        <v>186000</v>
      </c>
      <c r="AA16" s="84">
        <f t="shared" si="4"/>
        <v>0</v>
      </c>
      <c r="AB16" s="84">
        <f t="shared" si="4"/>
        <v>0</v>
      </c>
      <c r="AC16" s="84">
        <f t="shared" si="4"/>
        <v>0</v>
      </c>
      <c r="AD16" s="84">
        <f t="shared" si="4"/>
        <v>0</v>
      </c>
      <c r="AE16" s="84">
        <f t="shared" si="4"/>
        <v>0</v>
      </c>
      <c r="AF16" s="84">
        <f t="shared" si="4"/>
        <v>0</v>
      </c>
      <c r="AG16" s="84">
        <f t="shared" ref="AG16:AY16" si="5">AG50+AG6+AG7+AG15</f>
        <v>0</v>
      </c>
      <c r="AH16" s="84">
        <f t="shared" si="5"/>
        <v>0</v>
      </c>
      <c r="AI16" s="84">
        <f t="shared" si="5"/>
        <v>0</v>
      </c>
      <c r="AJ16" s="84">
        <f t="shared" si="5"/>
        <v>0</v>
      </c>
      <c r="AK16" s="84">
        <f t="shared" si="5"/>
        <v>0</v>
      </c>
      <c r="AL16" s="84">
        <f t="shared" si="5"/>
        <v>0</v>
      </c>
      <c r="AM16" s="84">
        <f t="shared" si="5"/>
        <v>0</v>
      </c>
      <c r="AN16" s="84">
        <f t="shared" si="5"/>
        <v>0</v>
      </c>
      <c r="AO16" s="84">
        <f t="shared" si="5"/>
        <v>70956.648688994697</v>
      </c>
      <c r="AP16" s="84">
        <f t="shared" si="5"/>
        <v>75076.325844946463</v>
      </c>
      <c r="AQ16" s="84">
        <f t="shared" si="5"/>
        <v>79082.582184794708</v>
      </c>
      <c r="AR16" s="84">
        <f t="shared" si="5"/>
        <v>83662.182625859641</v>
      </c>
      <c r="AS16" s="84">
        <f t="shared" si="5"/>
        <v>88499.522095222128</v>
      </c>
      <c r="AT16" s="84">
        <f t="shared" si="5"/>
        <v>93607.959855768146</v>
      </c>
      <c r="AU16" s="84">
        <f t="shared" si="5"/>
        <v>98491.014256491733</v>
      </c>
      <c r="AV16" s="84">
        <f t="shared" si="5"/>
        <v>104155.57853589211</v>
      </c>
      <c r="AW16" s="84">
        <f t="shared" si="5"/>
        <v>109510.46986174872</v>
      </c>
      <c r="AX16" s="84">
        <f t="shared" si="5"/>
        <v>115781.24795740361</v>
      </c>
      <c r="AY16" s="84">
        <f t="shared" si="5"/>
        <v>121628.20097925252</v>
      </c>
      <c r="BA16" s="188" t="s">
        <v>369</v>
      </c>
      <c r="BB16" s="225">
        <f>Tax!B19</f>
        <v>613700</v>
      </c>
      <c r="BC16" s="188"/>
      <c r="BD16" s="188"/>
    </row>
    <row r="17" spans="1:56" x14ac:dyDescent="0.55000000000000004">
      <c r="A17" s="149" t="s">
        <v>347</v>
      </c>
      <c r="B17" s="149" t="s">
        <v>370</v>
      </c>
      <c r="C17" s="150" t="s">
        <v>371</v>
      </c>
      <c r="D17" s="84">
        <f>D16+D8*0.5</f>
        <v>186000</v>
      </c>
      <c r="E17" s="84">
        <f t="shared" ref="E17:AF17" si="6">E16+E8*0.5</f>
        <v>186000</v>
      </c>
      <c r="F17" s="84">
        <f t="shared" si="6"/>
        <v>186000</v>
      </c>
      <c r="G17" s="84">
        <f t="shared" si="6"/>
        <v>186000</v>
      </c>
      <c r="H17" s="84">
        <f t="shared" si="6"/>
        <v>186000</v>
      </c>
      <c r="I17" s="84">
        <f t="shared" si="6"/>
        <v>186000</v>
      </c>
      <c r="J17" s="84">
        <f t="shared" si="6"/>
        <v>186000</v>
      </c>
      <c r="K17" s="84">
        <f t="shared" si="6"/>
        <v>186000</v>
      </c>
      <c r="L17" s="84">
        <f t="shared" si="6"/>
        <v>186000</v>
      </c>
      <c r="M17" s="84">
        <f t="shared" si="6"/>
        <v>186000</v>
      </c>
      <c r="N17" s="84">
        <f t="shared" si="6"/>
        <v>186000</v>
      </c>
      <c r="O17" s="84">
        <f t="shared" si="6"/>
        <v>186000</v>
      </c>
      <c r="P17" s="84">
        <f t="shared" si="6"/>
        <v>186000</v>
      </c>
      <c r="Q17" s="84">
        <f t="shared" si="6"/>
        <v>186000</v>
      </c>
      <c r="R17" s="84">
        <f t="shared" si="6"/>
        <v>186000</v>
      </c>
      <c r="S17" s="84">
        <f t="shared" si="6"/>
        <v>186000</v>
      </c>
      <c r="T17" s="84">
        <f t="shared" si="6"/>
        <v>186000</v>
      </c>
      <c r="U17" s="84">
        <f t="shared" si="6"/>
        <v>186000</v>
      </c>
      <c r="V17" s="84">
        <f t="shared" si="6"/>
        <v>186000</v>
      </c>
      <c r="W17" s="84">
        <f t="shared" si="6"/>
        <v>186000</v>
      </c>
      <c r="X17" s="84">
        <f t="shared" si="6"/>
        <v>186000</v>
      </c>
      <c r="Y17" s="84">
        <f t="shared" si="6"/>
        <v>186000</v>
      </c>
      <c r="Z17" s="84">
        <f t="shared" si="6"/>
        <v>186000</v>
      </c>
      <c r="AA17" s="84">
        <f t="shared" si="6"/>
        <v>0</v>
      </c>
      <c r="AB17" s="84">
        <f t="shared" si="6"/>
        <v>0</v>
      </c>
      <c r="AC17" s="84">
        <f t="shared" si="6"/>
        <v>0</v>
      </c>
      <c r="AD17" s="84">
        <f t="shared" si="6"/>
        <v>0</v>
      </c>
      <c r="AE17" s="84">
        <f t="shared" si="6"/>
        <v>29628</v>
      </c>
      <c r="AF17" s="84">
        <f t="shared" si="6"/>
        <v>29628</v>
      </c>
      <c r="AG17" s="84">
        <f t="shared" ref="AG17:AY17" si="7">AG16+AG8*0.5</f>
        <v>29628</v>
      </c>
      <c r="AH17" s="84">
        <f t="shared" si="7"/>
        <v>29628</v>
      </c>
      <c r="AI17" s="84">
        <f t="shared" si="7"/>
        <v>29628</v>
      </c>
      <c r="AJ17" s="84">
        <f t="shared" si="7"/>
        <v>29628</v>
      </c>
      <c r="AK17" s="84">
        <f t="shared" si="7"/>
        <v>29628</v>
      </c>
      <c r="AL17" s="84">
        <f t="shared" si="7"/>
        <v>29628</v>
      </c>
      <c r="AM17" s="84">
        <f t="shared" si="7"/>
        <v>29628</v>
      </c>
      <c r="AN17" s="84">
        <f t="shared" si="7"/>
        <v>29628</v>
      </c>
      <c r="AO17" s="84">
        <f t="shared" si="7"/>
        <v>100584.6486889947</v>
      </c>
      <c r="AP17" s="84">
        <f t="shared" si="7"/>
        <v>104704.32584494646</v>
      </c>
      <c r="AQ17" s="84">
        <f t="shared" si="7"/>
        <v>108710.58218479471</v>
      </c>
      <c r="AR17" s="84">
        <f t="shared" si="7"/>
        <v>113290.18262585964</v>
      </c>
      <c r="AS17" s="84">
        <f t="shared" si="7"/>
        <v>118127.52209522213</v>
      </c>
      <c r="AT17" s="84">
        <f t="shared" si="7"/>
        <v>123235.95985576815</v>
      </c>
      <c r="AU17" s="84">
        <f t="shared" si="7"/>
        <v>128119.01425649173</v>
      </c>
      <c r="AV17" s="84">
        <f t="shared" si="7"/>
        <v>133783.57853589213</v>
      </c>
      <c r="AW17" s="84">
        <f t="shared" si="7"/>
        <v>139138.46986174872</v>
      </c>
      <c r="AX17" s="84">
        <f t="shared" si="7"/>
        <v>145409.2479574036</v>
      </c>
      <c r="AY17" s="84">
        <f t="shared" si="7"/>
        <v>151256.20097925252</v>
      </c>
      <c r="BA17" s="188" t="s">
        <v>372</v>
      </c>
      <c r="BB17" s="227">
        <f>'Net Worth'!B13</f>
        <v>10510.529999999999</v>
      </c>
      <c r="BC17" s="188"/>
      <c r="BD17" s="188"/>
    </row>
    <row r="18" spans="1:56" x14ac:dyDescent="0.55000000000000004">
      <c r="A18" s="149" t="s">
        <v>347</v>
      </c>
      <c r="B18" s="149" t="s">
        <v>373</v>
      </c>
      <c r="C18" s="150" t="s">
        <v>374</v>
      </c>
      <c r="D18" s="87">
        <f t="shared" ref="D18:AF18" si="8">IF(AND($BB$38&lt;=0,$BB$39&lt;=0),IF(D8&gt;0,0.85,0),IF(D17&lt;$BB$38,0,IF(D17&lt;$BB$39,0.5,0.85)))</f>
        <v>0.85</v>
      </c>
      <c r="E18" s="87">
        <f t="shared" si="8"/>
        <v>0.85</v>
      </c>
      <c r="F18" s="87">
        <f t="shared" si="8"/>
        <v>0.85</v>
      </c>
      <c r="G18" s="87">
        <f t="shared" si="8"/>
        <v>0.85</v>
      </c>
      <c r="H18" s="87">
        <f t="shared" si="8"/>
        <v>0.85</v>
      </c>
      <c r="I18" s="87">
        <f t="shared" si="8"/>
        <v>0.85</v>
      </c>
      <c r="J18" s="87">
        <f t="shared" si="8"/>
        <v>0.85</v>
      </c>
      <c r="K18" s="87">
        <f t="shared" si="8"/>
        <v>0.85</v>
      </c>
      <c r="L18" s="87">
        <f t="shared" si="8"/>
        <v>0.85</v>
      </c>
      <c r="M18" s="87">
        <f t="shared" si="8"/>
        <v>0.85</v>
      </c>
      <c r="N18" s="87">
        <f t="shared" si="8"/>
        <v>0.85</v>
      </c>
      <c r="O18" s="87">
        <f t="shared" si="8"/>
        <v>0.85</v>
      </c>
      <c r="P18" s="87">
        <f t="shared" si="8"/>
        <v>0.85</v>
      </c>
      <c r="Q18" s="87">
        <f t="shared" si="8"/>
        <v>0.85</v>
      </c>
      <c r="R18" s="87">
        <f t="shared" si="8"/>
        <v>0.85</v>
      </c>
      <c r="S18" s="87">
        <f t="shared" si="8"/>
        <v>0.85</v>
      </c>
      <c r="T18" s="87">
        <f t="shared" si="8"/>
        <v>0.85</v>
      </c>
      <c r="U18" s="87">
        <f t="shared" si="8"/>
        <v>0.85</v>
      </c>
      <c r="V18" s="87">
        <f t="shared" si="8"/>
        <v>0.85</v>
      </c>
      <c r="W18" s="87">
        <f t="shared" si="8"/>
        <v>0.85</v>
      </c>
      <c r="X18" s="87">
        <f t="shared" si="8"/>
        <v>0.85</v>
      </c>
      <c r="Y18" s="87">
        <f t="shared" si="8"/>
        <v>0.85</v>
      </c>
      <c r="Z18" s="87">
        <f t="shared" si="8"/>
        <v>0.85</v>
      </c>
      <c r="AA18" s="87">
        <f t="shared" si="8"/>
        <v>0</v>
      </c>
      <c r="AB18" s="87">
        <f t="shared" si="8"/>
        <v>0</v>
      </c>
      <c r="AC18" s="87">
        <f t="shared" si="8"/>
        <v>0</v>
      </c>
      <c r="AD18" s="87">
        <f t="shared" si="8"/>
        <v>0</v>
      </c>
      <c r="AE18" s="87">
        <f t="shared" si="8"/>
        <v>0</v>
      </c>
      <c r="AF18" s="87">
        <f t="shared" si="8"/>
        <v>0</v>
      </c>
      <c r="AG18" s="87">
        <f t="shared" ref="AG18:AY18" si="9">IF(AND($BB$38&lt;=0,$BB$39&lt;=0),IF(AG8&gt;0,0.85,0),IF(AG17&lt;$BB$38,0,IF(AG17&lt;$BB$39,0.5,0.85)))</f>
        <v>0</v>
      </c>
      <c r="AH18" s="87">
        <f t="shared" si="9"/>
        <v>0</v>
      </c>
      <c r="AI18" s="87">
        <f t="shared" si="9"/>
        <v>0</v>
      </c>
      <c r="AJ18" s="87">
        <f t="shared" si="9"/>
        <v>0</v>
      </c>
      <c r="AK18" s="87">
        <f t="shared" si="9"/>
        <v>0</v>
      </c>
      <c r="AL18" s="87">
        <f t="shared" si="9"/>
        <v>0</v>
      </c>
      <c r="AM18" s="87">
        <f t="shared" si="9"/>
        <v>0</v>
      </c>
      <c r="AN18" s="87">
        <f t="shared" si="9"/>
        <v>0</v>
      </c>
      <c r="AO18" s="87">
        <f t="shared" si="9"/>
        <v>0.85</v>
      </c>
      <c r="AP18" s="87">
        <f t="shared" si="9"/>
        <v>0.85</v>
      </c>
      <c r="AQ18" s="87">
        <f t="shared" si="9"/>
        <v>0.85</v>
      </c>
      <c r="AR18" s="87">
        <f t="shared" si="9"/>
        <v>0.85</v>
      </c>
      <c r="AS18" s="87">
        <f t="shared" si="9"/>
        <v>0.85</v>
      </c>
      <c r="AT18" s="87">
        <f t="shared" si="9"/>
        <v>0.85</v>
      </c>
      <c r="AU18" s="87">
        <f t="shared" si="9"/>
        <v>0.85</v>
      </c>
      <c r="AV18" s="87">
        <f t="shared" si="9"/>
        <v>0.85</v>
      </c>
      <c r="AW18" s="87">
        <f t="shared" si="9"/>
        <v>0.85</v>
      </c>
      <c r="AX18" s="87">
        <f t="shared" si="9"/>
        <v>0.85</v>
      </c>
      <c r="AY18" s="87">
        <f t="shared" si="9"/>
        <v>0.85</v>
      </c>
      <c r="BA18" s="188" t="s">
        <v>375</v>
      </c>
      <c r="BB18" s="227">
        <f>'Net Worth'!B23</f>
        <v>193969.94</v>
      </c>
      <c r="BC18" s="188"/>
      <c r="BD18" s="188"/>
    </row>
    <row r="19" spans="1:56" x14ac:dyDescent="0.55000000000000004">
      <c r="A19" s="149" t="s">
        <v>347</v>
      </c>
      <c r="B19" s="149" t="s">
        <v>376</v>
      </c>
      <c r="C19" s="150" t="s">
        <v>377</v>
      </c>
      <c r="D19" s="84">
        <f t="shared" ref="D19:AF19" si="10">D8*D18</f>
        <v>0</v>
      </c>
      <c r="E19" s="84">
        <f t="shared" si="10"/>
        <v>0</v>
      </c>
      <c r="F19" s="84">
        <f t="shared" si="10"/>
        <v>0</v>
      </c>
      <c r="G19" s="84">
        <f t="shared" si="10"/>
        <v>0</v>
      </c>
      <c r="H19" s="84">
        <f t="shared" si="10"/>
        <v>0</v>
      </c>
      <c r="I19" s="84">
        <f t="shared" si="10"/>
        <v>0</v>
      </c>
      <c r="J19" s="84">
        <f t="shared" si="10"/>
        <v>0</v>
      </c>
      <c r="K19" s="84">
        <f t="shared" si="10"/>
        <v>0</v>
      </c>
      <c r="L19" s="84">
        <f t="shared" si="10"/>
        <v>0</v>
      </c>
      <c r="M19" s="84">
        <f t="shared" si="10"/>
        <v>0</v>
      </c>
      <c r="N19" s="84">
        <f t="shared" si="10"/>
        <v>0</v>
      </c>
      <c r="O19" s="84">
        <f t="shared" si="10"/>
        <v>0</v>
      </c>
      <c r="P19" s="84">
        <f t="shared" si="10"/>
        <v>0</v>
      </c>
      <c r="Q19" s="84">
        <f t="shared" si="10"/>
        <v>0</v>
      </c>
      <c r="R19" s="84">
        <f t="shared" si="10"/>
        <v>0</v>
      </c>
      <c r="S19" s="84">
        <f t="shared" si="10"/>
        <v>0</v>
      </c>
      <c r="T19" s="84">
        <f t="shared" si="10"/>
        <v>0</v>
      </c>
      <c r="U19" s="84">
        <f t="shared" si="10"/>
        <v>0</v>
      </c>
      <c r="V19" s="84">
        <f t="shared" si="10"/>
        <v>0</v>
      </c>
      <c r="W19" s="84">
        <f t="shared" si="10"/>
        <v>0</v>
      </c>
      <c r="X19" s="84">
        <f t="shared" si="10"/>
        <v>0</v>
      </c>
      <c r="Y19" s="84">
        <f t="shared" si="10"/>
        <v>0</v>
      </c>
      <c r="Z19" s="84">
        <f t="shared" si="10"/>
        <v>0</v>
      </c>
      <c r="AA19" s="84">
        <f t="shared" si="10"/>
        <v>0</v>
      </c>
      <c r="AB19" s="84">
        <f t="shared" si="10"/>
        <v>0</v>
      </c>
      <c r="AC19" s="84">
        <f t="shared" si="10"/>
        <v>0</v>
      </c>
      <c r="AD19" s="84">
        <f t="shared" si="10"/>
        <v>0</v>
      </c>
      <c r="AE19" s="84">
        <f t="shared" si="10"/>
        <v>0</v>
      </c>
      <c r="AF19" s="84">
        <f t="shared" si="10"/>
        <v>0</v>
      </c>
      <c r="AG19" s="84">
        <f t="shared" ref="AG19:AY19" si="11">AG8*AG18</f>
        <v>0</v>
      </c>
      <c r="AH19" s="84">
        <f t="shared" si="11"/>
        <v>0</v>
      </c>
      <c r="AI19" s="84">
        <f t="shared" si="11"/>
        <v>0</v>
      </c>
      <c r="AJ19" s="84">
        <f t="shared" si="11"/>
        <v>0</v>
      </c>
      <c r="AK19" s="84">
        <f t="shared" si="11"/>
        <v>0</v>
      </c>
      <c r="AL19" s="84">
        <f t="shared" si="11"/>
        <v>0</v>
      </c>
      <c r="AM19" s="84">
        <f t="shared" si="11"/>
        <v>0</v>
      </c>
      <c r="AN19" s="84">
        <f t="shared" si="11"/>
        <v>0</v>
      </c>
      <c r="AO19" s="84">
        <f t="shared" si="11"/>
        <v>50367.6</v>
      </c>
      <c r="AP19" s="84">
        <f t="shared" si="11"/>
        <v>50367.6</v>
      </c>
      <c r="AQ19" s="84">
        <f t="shared" si="11"/>
        <v>50367.6</v>
      </c>
      <c r="AR19" s="84">
        <f t="shared" si="11"/>
        <v>50367.6</v>
      </c>
      <c r="AS19" s="84">
        <f t="shared" si="11"/>
        <v>50367.6</v>
      </c>
      <c r="AT19" s="84">
        <f t="shared" si="11"/>
        <v>50367.6</v>
      </c>
      <c r="AU19" s="84">
        <f t="shared" si="11"/>
        <v>50367.6</v>
      </c>
      <c r="AV19" s="84">
        <f t="shared" si="11"/>
        <v>50367.6</v>
      </c>
      <c r="AW19" s="84">
        <f t="shared" si="11"/>
        <v>50367.6</v>
      </c>
      <c r="AX19" s="84">
        <f t="shared" si="11"/>
        <v>50367.6</v>
      </c>
      <c r="AY19" s="84">
        <f t="shared" si="11"/>
        <v>50367.6</v>
      </c>
      <c r="BA19" s="188" t="s">
        <v>378</v>
      </c>
      <c r="BB19" s="227">
        <f>'Net Worth'!B29</f>
        <v>2250</v>
      </c>
      <c r="BC19" s="188"/>
      <c r="BD19" s="188"/>
    </row>
    <row r="20" spans="1:56" ht="14.7" thickBot="1" x14ac:dyDescent="0.6">
      <c r="A20" s="149" t="s">
        <v>347</v>
      </c>
      <c r="B20" s="149" t="s">
        <v>379</v>
      </c>
      <c r="C20" s="150" t="s">
        <v>380</v>
      </c>
      <c r="D20" s="84">
        <f t="shared" ref="D20:AF20" si="12">D16+D19</f>
        <v>186000</v>
      </c>
      <c r="E20" s="84">
        <f t="shared" si="12"/>
        <v>186000</v>
      </c>
      <c r="F20" s="84">
        <f t="shared" si="12"/>
        <v>186000</v>
      </c>
      <c r="G20" s="84">
        <f t="shared" si="12"/>
        <v>186000</v>
      </c>
      <c r="H20" s="84">
        <f t="shared" si="12"/>
        <v>186000</v>
      </c>
      <c r="I20" s="84">
        <f t="shared" si="12"/>
        <v>186000</v>
      </c>
      <c r="J20" s="84">
        <f t="shared" si="12"/>
        <v>186000</v>
      </c>
      <c r="K20" s="84">
        <f t="shared" si="12"/>
        <v>186000</v>
      </c>
      <c r="L20" s="84">
        <f t="shared" si="12"/>
        <v>186000</v>
      </c>
      <c r="M20" s="84">
        <f t="shared" si="12"/>
        <v>186000</v>
      </c>
      <c r="N20" s="84">
        <f t="shared" si="12"/>
        <v>186000</v>
      </c>
      <c r="O20" s="84">
        <f t="shared" si="12"/>
        <v>186000</v>
      </c>
      <c r="P20" s="84">
        <f t="shared" si="12"/>
        <v>186000</v>
      </c>
      <c r="Q20" s="84">
        <f t="shared" si="12"/>
        <v>186000</v>
      </c>
      <c r="R20" s="84">
        <f t="shared" si="12"/>
        <v>186000</v>
      </c>
      <c r="S20" s="84">
        <f t="shared" si="12"/>
        <v>186000</v>
      </c>
      <c r="T20" s="84">
        <f t="shared" si="12"/>
        <v>186000</v>
      </c>
      <c r="U20" s="84">
        <f t="shared" si="12"/>
        <v>186000</v>
      </c>
      <c r="V20" s="84">
        <f t="shared" si="12"/>
        <v>186000</v>
      </c>
      <c r="W20" s="84">
        <f t="shared" si="12"/>
        <v>186000</v>
      </c>
      <c r="X20" s="84">
        <f t="shared" si="12"/>
        <v>186000</v>
      </c>
      <c r="Y20" s="84">
        <f t="shared" si="12"/>
        <v>186000</v>
      </c>
      <c r="Z20" s="84">
        <f t="shared" si="12"/>
        <v>186000</v>
      </c>
      <c r="AA20" s="84">
        <f t="shared" si="12"/>
        <v>0</v>
      </c>
      <c r="AB20" s="84">
        <f t="shared" si="12"/>
        <v>0</v>
      </c>
      <c r="AC20" s="84">
        <f t="shared" si="12"/>
        <v>0</v>
      </c>
      <c r="AD20" s="84">
        <f t="shared" si="12"/>
        <v>0</v>
      </c>
      <c r="AE20" s="84">
        <f t="shared" si="12"/>
        <v>0</v>
      </c>
      <c r="AF20" s="84">
        <f t="shared" si="12"/>
        <v>0</v>
      </c>
      <c r="AG20" s="84">
        <f t="shared" ref="AG20:AY20" si="13">AG16+AG19</f>
        <v>0</v>
      </c>
      <c r="AH20" s="84">
        <f t="shared" si="13"/>
        <v>0</v>
      </c>
      <c r="AI20" s="84">
        <f t="shared" si="13"/>
        <v>0</v>
      </c>
      <c r="AJ20" s="84">
        <f t="shared" si="13"/>
        <v>0</v>
      </c>
      <c r="AK20" s="84">
        <f t="shared" si="13"/>
        <v>0</v>
      </c>
      <c r="AL20" s="84">
        <f t="shared" si="13"/>
        <v>0</v>
      </c>
      <c r="AM20" s="84">
        <f t="shared" si="13"/>
        <v>0</v>
      </c>
      <c r="AN20" s="84">
        <f t="shared" si="13"/>
        <v>0</v>
      </c>
      <c r="AO20" s="84">
        <f t="shared" si="13"/>
        <v>121324.2486889947</v>
      </c>
      <c r="AP20" s="84">
        <f t="shared" si="13"/>
        <v>125443.92584494647</v>
      </c>
      <c r="AQ20" s="84">
        <f t="shared" si="13"/>
        <v>129450.18218479471</v>
      </c>
      <c r="AR20" s="84">
        <f t="shared" si="13"/>
        <v>134029.78262585963</v>
      </c>
      <c r="AS20" s="84">
        <f t="shared" si="13"/>
        <v>138867.12209522212</v>
      </c>
      <c r="AT20" s="84">
        <f t="shared" si="13"/>
        <v>143975.55985576814</v>
      </c>
      <c r="AU20" s="84">
        <f t="shared" si="13"/>
        <v>148858.61425649174</v>
      </c>
      <c r="AV20" s="84">
        <f t="shared" si="13"/>
        <v>154523.1785358921</v>
      </c>
      <c r="AW20" s="84">
        <f t="shared" si="13"/>
        <v>159878.06986174872</v>
      </c>
      <c r="AX20" s="84">
        <f t="shared" si="13"/>
        <v>166148.8479574036</v>
      </c>
      <c r="AY20" s="84">
        <f t="shared" si="13"/>
        <v>171995.80097925253</v>
      </c>
      <c r="BA20" s="188" t="s">
        <v>381</v>
      </c>
      <c r="BB20" s="226">
        <v>165540</v>
      </c>
      <c r="BC20" s="188"/>
      <c r="BD20" s="188"/>
    </row>
    <row r="21" spans="1:56" ht="15" thickTop="1" thickBot="1" x14ac:dyDescent="0.6">
      <c r="A21" s="153" t="s">
        <v>382</v>
      </c>
      <c r="B21" s="153" t="s">
        <v>383</v>
      </c>
      <c r="C21" s="154" t="s">
        <v>384</v>
      </c>
      <c r="D21" s="88">
        <f t="shared" ref="D21:AF21" si="14">D10+D11</f>
        <v>0</v>
      </c>
      <c r="E21" s="88">
        <f t="shared" si="14"/>
        <v>0</v>
      </c>
      <c r="F21" s="88">
        <f t="shared" si="14"/>
        <v>0</v>
      </c>
      <c r="G21" s="88">
        <f t="shared" si="14"/>
        <v>0</v>
      </c>
      <c r="H21" s="88">
        <f t="shared" si="14"/>
        <v>0</v>
      </c>
      <c r="I21" s="88">
        <f t="shared" si="14"/>
        <v>0</v>
      </c>
      <c r="J21" s="88">
        <f t="shared" si="14"/>
        <v>0</v>
      </c>
      <c r="K21" s="88">
        <f t="shared" si="14"/>
        <v>0</v>
      </c>
      <c r="L21" s="88">
        <f t="shared" si="14"/>
        <v>0</v>
      </c>
      <c r="M21" s="88">
        <f t="shared" si="14"/>
        <v>0</v>
      </c>
      <c r="N21" s="88">
        <f t="shared" si="14"/>
        <v>0</v>
      </c>
      <c r="O21" s="88">
        <f t="shared" si="14"/>
        <v>0</v>
      </c>
      <c r="P21" s="88">
        <f t="shared" si="14"/>
        <v>0</v>
      </c>
      <c r="Q21" s="88">
        <f t="shared" si="14"/>
        <v>0</v>
      </c>
      <c r="R21" s="88">
        <f t="shared" si="14"/>
        <v>0</v>
      </c>
      <c r="S21" s="88">
        <f t="shared" si="14"/>
        <v>0</v>
      </c>
      <c r="T21" s="88">
        <f t="shared" si="14"/>
        <v>0</v>
      </c>
      <c r="U21" s="88">
        <f t="shared" si="14"/>
        <v>0</v>
      </c>
      <c r="V21" s="88">
        <f t="shared" si="14"/>
        <v>0</v>
      </c>
      <c r="W21" s="88">
        <f t="shared" si="14"/>
        <v>0</v>
      </c>
      <c r="X21" s="88">
        <f t="shared" si="14"/>
        <v>0</v>
      </c>
      <c r="Y21" s="88">
        <f t="shared" si="14"/>
        <v>0</v>
      </c>
      <c r="Z21" s="88">
        <f t="shared" si="14"/>
        <v>0</v>
      </c>
      <c r="AA21" s="88">
        <f t="shared" si="14"/>
        <v>35000</v>
      </c>
      <c r="AB21" s="88">
        <f t="shared" si="14"/>
        <v>35000</v>
      </c>
      <c r="AC21" s="88">
        <f t="shared" si="14"/>
        <v>35000</v>
      </c>
      <c r="AD21" s="88">
        <f t="shared" si="14"/>
        <v>25000</v>
      </c>
      <c r="AE21" s="88">
        <f t="shared" si="14"/>
        <v>25000</v>
      </c>
      <c r="AF21" s="88">
        <f t="shared" si="14"/>
        <v>11000</v>
      </c>
      <c r="AG21" s="88">
        <f t="shared" ref="AG21:AY21" si="15">AG10+AG11</f>
        <v>0</v>
      </c>
      <c r="AH21" s="88">
        <f t="shared" si="15"/>
        <v>0</v>
      </c>
      <c r="AI21" s="88">
        <f t="shared" si="15"/>
        <v>0</v>
      </c>
      <c r="AJ21" s="88">
        <f t="shared" si="15"/>
        <v>0</v>
      </c>
      <c r="AK21" s="88">
        <f t="shared" si="15"/>
        <v>0</v>
      </c>
      <c r="AL21" s="88">
        <f t="shared" si="15"/>
        <v>0</v>
      </c>
      <c r="AM21" s="88">
        <f t="shared" si="15"/>
        <v>0</v>
      </c>
      <c r="AN21" s="88">
        <f t="shared" si="15"/>
        <v>0</v>
      </c>
      <c r="AO21" s="88">
        <f t="shared" si="15"/>
        <v>0</v>
      </c>
      <c r="AP21" s="88">
        <f t="shared" si="15"/>
        <v>0</v>
      </c>
      <c r="AQ21" s="88">
        <f t="shared" si="15"/>
        <v>0</v>
      </c>
      <c r="AR21" s="88">
        <f t="shared" si="15"/>
        <v>0</v>
      </c>
      <c r="AS21" s="88">
        <f t="shared" si="15"/>
        <v>0</v>
      </c>
      <c r="AT21" s="88">
        <f t="shared" si="15"/>
        <v>0</v>
      </c>
      <c r="AU21" s="88">
        <f t="shared" si="15"/>
        <v>0</v>
      </c>
      <c r="AV21" s="88">
        <f t="shared" si="15"/>
        <v>0</v>
      </c>
      <c r="AW21" s="88">
        <f t="shared" si="15"/>
        <v>0</v>
      </c>
      <c r="AX21" s="88">
        <f t="shared" si="15"/>
        <v>0</v>
      </c>
      <c r="AY21" s="88">
        <f t="shared" si="15"/>
        <v>0</v>
      </c>
      <c r="BA21" s="228" t="s">
        <v>385</v>
      </c>
      <c r="BB21" s="229"/>
      <c r="BC21" s="188"/>
      <c r="BD21" s="188" t="s">
        <v>386</v>
      </c>
    </row>
    <row r="22" spans="1:56" ht="14.7" thickTop="1" x14ac:dyDescent="0.55000000000000004">
      <c r="A22" s="155" t="s">
        <v>387</v>
      </c>
      <c r="B22" s="155" t="s">
        <v>388</v>
      </c>
      <c r="C22" s="156" t="s">
        <v>389</v>
      </c>
      <c r="D22" s="89">
        <f t="shared" ref="D22:AF22" si="16">_xlfn.LET(_xlpm.Ordinary,D20,_xlpm.LTCG,D21,_xlpm.StdDed,$BB$7,_xlpm.TaxableOrd,MAX(0,_xlpm.Ordinary-_xlpm.StdDed),_xlpm.OrdTax,MAX(0,MIN(_xlpm.TaxableOrd,$BB$35))*0.1+MAX(0,MIN(_xlpm.TaxableOrd,$BB$10)-$BB$35)*0.12+MAX(0,MIN(_xlpm.TaxableOrd,$BB$11)-$BB$10)*0.22+MAX(0,MIN(_xlpm.TaxableOrd,$BB$12)-$BB$11)*0.24+MAX(0,MIN(_xlpm.TaxableOrd,$BB$36)-$BB$12)*0.32+MAX(0,MIN(_xlpm.TaxableOrd,$BB$37)-$BB$36)*0.35+MAX(0,_xlpm.TaxableOrd-$BB$37)*0.37,_xlpm.lo,_xlpm.TaxableOrd,_xlpm.hi,_xlpm.TaxableOrd+_xlpm.LTCG,_xlpm.CGTax,MAX(0,MIN(_xlpm.hi,$BB$15)-_xlpm.lo)*0+MAX(0,MIN(_xlpm.hi,$BB$16)-MAX(_xlpm.lo,$BB$15))*0.15+MAX(0,_xlpm.hi-MAX(_xlpm.lo,$BB$16))*0.2,_xlpm.NIIT,MAX(0,(_xlpm.Ordinary+_xlpm.LTCG-$BB$14))*0.038,_xlpm.OrdTax+_xlpm.CGTax+_xlpm.NIIT)</f>
        <v>23260</v>
      </c>
      <c r="E22" s="89">
        <f t="shared" si="16"/>
        <v>23260</v>
      </c>
      <c r="F22" s="89">
        <f t="shared" si="16"/>
        <v>23260</v>
      </c>
      <c r="G22" s="89">
        <f t="shared" si="16"/>
        <v>23260</v>
      </c>
      <c r="H22" s="89">
        <f t="shared" si="16"/>
        <v>23260</v>
      </c>
      <c r="I22" s="89">
        <f t="shared" si="16"/>
        <v>23260</v>
      </c>
      <c r="J22" s="89">
        <f t="shared" si="16"/>
        <v>23260</v>
      </c>
      <c r="K22" s="89">
        <f t="shared" si="16"/>
        <v>23260</v>
      </c>
      <c r="L22" s="89">
        <f t="shared" si="16"/>
        <v>23260</v>
      </c>
      <c r="M22" s="89">
        <f t="shared" si="16"/>
        <v>23260</v>
      </c>
      <c r="N22" s="89">
        <f t="shared" si="16"/>
        <v>23260</v>
      </c>
      <c r="O22" s="89">
        <f t="shared" si="16"/>
        <v>23260</v>
      </c>
      <c r="P22" s="89">
        <f t="shared" si="16"/>
        <v>23260</v>
      </c>
      <c r="Q22" s="89">
        <f t="shared" si="16"/>
        <v>23260</v>
      </c>
      <c r="R22" s="89">
        <f t="shared" si="16"/>
        <v>23260</v>
      </c>
      <c r="S22" s="89">
        <f t="shared" si="16"/>
        <v>23260</v>
      </c>
      <c r="T22" s="89">
        <f t="shared" si="16"/>
        <v>23260</v>
      </c>
      <c r="U22" s="89">
        <f t="shared" si="16"/>
        <v>23260</v>
      </c>
      <c r="V22" s="89">
        <f t="shared" si="16"/>
        <v>23260</v>
      </c>
      <c r="W22" s="89">
        <f t="shared" si="16"/>
        <v>23260</v>
      </c>
      <c r="X22" s="89">
        <f t="shared" si="16"/>
        <v>23260</v>
      </c>
      <c r="Y22" s="89">
        <f t="shared" si="16"/>
        <v>23260</v>
      </c>
      <c r="Z22" s="89">
        <f t="shared" si="16"/>
        <v>23260</v>
      </c>
      <c r="AA22" s="89">
        <f t="shared" si="16"/>
        <v>0</v>
      </c>
      <c r="AB22" s="89">
        <f t="shared" si="16"/>
        <v>0</v>
      </c>
      <c r="AC22" s="89">
        <f t="shared" si="16"/>
        <v>0</v>
      </c>
      <c r="AD22" s="89">
        <f t="shared" si="16"/>
        <v>0</v>
      </c>
      <c r="AE22" s="89">
        <f t="shared" si="16"/>
        <v>0</v>
      </c>
      <c r="AF22" s="89">
        <f t="shared" si="16"/>
        <v>0</v>
      </c>
      <c r="AG22" s="89">
        <f t="shared" ref="AG22:AY22" si="17">_xlfn.LET(_xlpm.Ordinary,AG20,_xlpm.LTCG,AG21,_xlpm.StdDed,$BB$7,_xlpm.TaxableOrd,MAX(0,_xlpm.Ordinary-_xlpm.StdDed),_xlpm.OrdTax,MAX(0,MIN(_xlpm.TaxableOrd,$BB$35))*0.1+MAX(0,MIN(_xlpm.TaxableOrd,$BB$10)-$BB$35)*0.12+MAX(0,MIN(_xlpm.TaxableOrd,$BB$11)-$BB$10)*0.22+MAX(0,MIN(_xlpm.TaxableOrd,$BB$12)-$BB$11)*0.24+MAX(0,MIN(_xlpm.TaxableOrd,$BB$36)-$BB$12)*0.32+MAX(0,MIN(_xlpm.TaxableOrd,$BB$37)-$BB$36)*0.35+MAX(0,_xlpm.TaxableOrd-$BB$37)*0.37,_xlpm.lo,_xlpm.TaxableOrd,_xlpm.hi,_xlpm.TaxableOrd+_xlpm.LTCG,_xlpm.CGTax,MAX(0,MIN(_xlpm.hi,$BB$15)-_xlpm.lo)*0+MAX(0,MIN(_xlpm.hi,$BB$16)-MAX(_xlpm.lo,$BB$15))*0.15+MAX(0,_xlpm.hi-MAX(_xlpm.lo,$BB$16))*0.2,_xlpm.NIIT,MAX(0,(_xlpm.Ordinary+_xlpm.LTCG-$BB$14))*0.038,_xlpm.OrdTax+_xlpm.CGTax+_xlpm.NIIT)</f>
        <v>0</v>
      </c>
      <c r="AH22" s="89">
        <f t="shared" si="17"/>
        <v>0</v>
      </c>
      <c r="AI22" s="89">
        <f t="shared" si="17"/>
        <v>0</v>
      </c>
      <c r="AJ22" s="89">
        <f t="shared" si="17"/>
        <v>0</v>
      </c>
      <c r="AK22" s="89">
        <f t="shared" si="17"/>
        <v>0</v>
      </c>
      <c r="AL22" s="89">
        <f t="shared" si="17"/>
        <v>0</v>
      </c>
      <c r="AM22" s="89">
        <f t="shared" si="17"/>
        <v>0</v>
      </c>
      <c r="AN22" s="89">
        <f t="shared" si="17"/>
        <v>0</v>
      </c>
      <c r="AO22" s="89">
        <f t="shared" si="17"/>
        <v>10198.909842679364</v>
      </c>
      <c r="AP22" s="89">
        <f t="shared" si="17"/>
        <v>10693.271101393577</v>
      </c>
      <c r="AQ22" s="89">
        <f t="shared" si="17"/>
        <v>11174.021862175365</v>
      </c>
      <c r="AR22" s="89">
        <f t="shared" si="17"/>
        <v>11826.552177689118</v>
      </c>
      <c r="AS22" s="89">
        <f t="shared" si="17"/>
        <v>12890.766860948866</v>
      </c>
      <c r="AT22" s="89">
        <f t="shared" si="17"/>
        <v>14014.62316826899</v>
      </c>
      <c r="AU22" s="89">
        <f t="shared" si="17"/>
        <v>15088.895136428182</v>
      </c>
      <c r="AV22" s="89">
        <f t="shared" si="17"/>
        <v>16335.099277896263</v>
      </c>
      <c r="AW22" s="89">
        <f t="shared" si="17"/>
        <v>17513.175369584718</v>
      </c>
      <c r="AX22" s="89">
        <f t="shared" si="17"/>
        <v>18892.746550628792</v>
      </c>
      <c r="AY22" s="89">
        <f t="shared" si="17"/>
        <v>20179.076215435554</v>
      </c>
      <c r="BA22" s="230" t="s">
        <v>390</v>
      </c>
      <c r="BB22" s="231" t="s">
        <v>386</v>
      </c>
      <c r="BC22" s="188"/>
      <c r="BD22" s="188" t="s">
        <v>391</v>
      </c>
    </row>
    <row r="23" spans="1:56" ht="14.7" thickBot="1" x14ac:dyDescent="0.6">
      <c r="A23" s="157" t="s">
        <v>387</v>
      </c>
      <c r="B23" s="157" t="s">
        <v>392</v>
      </c>
      <c r="C23" s="158" t="s">
        <v>393</v>
      </c>
      <c r="D23" s="90">
        <f t="shared" ref="D23:AF23" si="18">IFERROR(D22/MAX(1,D16+D8+D21+D12),0)</f>
        <v>0.12505376344086022</v>
      </c>
      <c r="E23" s="90">
        <f t="shared" si="18"/>
        <v>0.12505376344086022</v>
      </c>
      <c r="F23" s="90">
        <f t="shared" si="18"/>
        <v>0.12505376344086022</v>
      </c>
      <c r="G23" s="90">
        <f t="shared" si="18"/>
        <v>0.12505376344086022</v>
      </c>
      <c r="H23" s="90">
        <f t="shared" si="18"/>
        <v>0.12505376344086022</v>
      </c>
      <c r="I23" s="90">
        <f t="shared" si="18"/>
        <v>0.12505376344086022</v>
      </c>
      <c r="J23" s="90">
        <f t="shared" si="18"/>
        <v>0.12505376344086022</v>
      </c>
      <c r="K23" s="90">
        <f t="shared" si="18"/>
        <v>0.12505376344086022</v>
      </c>
      <c r="L23" s="90">
        <f t="shared" si="18"/>
        <v>0.12505376344086022</v>
      </c>
      <c r="M23" s="90">
        <f t="shared" si="18"/>
        <v>0.12505376344086022</v>
      </c>
      <c r="N23" s="90">
        <f t="shared" si="18"/>
        <v>0.12505376344086022</v>
      </c>
      <c r="O23" s="90">
        <f t="shared" si="18"/>
        <v>0.12505376344086022</v>
      </c>
      <c r="P23" s="90">
        <f t="shared" si="18"/>
        <v>0.12505376344086022</v>
      </c>
      <c r="Q23" s="90">
        <f t="shared" si="18"/>
        <v>0.12505376344086022</v>
      </c>
      <c r="R23" s="90">
        <f t="shared" si="18"/>
        <v>0.12505376344086022</v>
      </c>
      <c r="S23" s="90">
        <f t="shared" si="18"/>
        <v>0.12505376344086022</v>
      </c>
      <c r="T23" s="90">
        <f t="shared" si="18"/>
        <v>0.12505376344086022</v>
      </c>
      <c r="U23" s="90">
        <f t="shared" si="18"/>
        <v>0.12505376344086022</v>
      </c>
      <c r="V23" s="90">
        <f t="shared" si="18"/>
        <v>0.12505376344086022</v>
      </c>
      <c r="W23" s="90">
        <f t="shared" si="18"/>
        <v>0.12505376344086022</v>
      </c>
      <c r="X23" s="90">
        <f t="shared" si="18"/>
        <v>0.12505376344086022</v>
      </c>
      <c r="Y23" s="90">
        <f t="shared" si="18"/>
        <v>0.12505376344086022</v>
      </c>
      <c r="Z23" s="90">
        <f t="shared" si="18"/>
        <v>0.12505376344086022</v>
      </c>
      <c r="AA23" s="90">
        <f t="shared" si="18"/>
        <v>0</v>
      </c>
      <c r="AB23" s="90">
        <f t="shared" si="18"/>
        <v>0</v>
      </c>
      <c r="AC23" s="90">
        <f t="shared" si="18"/>
        <v>0</v>
      </c>
      <c r="AD23" s="90">
        <f t="shared" si="18"/>
        <v>0</v>
      </c>
      <c r="AE23" s="90">
        <f t="shared" si="18"/>
        <v>0</v>
      </c>
      <c r="AF23" s="90">
        <f t="shared" si="18"/>
        <v>0</v>
      </c>
      <c r="AG23" s="90">
        <f t="shared" ref="AG23:AY23" si="19">IFERROR(AG22/MAX(1,AG16+AG8+AG21+AG12),0)</f>
        <v>0</v>
      </c>
      <c r="AH23" s="90">
        <f t="shared" si="19"/>
        <v>0</v>
      </c>
      <c r="AI23" s="90">
        <f t="shared" si="19"/>
        <v>0</v>
      </c>
      <c r="AJ23" s="90">
        <f t="shared" si="19"/>
        <v>0</v>
      </c>
      <c r="AK23" s="90">
        <f t="shared" si="19"/>
        <v>0</v>
      </c>
      <c r="AL23" s="90">
        <f t="shared" si="19"/>
        <v>0</v>
      </c>
      <c r="AM23" s="90">
        <f t="shared" si="19"/>
        <v>0</v>
      </c>
      <c r="AN23" s="90">
        <f t="shared" si="19"/>
        <v>0</v>
      </c>
      <c r="AO23" s="90">
        <f t="shared" si="19"/>
        <v>7.8325031748942189E-2</v>
      </c>
      <c r="AP23" s="90">
        <f t="shared" si="19"/>
        <v>7.9603111418887526E-2</v>
      </c>
      <c r="AQ23" s="90">
        <f t="shared" si="19"/>
        <v>8.0772996843707298E-2</v>
      </c>
      <c r="AR23" s="90">
        <f t="shared" si="19"/>
        <v>8.2750507740847953E-2</v>
      </c>
      <c r="AS23" s="90">
        <f t="shared" si="19"/>
        <v>8.7243892330746975E-2</v>
      </c>
      <c r="AT23" s="90">
        <f t="shared" si="19"/>
        <v>9.168036194726488E-2</v>
      </c>
      <c r="AU23" s="90">
        <f t="shared" si="19"/>
        <v>9.5652492743185033E-2</v>
      </c>
      <c r="AV23" s="90">
        <f t="shared" si="19"/>
        <v>9.9962924440561485E-2</v>
      </c>
      <c r="AW23" s="90">
        <f t="shared" si="19"/>
        <v>0.1037716519396968</v>
      </c>
      <c r="AX23" s="90">
        <f t="shared" si="19"/>
        <v>0.10793557811892963</v>
      </c>
      <c r="AY23" s="90">
        <f t="shared" si="19"/>
        <v>0.11155798077550234</v>
      </c>
      <c r="BA23" s="232" t="s">
        <v>394</v>
      </c>
      <c r="BB23" s="233" t="s">
        <v>395</v>
      </c>
      <c r="BC23" s="188"/>
      <c r="BD23" s="188" t="s">
        <v>396</v>
      </c>
    </row>
    <row r="24" spans="1:56" ht="14.7" thickTop="1" x14ac:dyDescent="0.55000000000000004">
      <c r="A24" s="155" t="s">
        <v>397</v>
      </c>
      <c r="B24" s="155" t="s">
        <v>398</v>
      </c>
      <c r="C24" s="156" t="s">
        <v>399</v>
      </c>
      <c r="D24" s="91">
        <f t="shared" ref="D24:AF24" si="20">D16+D8+D21</f>
        <v>186000</v>
      </c>
      <c r="E24" s="91">
        <f t="shared" si="20"/>
        <v>186000</v>
      </c>
      <c r="F24" s="91">
        <f t="shared" si="20"/>
        <v>186000</v>
      </c>
      <c r="G24" s="91">
        <f t="shared" si="20"/>
        <v>186000</v>
      </c>
      <c r="H24" s="91">
        <f t="shared" si="20"/>
        <v>186000</v>
      </c>
      <c r="I24" s="91">
        <f t="shared" si="20"/>
        <v>186000</v>
      </c>
      <c r="J24" s="91">
        <f t="shared" si="20"/>
        <v>186000</v>
      </c>
      <c r="K24" s="91">
        <f t="shared" si="20"/>
        <v>186000</v>
      </c>
      <c r="L24" s="91">
        <f t="shared" si="20"/>
        <v>186000</v>
      </c>
      <c r="M24" s="91">
        <f t="shared" si="20"/>
        <v>186000</v>
      </c>
      <c r="N24" s="91">
        <f t="shared" si="20"/>
        <v>186000</v>
      </c>
      <c r="O24" s="91">
        <f t="shared" si="20"/>
        <v>186000</v>
      </c>
      <c r="P24" s="91">
        <f t="shared" si="20"/>
        <v>186000</v>
      </c>
      <c r="Q24" s="91">
        <f t="shared" si="20"/>
        <v>186000</v>
      </c>
      <c r="R24" s="91">
        <f t="shared" si="20"/>
        <v>186000</v>
      </c>
      <c r="S24" s="91">
        <f t="shared" si="20"/>
        <v>186000</v>
      </c>
      <c r="T24" s="91">
        <f t="shared" si="20"/>
        <v>186000</v>
      </c>
      <c r="U24" s="91">
        <f t="shared" si="20"/>
        <v>186000</v>
      </c>
      <c r="V24" s="91">
        <f t="shared" si="20"/>
        <v>186000</v>
      </c>
      <c r="W24" s="91">
        <f t="shared" si="20"/>
        <v>186000</v>
      </c>
      <c r="X24" s="91">
        <f t="shared" si="20"/>
        <v>186000</v>
      </c>
      <c r="Y24" s="91">
        <f t="shared" si="20"/>
        <v>186000</v>
      </c>
      <c r="Z24" s="91">
        <f t="shared" si="20"/>
        <v>186000</v>
      </c>
      <c r="AA24" s="91">
        <f t="shared" si="20"/>
        <v>35000</v>
      </c>
      <c r="AB24" s="91">
        <f t="shared" si="20"/>
        <v>35000</v>
      </c>
      <c r="AC24" s="91">
        <f t="shared" si="20"/>
        <v>35000</v>
      </c>
      <c r="AD24" s="91">
        <f t="shared" si="20"/>
        <v>25000</v>
      </c>
      <c r="AE24" s="91">
        <f t="shared" si="20"/>
        <v>84256</v>
      </c>
      <c r="AF24" s="91">
        <f t="shared" si="20"/>
        <v>70256</v>
      </c>
      <c r="AG24" s="91">
        <f t="shared" ref="AG24:AY24" si="21">AG16+AG8+AG21</f>
        <v>59256</v>
      </c>
      <c r="AH24" s="91">
        <f t="shared" si="21"/>
        <v>59256</v>
      </c>
      <c r="AI24" s="91">
        <f t="shared" si="21"/>
        <v>59256</v>
      </c>
      <c r="AJ24" s="91">
        <f t="shared" si="21"/>
        <v>59256</v>
      </c>
      <c r="AK24" s="91">
        <f t="shared" si="21"/>
        <v>59256</v>
      </c>
      <c r="AL24" s="91">
        <f t="shared" si="21"/>
        <v>59256</v>
      </c>
      <c r="AM24" s="91">
        <f t="shared" si="21"/>
        <v>59256</v>
      </c>
      <c r="AN24" s="91">
        <f t="shared" si="21"/>
        <v>59256</v>
      </c>
      <c r="AO24" s="91">
        <f t="shared" si="21"/>
        <v>130212.6486889947</v>
      </c>
      <c r="AP24" s="91">
        <f t="shared" si="21"/>
        <v>134332.32584494646</v>
      </c>
      <c r="AQ24" s="91">
        <f t="shared" si="21"/>
        <v>138338.58218479471</v>
      </c>
      <c r="AR24" s="91">
        <f t="shared" si="21"/>
        <v>142918.18262585963</v>
      </c>
      <c r="AS24" s="91">
        <f t="shared" si="21"/>
        <v>147755.52209522214</v>
      </c>
      <c r="AT24" s="91">
        <f t="shared" si="21"/>
        <v>152863.95985576813</v>
      </c>
      <c r="AU24" s="91">
        <f t="shared" si="21"/>
        <v>157747.01425649173</v>
      </c>
      <c r="AV24" s="91">
        <f t="shared" si="21"/>
        <v>163411.57853589213</v>
      </c>
      <c r="AW24" s="91">
        <f t="shared" si="21"/>
        <v>168766.46986174872</v>
      </c>
      <c r="AX24" s="91">
        <f t="shared" si="21"/>
        <v>175037.2479574036</v>
      </c>
      <c r="AY24" s="91">
        <f t="shared" si="21"/>
        <v>180884.20097925252</v>
      </c>
      <c r="BA24" s="188" t="s">
        <v>400</v>
      </c>
      <c r="BB24" s="226">
        <f>BB12</f>
        <v>403550</v>
      </c>
      <c r="BC24" s="188"/>
      <c r="BD24" s="188"/>
    </row>
    <row r="25" spans="1:56" x14ac:dyDescent="0.55000000000000004">
      <c r="A25" s="157" t="s">
        <v>397</v>
      </c>
      <c r="B25" s="157" t="s">
        <v>401</v>
      </c>
      <c r="C25" s="158" t="s">
        <v>402</v>
      </c>
      <c r="D25" s="92" t="str">
        <f t="shared" ref="D25:AF25" si="22">IF(D24&lt;=$BB$8,"SAFE","IRMAA")</f>
        <v>SAFE</v>
      </c>
      <c r="E25" s="92" t="str">
        <f t="shared" si="22"/>
        <v>SAFE</v>
      </c>
      <c r="F25" s="92" t="str">
        <f t="shared" si="22"/>
        <v>SAFE</v>
      </c>
      <c r="G25" s="92" t="str">
        <f t="shared" si="22"/>
        <v>SAFE</v>
      </c>
      <c r="H25" s="92" t="str">
        <f t="shared" si="22"/>
        <v>SAFE</v>
      </c>
      <c r="I25" s="92" t="str">
        <f t="shared" si="22"/>
        <v>SAFE</v>
      </c>
      <c r="J25" s="92" t="str">
        <f t="shared" si="22"/>
        <v>SAFE</v>
      </c>
      <c r="K25" s="92" t="str">
        <f t="shared" si="22"/>
        <v>SAFE</v>
      </c>
      <c r="L25" s="92" t="str">
        <f t="shared" si="22"/>
        <v>SAFE</v>
      </c>
      <c r="M25" s="92" t="str">
        <f t="shared" si="22"/>
        <v>SAFE</v>
      </c>
      <c r="N25" s="92" t="str">
        <f t="shared" si="22"/>
        <v>SAFE</v>
      </c>
      <c r="O25" s="92" t="str">
        <f t="shared" si="22"/>
        <v>SAFE</v>
      </c>
      <c r="P25" s="92" t="str">
        <f t="shared" si="22"/>
        <v>SAFE</v>
      </c>
      <c r="Q25" s="92" t="str">
        <f t="shared" si="22"/>
        <v>SAFE</v>
      </c>
      <c r="R25" s="92" t="str">
        <f t="shared" si="22"/>
        <v>SAFE</v>
      </c>
      <c r="S25" s="92" t="str">
        <f t="shared" si="22"/>
        <v>SAFE</v>
      </c>
      <c r="T25" s="92" t="str">
        <f t="shared" si="22"/>
        <v>SAFE</v>
      </c>
      <c r="U25" s="92" t="str">
        <f t="shared" si="22"/>
        <v>SAFE</v>
      </c>
      <c r="V25" s="92" t="str">
        <f t="shared" si="22"/>
        <v>SAFE</v>
      </c>
      <c r="W25" s="92" t="str">
        <f t="shared" si="22"/>
        <v>SAFE</v>
      </c>
      <c r="X25" s="92" t="str">
        <f t="shared" si="22"/>
        <v>SAFE</v>
      </c>
      <c r="Y25" s="92" t="str">
        <f t="shared" si="22"/>
        <v>SAFE</v>
      </c>
      <c r="Z25" s="92" t="str">
        <f t="shared" si="22"/>
        <v>SAFE</v>
      </c>
      <c r="AA25" s="92" t="str">
        <f t="shared" si="22"/>
        <v>SAFE</v>
      </c>
      <c r="AB25" s="92" t="str">
        <f t="shared" si="22"/>
        <v>SAFE</v>
      </c>
      <c r="AC25" s="92" t="str">
        <f t="shared" si="22"/>
        <v>SAFE</v>
      </c>
      <c r="AD25" s="92" t="str">
        <f t="shared" si="22"/>
        <v>SAFE</v>
      </c>
      <c r="AE25" s="92" t="str">
        <f t="shared" si="22"/>
        <v>SAFE</v>
      </c>
      <c r="AF25" s="92" t="str">
        <f t="shared" si="22"/>
        <v>SAFE</v>
      </c>
      <c r="AG25" s="92" t="str">
        <f t="shared" ref="AG25:AY25" si="23">IF(AG24&lt;=$BB$8,"SAFE","IRMAA")</f>
        <v>SAFE</v>
      </c>
      <c r="AH25" s="92" t="str">
        <f t="shared" si="23"/>
        <v>SAFE</v>
      </c>
      <c r="AI25" s="92" t="str">
        <f t="shared" si="23"/>
        <v>SAFE</v>
      </c>
      <c r="AJ25" s="92" t="str">
        <f t="shared" si="23"/>
        <v>SAFE</v>
      </c>
      <c r="AK25" s="92" t="str">
        <f t="shared" si="23"/>
        <v>SAFE</v>
      </c>
      <c r="AL25" s="92" t="str">
        <f t="shared" si="23"/>
        <v>SAFE</v>
      </c>
      <c r="AM25" s="92" t="str">
        <f t="shared" si="23"/>
        <v>SAFE</v>
      </c>
      <c r="AN25" s="92" t="str">
        <f t="shared" si="23"/>
        <v>SAFE</v>
      </c>
      <c r="AO25" s="92" t="str">
        <f t="shared" si="23"/>
        <v>SAFE</v>
      </c>
      <c r="AP25" s="92" t="str">
        <f t="shared" si="23"/>
        <v>SAFE</v>
      </c>
      <c r="AQ25" s="92" t="str">
        <f t="shared" si="23"/>
        <v>SAFE</v>
      </c>
      <c r="AR25" s="92" t="str">
        <f t="shared" si="23"/>
        <v>SAFE</v>
      </c>
      <c r="AS25" s="92" t="str">
        <f t="shared" si="23"/>
        <v>SAFE</v>
      </c>
      <c r="AT25" s="92" t="str">
        <f t="shared" si="23"/>
        <v>SAFE</v>
      </c>
      <c r="AU25" s="92" t="str">
        <f t="shared" si="23"/>
        <v>SAFE</v>
      </c>
      <c r="AV25" s="92" t="str">
        <f t="shared" si="23"/>
        <v>SAFE</v>
      </c>
      <c r="AW25" s="92" t="str">
        <f t="shared" si="23"/>
        <v>SAFE</v>
      </c>
      <c r="AX25" s="92" t="str">
        <f t="shared" si="23"/>
        <v>SAFE</v>
      </c>
      <c r="AY25" s="92" t="str">
        <f t="shared" si="23"/>
        <v>SAFE</v>
      </c>
      <c r="BA25" s="234" t="s">
        <v>403</v>
      </c>
      <c r="BB25" s="188">
        <v>26.5</v>
      </c>
      <c r="BC25" s="188"/>
      <c r="BD25" s="188"/>
    </row>
    <row r="26" spans="1:56" ht="14.7" thickBot="1" x14ac:dyDescent="0.6">
      <c r="A26" s="157" t="s">
        <v>397</v>
      </c>
      <c r="B26" s="157" t="s">
        <v>404</v>
      </c>
      <c r="C26" s="158" t="s">
        <v>405</v>
      </c>
      <c r="D26" s="93">
        <f t="shared" ref="D26:AF26" si="24">$BB$8-D24</f>
        <v>32000</v>
      </c>
      <c r="E26" s="93">
        <f t="shared" si="24"/>
        <v>32000</v>
      </c>
      <c r="F26" s="93">
        <f t="shared" si="24"/>
        <v>32000</v>
      </c>
      <c r="G26" s="93">
        <f t="shared" si="24"/>
        <v>32000</v>
      </c>
      <c r="H26" s="93">
        <f t="shared" si="24"/>
        <v>32000</v>
      </c>
      <c r="I26" s="93">
        <f t="shared" si="24"/>
        <v>32000</v>
      </c>
      <c r="J26" s="93">
        <f t="shared" si="24"/>
        <v>32000</v>
      </c>
      <c r="K26" s="93">
        <f t="shared" si="24"/>
        <v>32000</v>
      </c>
      <c r="L26" s="93">
        <f t="shared" si="24"/>
        <v>32000</v>
      </c>
      <c r="M26" s="93">
        <f t="shared" si="24"/>
        <v>32000</v>
      </c>
      <c r="N26" s="93">
        <f t="shared" si="24"/>
        <v>32000</v>
      </c>
      <c r="O26" s="93">
        <f t="shared" si="24"/>
        <v>32000</v>
      </c>
      <c r="P26" s="93">
        <f t="shared" si="24"/>
        <v>32000</v>
      </c>
      <c r="Q26" s="93">
        <f t="shared" si="24"/>
        <v>32000</v>
      </c>
      <c r="R26" s="93">
        <f t="shared" si="24"/>
        <v>32000</v>
      </c>
      <c r="S26" s="93">
        <f t="shared" si="24"/>
        <v>32000</v>
      </c>
      <c r="T26" s="93">
        <f t="shared" si="24"/>
        <v>32000</v>
      </c>
      <c r="U26" s="93">
        <f t="shared" si="24"/>
        <v>32000</v>
      </c>
      <c r="V26" s="93">
        <f t="shared" si="24"/>
        <v>32000</v>
      </c>
      <c r="W26" s="93">
        <f t="shared" si="24"/>
        <v>32000</v>
      </c>
      <c r="X26" s="93">
        <f t="shared" si="24"/>
        <v>32000</v>
      </c>
      <c r="Y26" s="93">
        <f t="shared" si="24"/>
        <v>32000</v>
      </c>
      <c r="Z26" s="93">
        <f t="shared" si="24"/>
        <v>32000</v>
      </c>
      <c r="AA26" s="93">
        <f t="shared" si="24"/>
        <v>183000</v>
      </c>
      <c r="AB26" s="93">
        <f t="shared" si="24"/>
        <v>183000</v>
      </c>
      <c r="AC26" s="93">
        <f t="shared" si="24"/>
        <v>183000</v>
      </c>
      <c r="AD26" s="93">
        <f t="shared" si="24"/>
        <v>193000</v>
      </c>
      <c r="AE26" s="93">
        <f t="shared" si="24"/>
        <v>133744</v>
      </c>
      <c r="AF26" s="93">
        <f t="shared" si="24"/>
        <v>147744</v>
      </c>
      <c r="AG26" s="93">
        <f t="shared" ref="AG26:AY26" si="25">$BB$8-AG24</f>
        <v>158744</v>
      </c>
      <c r="AH26" s="93">
        <f t="shared" si="25"/>
        <v>158744</v>
      </c>
      <c r="AI26" s="93">
        <f t="shared" si="25"/>
        <v>158744</v>
      </c>
      <c r="AJ26" s="93">
        <f t="shared" si="25"/>
        <v>158744</v>
      </c>
      <c r="AK26" s="93">
        <f t="shared" si="25"/>
        <v>158744</v>
      </c>
      <c r="AL26" s="93">
        <f t="shared" si="25"/>
        <v>158744</v>
      </c>
      <c r="AM26" s="93">
        <f t="shared" si="25"/>
        <v>158744</v>
      </c>
      <c r="AN26" s="93">
        <f t="shared" si="25"/>
        <v>158744</v>
      </c>
      <c r="AO26" s="93">
        <f t="shared" si="25"/>
        <v>87787.351311005303</v>
      </c>
      <c r="AP26" s="93">
        <f t="shared" si="25"/>
        <v>83667.674155053537</v>
      </c>
      <c r="AQ26" s="93">
        <f t="shared" si="25"/>
        <v>79661.417815205292</v>
      </c>
      <c r="AR26" s="93">
        <f t="shared" si="25"/>
        <v>75081.817374140373</v>
      </c>
      <c r="AS26" s="93">
        <f t="shared" si="25"/>
        <v>70244.477904777857</v>
      </c>
      <c r="AT26" s="93">
        <f t="shared" si="25"/>
        <v>65136.040144231869</v>
      </c>
      <c r="AU26" s="93">
        <f t="shared" si="25"/>
        <v>60252.985743508267</v>
      </c>
      <c r="AV26" s="93">
        <f t="shared" si="25"/>
        <v>54588.421464107872</v>
      </c>
      <c r="AW26" s="93">
        <f t="shared" si="25"/>
        <v>49233.530138251284</v>
      </c>
      <c r="AX26" s="93">
        <f t="shared" si="25"/>
        <v>42962.752042596403</v>
      </c>
      <c r="AY26" s="93">
        <f t="shared" si="25"/>
        <v>37115.79902074748</v>
      </c>
      <c r="BA26" s="234" t="s">
        <v>406</v>
      </c>
      <c r="BB26" s="188">
        <v>25.5</v>
      </c>
      <c r="BC26" s="188"/>
      <c r="BD26" s="188"/>
    </row>
    <row r="27" spans="1:56" ht="14.7" thickTop="1" x14ac:dyDescent="0.55000000000000004">
      <c r="A27" s="159" t="s">
        <v>407</v>
      </c>
      <c r="B27" s="159" t="s">
        <v>408</v>
      </c>
      <c r="C27" s="160" t="s">
        <v>409</v>
      </c>
      <c r="D27" s="94">
        <f t="shared" ref="D27:AF27" si="26">MAX(0,D20-$BB$7)</f>
        <v>153800</v>
      </c>
      <c r="E27" s="94">
        <f t="shared" si="26"/>
        <v>153800</v>
      </c>
      <c r="F27" s="94">
        <f t="shared" si="26"/>
        <v>153800</v>
      </c>
      <c r="G27" s="94">
        <f t="shared" si="26"/>
        <v>153800</v>
      </c>
      <c r="H27" s="94">
        <f t="shared" si="26"/>
        <v>153800</v>
      </c>
      <c r="I27" s="94">
        <f t="shared" si="26"/>
        <v>153800</v>
      </c>
      <c r="J27" s="94">
        <f t="shared" si="26"/>
        <v>153800</v>
      </c>
      <c r="K27" s="94">
        <f t="shared" si="26"/>
        <v>153800</v>
      </c>
      <c r="L27" s="94">
        <f t="shared" si="26"/>
        <v>153800</v>
      </c>
      <c r="M27" s="94">
        <f t="shared" si="26"/>
        <v>153800</v>
      </c>
      <c r="N27" s="94">
        <f t="shared" si="26"/>
        <v>153800</v>
      </c>
      <c r="O27" s="94">
        <f t="shared" si="26"/>
        <v>153800</v>
      </c>
      <c r="P27" s="94">
        <f t="shared" si="26"/>
        <v>153800</v>
      </c>
      <c r="Q27" s="94">
        <f t="shared" si="26"/>
        <v>153800</v>
      </c>
      <c r="R27" s="94">
        <f t="shared" si="26"/>
        <v>153800</v>
      </c>
      <c r="S27" s="94">
        <f t="shared" si="26"/>
        <v>153800</v>
      </c>
      <c r="T27" s="94">
        <f t="shared" si="26"/>
        <v>153800</v>
      </c>
      <c r="U27" s="94">
        <f t="shared" si="26"/>
        <v>153800</v>
      </c>
      <c r="V27" s="94">
        <f t="shared" si="26"/>
        <v>153800</v>
      </c>
      <c r="W27" s="94">
        <f t="shared" si="26"/>
        <v>153800</v>
      </c>
      <c r="X27" s="94">
        <f t="shared" si="26"/>
        <v>153800</v>
      </c>
      <c r="Y27" s="94">
        <f t="shared" si="26"/>
        <v>153800</v>
      </c>
      <c r="Z27" s="94">
        <f t="shared" si="26"/>
        <v>153800</v>
      </c>
      <c r="AA27" s="94">
        <f t="shared" si="26"/>
        <v>0</v>
      </c>
      <c r="AB27" s="94">
        <f t="shared" si="26"/>
        <v>0</v>
      </c>
      <c r="AC27" s="94">
        <f t="shared" si="26"/>
        <v>0</v>
      </c>
      <c r="AD27" s="94">
        <f t="shared" si="26"/>
        <v>0</v>
      </c>
      <c r="AE27" s="94">
        <f t="shared" si="26"/>
        <v>0</v>
      </c>
      <c r="AF27" s="94">
        <f t="shared" si="26"/>
        <v>0</v>
      </c>
      <c r="AG27" s="94">
        <f t="shared" ref="AG27:AY27" si="27">MAX(0,AG20-$BB$7)</f>
        <v>0</v>
      </c>
      <c r="AH27" s="94">
        <f t="shared" si="27"/>
        <v>0</v>
      </c>
      <c r="AI27" s="94">
        <f t="shared" si="27"/>
        <v>0</v>
      </c>
      <c r="AJ27" s="94">
        <f t="shared" si="27"/>
        <v>0</v>
      </c>
      <c r="AK27" s="94">
        <f t="shared" si="27"/>
        <v>0</v>
      </c>
      <c r="AL27" s="94">
        <f t="shared" si="27"/>
        <v>0</v>
      </c>
      <c r="AM27" s="94">
        <f t="shared" si="27"/>
        <v>0</v>
      </c>
      <c r="AN27" s="94">
        <f t="shared" si="27"/>
        <v>0</v>
      </c>
      <c r="AO27" s="94">
        <f t="shared" si="27"/>
        <v>89124.248688994703</v>
      </c>
      <c r="AP27" s="94">
        <f t="shared" si="27"/>
        <v>93243.925844946469</v>
      </c>
      <c r="AQ27" s="94">
        <f t="shared" si="27"/>
        <v>97250.182184794714</v>
      </c>
      <c r="AR27" s="94">
        <f t="shared" si="27"/>
        <v>101829.78262585963</v>
      </c>
      <c r="AS27" s="94">
        <f t="shared" si="27"/>
        <v>106667.12209522212</v>
      </c>
      <c r="AT27" s="94">
        <f t="shared" si="27"/>
        <v>111775.55985576814</v>
      </c>
      <c r="AU27" s="94">
        <f t="shared" si="27"/>
        <v>116658.61425649174</v>
      </c>
      <c r="AV27" s="94">
        <f t="shared" si="27"/>
        <v>122323.1785358921</v>
      </c>
      <c r="AW27" s="94">
        <f t="shared" si="27"/>
        <v>127678.06986174872</v>
      </c>
      <c r="AX27" s="94">
        <f t="shared" si="27"/>
        <v>133948.8479574036</v>
      </c>
      <c r="AY27" s="94">
        <f t="shared" si="27"/>
        <v>139795.80097925253</v>
      </c>
      <c r="BA27" s="188">
        <v>75</v>
      </c>
      <c r="BB27" s="188">
        <v>24.6</v>
      </c>
      <c r="BC27" s="188"/>
      <c r="BD27" s="188"/>
    </row>
    <row r="28" spans="1:56" x14ac:dyDescent="0.55000000000000004">
      <c r="A28" s="161" t="s">
        <v>407</v>
      </c>
      <c r="B28" s="161" t="s">
        <v>410</v>
      </c>
      <c r="C28" s="162" t="s">
        <v>411</v>
      </c>
      <c r="D28" s="95">
        <f t="shared" ref="D28:AF28" si="28">MAX(0,$BB$13-D27)</f>
        <v>57600</v>
      </c>
      <c r="E28" s="95">
        <f t="shared" si="28"/>
        <v>57600</v>
      </c>
      <c r="F28" s="95">
        <f t="shared" si="28"/>
        <v>57600</v>
      </c>
      <c r="G28" s="95">
        <f t="shared" si="28"/>
        <v>57600</v>
      </c>
      <c r="H28" s="95">
        <f t="shared" si="28"/>
        <v>57600</v>
      </c>
      <c r="I28" s="95">
        <f t="shared" si="28"/>
        <v>57600</v>
      </c>
      <c r="J28" s="95">
        <f t="shared" si="28"/>
        <v>57600</v>
      </c>
      <c r="K28" s="95">
        <f t="shared" si="28"/>
        <v>57600</v>
      </c>
      <c r="L28" s="95">
        <f t="shared" si="28"/>
        <v>57600</v>
      </c>
      <c r="M28" s="95">
        <f t="shared" si="28"/>
        <v>57600</v>
      </c>
      <c r="N28" s="95">
        <f t="shared" si="28"/>
        <v>57600</v>
      </c>
      <c r="O28" s="95">
        <f t="shared" si="28"/>
        <v>57600</v>
      </c>
      <c r="P28" s="95">
        <f t="shared" si="28"/>
        <v>57600</v>
      </c>
      <c r="Q28" s="95">
        <f t="shared" si="28"/>
        <v>57600</v>
      </c>
      <c r="R28" s="95">
        <f t="shared" si="28"/>
        <v>57600</v>
      </c>
      <c r="S28" s="95">
        <f t="shared" si="28"/>
        <v>57600</v>
      </c>
      <c r="T28" s="95">
        <f t="shared" si="28"/>
        <v>57600</v>
      </c>
      <c r="U28" s="95">
        <f t="shared" si="28"/>
        <v>57600</v>
      </c>
      <c r="V28" s="95">
        <f t="shared" si="28"/>
        <v>57600</v>
      </c>
      <c r="W28" s="95">
        <f t="shared" si="28"/>
        <v>57600</v>
      </c>
      <c r="X28" s="95">
        <f t="shared" si="28"/>
        <v>57600</v>
      </c>
      <c r="Y28" s="95">
        <f t="shared" si="28"/>
        <v>57600</v>
      </c>
      <c r="Z28" s="95">
        <f t="shared" si="28"/>
        <v>57600</v>
      </c>
      <c r="AA28" s="95">
        <f t="shared" si="28"/>
        <v>211400</v>
      </c>
      <c r="AB28" s="95">
        <f t="shared" si="28"/>
        <v>211400</v>
      </c>
      <c r="AC28" s="95">
        <f t="shared" si="28"/>
        <v>211400</v>
      </c>
      <c r="AD28" s="95">
        <f t="shared" si="28"/>
        <v>211400</v>
      </c>
      <c r="AE28" s="95">
        <f t="shared" si="28"/>
        <v>211400</v>
      </c>
      <c r="AF28" s="95">
        <f t="shared" si="28"/>
        <v>211400</v>
      </c>
      <c r="AG28" s="95">
        <f t="shared" ref="AG28:AY28" si="29">MAX(0,$BB$13-AG27)</f>
        <v>211400</v>
      </c>
      <c r="AH28" s="95">
        <f t="shared" si="29"/>
        <v>211400</v>
      </c>
      <c r="AI28" s="95">
        <f t="shared" si="29"/>
        <v>211400</v>
      </c>
      <c r="AJ28" s="95">
        <f t="shared" si="29"/>
        <v>211400</v>
      </c>
      <c r="AK28" s="95">
        <f t="shared" si="29"/>
        <v>211400</v>
      </c>
      <c r="AL28" s="95">
        <f t="shared" si="29"/>
        <v>211400</v>
      </c>
      <c r="AM28" s="95">
        <f t="shared" si="29"/>
        <v>211400</v>
      </c>
      <c r="AN28" s="95">
        <f t="shared" si="29"/>
        <v>211400</v>
      </c>
      <c r="AO28" s="95">
        <f t="shared" si="29"/>
        <v>122275.7513110053</v>
      </c>
      <c r="AP28" s="95">
        <f t="shared" si="29"/>
        <v>118156.07415505353</v>
      </c>
      <c r="AQ28" s="95">
        <f t="shared" si="29"/>
        <v>114149.81781520529</v>
      </c>
      <c r="AR28" s="95">
        <f t="shared" si="29"/>
        <v>109570.21737414037</v>
      </c>
      <c r="AS28" s="95">
        <f t="shared" si="29"/>
        <v>104732.87790477788</v>
      </c>
      <c r="AT28" s="95">
        <f t="shared" si="29"/>
        <v>99624.440144231863</v>
      </c>
      <c r="AU28" s="95">
        <f t="shared" si="29"/>
        <v>94741.385743508261</v>
      </c>
      <c r="AV28" s="95">
        <f t="shared" si="29"/>
        <v>89076.821464107896</v>
      </c>
      <c r="AW28" s="95">
        <f t="shared" si="29"/>
        <v>83721.930138251279</v>
      </c>
      <c r="AX28" s="95">
        <f t="shared" si="29"/>
        <v>77451.152042596397</v>
      </c>
      <c r="AY28" s="95">
        <f t="shared" si="29"/>
        <v>71604.199020747474</v>
      </c>
      <c r="BA28" s="188">
        <v>76</v>
      </c>
      <c r="BB28" s="188">
        <v>23.7</v>
      </c>
      <c r="BC28" s="188"/>
      <c r="BD28" s="188"/>
    </row>
    <row r="29" spans="1:56" ht="28.8" x14ac:dyDescent="0.55000000000000004">
      <c r="A29" s="161" t="s">
        <v>407</v>
      </c>
      <c r="B29" s="161" t="s">
        <v>412</v>
      </c>
      <c r="C29" s="162" t="s">
        <v>678</v>
      </c>
      <c r="D29" s="95">
        <f>D92</f>
        <v>0</v>
      </c>
      <c r="E29" s="95">
        <f t="shared" ref="E29:AY29" si="30">E92</f>
        <v>0</v>
      </c>
      <c r="F29" s="95">
        <f t="shared" si="30"/>
        <v>0</v>
      </c>
      <c r="G29" s="95">
        <f t="shared" si="30"/>
        <v>0</v>
      </c>
      <c r="H29" s="95">
        <f t="shared" si="30"/>
        <v>0</v>
      </c>
      <c r="I29" s="95">
        <f t="shared" si="30"/>
        <v>0</v>
      </c>
      <c r="J29" s="95">
        <f t="shared" si="30"/>
        <v>0</v>
      </c>
      <c r="K29" s="95">
        <f t="shared" si="30"/>
        <v>0</v>
      </c>
      <c r="L29" s="95">
        <f t="shared" si="30"/>
        <v>0</v>
      </c>
      <c r="M29" s="95">
        <f t="shared" si="30"/>
        <v>0</v>
      </c>
      <c r="N29" s="95">
        <f t="shared" si="30"/>
        <v>0</v>
      </c>
      <c r="O29" s="95">
        <f t="shared" si="30"/>
        <v>0</v>
      </c>
      <c r="P29" s="95">
        <f t="shared" si="30"/>
        <v>0</v>
      </c>
      <c r="Q29" s="95">
        <f t="shared" si="30"/>
        <v>0</v>
      </c>
      <c r="R29" s="95">
        <f t="shared" si="30"/>
        <v>0</v>
      </c>
      <c r="S29" s="95">
        <f t="shared" si="30"/>
        <v>0</v>
      </c>
      <c r="T29" s="95">
        <f t="shared" si="30"/>
        <v>0</v>
      </c>
      <c r="U29" s="95">
        <f t="shared" si="30"/>
        <v>0</v>
      </c>
      <c r="V29" s="95">
        <f t="shared" si="30"/>
        <v>0</v>
      </c>
      <c r="W29" s="95">
        <f t="shared" si="30"/>
        <v>0</v>
      </c>
      <c r="X29" s="95">
        <f t="shared" si="30"/>
        <v>0</v>
      </c>
      <c r="Y29" s="95">
        <f t="shared" si="30"/>
        <v>0</v>
      </c>
      <c r="Z29" s="95">
        <f t="shared" si="30"/>
        <v>0</v>
      </c>
      <c r="AA29" s="95">
        <f t="shared" si="30"/>
        <v>100800</v>
      </c>
      <c r="AB29" s="95">
        <f t="shared" si="30"/>
        <v>100800</v>
      </c>
      <c r="AC29" s="95">
        <f t="shared" si="30"/>
        <v>100800</v>
      </c>
      <c r="AD29" s="95">
        <f t="shared" si="30"/>
        <v>100800</v>
      </c>
      <c r="AE29" s="95">
        <f t="shared" si="30"/>
        <v>0</v>
      </c>
      <c r="AF29" s="95">
        <f t="shared" si="30"/>
        <v>0</v>
      </c>
      <c r="AG29" s="95">
        <f t="shared" si="30"/>
        <v>0</v>
      </c>
      <c r="AH29" s="95">
        <f t="shared" si="30"/>
        <v>0</v>
      </c>
      <c r="AI29" s="95">
        <f t="shared" si="30"/>
        <v>0</v>
      </c>
      <c r="AJ29" s="95">
        <f t="shared" si="30"/>
        <v>0</v>
      </c>
      <c r="AK29" s="95">
        <f t="shared" si="30"/>
        <v>0</v>
      </c>
      <c r="AL29" s="95">
        <f t="shared" si="30"/>
        <v>0</v>
      </c>
      <c r="AM29" s="95">
        <f t="shared" si="30"/>
        <v>0</v>
      </c>
      <c r="AN29" s="95">
        <f t="shared" si="30"/>
        <v>0</v>
      </c>
      <c r="AO29" s="95">
        <f t="shared" si="30"/>
        <v>0</v>
      </c>
      <c r="AP29" s="95">
        <f t="shared" si="30"/>
        <v>7556.0741550535313</v>
      </c>
      <c r="AQ29" s="95">
        <f t="shared" si="30"/>
        <v>0</v>
      </c>
      <c r="AR29" s="95">
        <f t="shared" si="30"/>
        <v>0</v>
      </c>
      <c r="AS29" s="95">
        <f t="shared" si="30"/>
        <v>0</v>
      </c>
      <c r="AT29" s="95">
        <f t="shared" si="30"/>
        <v>0</v>
      </c>
      <c r="AU29" s="95">
        <f t="shared" si="30"/>
        <v>0</v>
      </c>
      <c r="AV29" s="95">
        <f t="shared" si="30"/>
        <v>0</v>
      </c>
      <c r="AW29" s="95">
        <f t="shared" si="30"/>
        <v>0</v>
      </c>
      <c r="AX29" s="95">
        <f t="shared" si="30"/>
        <v>0</v>
      </c>
      <c r="AY29" s="95">
        <f t="shared" si="30"/>
        <v>0</v>
      </c>
      <c r="BA29" s="188">
        <v>77</v>
      </c>
      <c r="BB29" s="188">
        <v>22.9</v>
      </c>
      <c r="BC29" s="188"/>
      <c r="BD29" s="188"/>
    </row>
    <row r="30" spans="1:56" ht="14.7" thickBot="1" x14ac:dyDescent="0.6">
      <c r="A30" s="161" t="s">
        <v>407</v>
      </c>
      <c r="B30" s="161" t="s">
        <v>413</v>
      </c>
      <c r="C30" s="162" t="s">
        <v>414</v>
      </c>
      <c r="D30" s="96">
        <f t="shared" ref="D30:AF30" si="31">D50-D29</f>
        <v>0</v>
      </c>
      <c r="E30" s="96">
        <f t="shared" si="31"/>
        <v>0</v>
      </c>
      <c r="F30" s="96">
        <f t="shared" si="31"/>
        <v>0</v>
      </c>
      <c r="G30" s="96">
        <f t="shared" si="31"/>
        <v>0</v>
      </c>
      <c r="H30" s="96">
        <f t="shared" si="31"/>
        <v>0</v>
      </c>
      <c r="I30" s="96">
        <f t="shared" si="31"/>
        <v>0</v>
      </c>
      <c r="J30" s="96">
        <f t="shared" si="31"/>
        <v>0</v>
      </c>
      <c r="K30" s="96">
        <f t="shared" si="31"/>
        <v>0</v>
      </c>
      <c r="L30" s="96">
        <f t="shared" si="31"/>
        <v>0</v>
      </c>
      <c r="M30" s="96">
        <f t="shared" si="31"/>
        <v>0</v>
      </c>
      <c r="N30" s="96">
        <f t="shared" si="31"/>
        <v>0</v>
      </c>
      <c r="O30" s="96">
        <f t="shared" si="31"/>
        <v>0</v>
      </c>
      <c r="P30" s="96">
        <f t="shared" si="31"/>
        <v>0</v>
      </c>
      <c r="Q30" s="96">
        <f t="shared" si="31"/>
        <v>0</v>
      </c>
      <c r="R30" s="96">
        <f t="shared" si="31"/>
        <v>0</v>
      </c>
      <c r="S30" s="96">
        <f t="shared" si="31"/>
        <v>0</v>
      </c>
      <c r="T30" s="96">
        <f t="shared" si="31"/>
        <v>0</v>
      </c>
      <c r="U30" s="96">
        <f t="shared" si="31"/>
        <v>0</v>
      </c>
      <c r="V30" s="96">
        <f t="shared" si="31"/>
        <v>0</v>
      </c>
      <c r="W30" s="96">
        <f t="shared" si="31"/>
        <v>0</v>
      </c>
      <c r="X30" s="96">
        <f t="shared" si="31"/>
        <v>0</v>
      </c>
      <c r="Y30" s="96">
        <f t="shared" si="31"/>
        <v>0</v>
      </c>
      <c r="Z30" s="96">
        <f t="shared" si="31"/>
        <v>0</v>
      </c>
      <c r="AA30" s="96">
        <f t="shared" si="31"/>
        <v>-100800</v>
      </c>
      <c r="AB30" s="96">
        <f t="shared" si="31"/>
        <v>-100800</v>
      </c>
      <c r="AC30" s="96">
        <f t="shared" si="31"/>
        <v>-100800</v>
      </c>
      <c r="AD30" s="96">
        <f t="shared" si="31"/>
        <v>-100800</v>
      </c>
      <c r="AE30" s="96">
        <f t="shared" si="31"/>
        <v>0</v>
      </c>
      <c r="AF30" s="96">
        <f t="shared" si="31"/>
        <v>0</v>
      </c>
      <c r="AG30" s="96">
        <f t="shared" ref="AG30:AY30" si="32">AG50-AG29</f>
        <v>0</v>
      </c>
      <c r="AH30" s="96">
        <f t="shared" si="32"/>
        <v>0</v>
      </c>
      <c r="AI30" s="96">
        <f t="shared" si="32"/>
        <v>0</v>
      </c>
      <c r="AJ30" s="96">
        <f t="shared" si="32"/>
        <v>0</v>
      </c>
      <c r="AK30" s="96">
        <f t="shared" si="32"/>
        <v>0</v>
      </c>
      <c r="AL30" s="96">
        <f t="shared" si="32"/>
        <v>0</v>
      </c>
      <c r="AM30" s="96">
        <f t="shared" si="32"/>
        <v>0</v>
      </c>
      <c r="AN30" s="96">
        <f t="shared" si="32"/>
        <v>0</v>
      </c>
      <c r="AO30" s="96">
        <f t="shared" si="32"/>
        <v>0</v>
      </c>
      <c r="AP30" s="96">
        <f t="shared" si="32"/>
        <v>-7556.0741550535313</v>
      </c>
      <c r="AQ30" s="96">
        <f t="shared" si="32"/>
        <v>0</v>
      </c>
      <c r="AR30" s="96">
        <f t="shared" si="32"/>
        <v>0</v>
      </c>
      <c r="AS30" s="96">
        <f t="shared" si="32"/>
        <v>0</v>
      </c>
      <c r="AT30" s="96">
        <f t="shared" si="32"/>
        <v>0</v>
      </c>
      <c r="AU30" s="96">
        <f t="shared" si="32"/>
        <v>0</v>
      </c>
      <c r="AV30" s="96">
        <f t="shared" si="32"/>
        <v>0</v>
      </c>
      <c r="AW30" s="96">
        <f t="shared" si="32"/>
        <v>0</v>
      </c>
      <c r="AX30" s="96">
        <f t="shared" si="32"/>
        <v>0</v>
      </c>
      <c r="AY30" s="96">
        <f t="shared" si="32"/>
        <v>0</v>
      </c>
      <c r="BA30" s="188">
        <v>78</v>
      </c>
      <c r="BB30" s="188">
        <v>22</v>
      </c>
      <c r="BC30" s="188"/>
      <c r="BD30" s="188"/>
    </row>
    <row r="31" spans="1:56" ht="14.7" thickTop="1" x14ac:dyDescent="0.55000000000000004">
      <c r="A31" s="163" t="s">
        <v>415</v>
      </c>
      <c r="B31" s="163" t="s">
        <v>416</v>
      </c>
      <c r="C31" s="164" t="s">
        <v>417</v>
      </c>
      <c r="D31" s="97">
        <f>D6+D7+D8+D15+D10+D11+D12</f>
        <v>186000</v>
      </c>
      <c r="E31" s="97">
        <f t="shared" ref="E31:AY31" si="33">E6+E7+E8+E15+E10+E11+E12</f>
        <v>186000</v>
      </c>
      <c r="F31" s="97">
        <f t="shared" si="33"/>
        <v>186000</v>
      </c>
      <c r="G31" s="97">
        <f t="shared" si="33"/>
        <v>186000</v>
      </c>
      <c r="H31" s="97">
        <f t="shared" si="33"/>
        <v>186000</v>
      </c>
      <c r="I31" s="97">
        <f t="shared" si="33"/>
        <v>186000</v>
      </c>
      <c r="J31" s="97">
        <f t="shared" si="33"/>
        <v>186000</v>
      </c>
      <c r="K31" s="97">
        <f t="shared" si="33"/>
        <v>186000</v>
      </c>
      <c r="L31" s="97">
        <f t="shared" si="33"/>
        <v>186000</v>
      </c>
      <c r="M31" s="97">
        <f t="shared" si="33"/>
        <v>186000</v>
      </c>
      <c r="N31" s="97">
        <f t="shared" si="33"/>
        <v>186000</v>
      </c>
      <c r="O31" s="97">
        <f t="shared" si="33"/>
        <v>186000</v>
      </c>
      <c r="P31" s="97">
        <f t="shared" si="33"/>
        <v>186000</v>
      </c>
      <c r="Q31" s="97">
        <f t="shared" si="33"/>
        <v>186000</v>
      </c>
      <c r="R31" s="97">
        <f t="shared" si="33"/>
        <v>186000</v>
      </c>
      <c r="S31" s="97">
        <f t="shared" si="33"/>
        <v>186000</v>
      </c>
      <c r="T31" s="97">
        <f t="shared" si="33"/>
        <v>186000</v>
      </c>
      <c r="U31" s="97">
        <f t="shared" si="33"/>
        <v>186000</v>
      </c>
      <c r="V31" s="97">
        <f t="shared" si="33"/>
        <v>186000</v>
      </c>
      <c r="W31" s="97">
        <f t="shared" si="33"/>
        <v>186000</v>
      </c>
      <c r="X31" s="97">
        <f t="shared" si="33"/>
        <v>186000</v>
      </c>
      <c r="Y31" s="97">
        <f t="shared" si="33"/>
        <v>186000</v>
      </c>
      <c r="Z31" s="97">
        <f t="shared" si="33"/>
        <v>186000</v>
      </c>
      <c r="AA31" s="97">
        <f t="shared" si="33"/>
        <v>35000</v>
      </c>
      <c r="AB31" s="97">
        <f t="shared" si="33"/>
        <v>35000</v>
      </c>
      <c r="AC31" s="97">
        <f t="shared" si="33"/>
        <v>35000</v>
      </c>
      <c r="AD31" s="97">
        <f t="shared" si="33"/>
        <v>25000</v>
      </c>
      <c r="AE31" s="97">
        <f t="shared" si="33"/>
        <v>84256</v>
      </c>
      <c r="AF31" s="97">
        <f t="shared" si="33"/>
        <v>70256</v>
      </c>
      <c r="AG31" s="97">
        <f t="shared" si="33"/>
        <v>59256</v>
      </c>
      <c r="AH31" s="97">
        <f t="shared" si="33"/>
        <v>59256</v>
      </c>
      <c r="AI31" s="97">
        <f t="shared" si="33"/>
        <v>59256</v>
      </c>
      <c r="AJ31" s="97">
        <f t="shared" si="33"/>
        <v>59256</v>
      </c>
      <c r="AK31" s="97">
        <f t="shared" si="33"/>
        <v>59256</v>
      </c>
      <c r="AL31" s="97">
        <f t="shared" si="33"/>
        <v>59256</v>
      </c>
      <c r="AM31" s="97">
        <f t="shared" si="33"/>
        <v>59256</v>
      </c>
      <c r="AN31" s="97">
        <f t="shared" si="33"/>
        <v>59256</v>
      </c>
      <c r="AO31" s="97">
        <f t="shared" si="33"/>
        <v>130212.6486889947</v>
      </c>
      <c r="AP31" s="97">
        <f t="shared" si="33"/>
        <v>134332.32584494646</v>
      </c>
      <c r="AQ31" s="97">
        <f t="shared" si="33"/>
        <v>138338.58218479471</v>
      </c>
      <c r="AR31" s="97">
        <f t="shared" si="33"/>
        <v>142918.18262585963</v>
      </c>
      <c r="AS31" s="97">
        <f t="shared" si="33"/>
        <v>147755.52209522214</v>
      </c>
      <c r="AT31" s="97">
        <f t="shared" si="33"/>
        <v>152863.95985576813</v>
      </c>
      <c r="AU31" s="97">
        <f t="shared" si="33"/>
        <v>157747.01425649173</v>
      </c>
      <c r="AV31" s="97">
        <f t="shared" si="33"/>
        <v>163411.57853589213</v>
      </c>
      <c r="AW31" s="97">
        <f t="shared" si="33"/>
        <v>168766.46986174872</v>
      </c>
      <c r="AX31" s="97">
        <f t="shared" si="33"/>
        <v>175037.2479574036</v>
      </c>
      <c r="AY31" s="97">
        <f t="shared" si="33"/>
        <v>180884.20097925252</v>
      </c>
      <c r="BA31" s="188">
        <v>79</v>
      </c>
      <c r="BB31" s="188">
        <v>21.1</v>
      </c>
      <c r="BC31" s="188"/>
      <c r="BD31" s="188"/>
    </row>
    <row r="32" spans="1:56" x14ac:dyDescent="0.55000000000000004">
      <c r="A32" s="165" t="s">
        <v>415</v>
      </c>
      <c r="B32" s="165" t="s">
        <v>418</v>
      </c>
      <c r="C32" s="166" t="s">
        <v>681</v>
      </c>
      <c r="D32" s="98">
        <f>D31-D22-D13-D98</f>
        <v>162740</v>
      </c>
      <c r="E32" s="98">
        <f t="shared" ref="E32:AY32" si="34">E31-E22-E13-E98</f>
        <v>162740</v>
      </c>
      <c r="F32" s="98">
        <f t="shared" si="34"/>
        <v>162740</v>
      </c>
      <c r="G32" s="98">
        <f t="shared" si="34"/>
        <v>162740</v>
      </c>
      <c r="H32" s="98">
        <f t="shared" si="34"/>
        <v>162740</v>
      </c>
      <c r="I32" s="98">
        <f t="shared" si="34"/>
        <v>162740</v>
      </c>
      <c r="J32" s="98">
        <f t="shared" si="34"/>
        <v>162740</v>
      </c>
      <c r="K32" s="98">
        <f t="shared" si="34"/>
        <v>162740</v>
      </c>
      <c r="L32" s="98">
        <f t="shared" si="34"/>
        <v>162740</v>
      </c>
      <c r="M32" s="98">
        <f t="shared" si="34"/>
        <v>162740</v>
      </c>
      <c r="N32" s="98">
        <f t="shared" si="34"/>
        <v>162740</v>
      </c>
      <c r="O32" s="98">
        <f t="shared" si="34"/>
        <v>162740</v>
      </c>
      <c r="P32" s="98">
        <f t="shared" si="34"/>
        <v>162740</v>
      </c>
      <c r="Q32" s="98">
        <f t="shared" si="34"/>
        <v>162740</v>
      </c>
      <c r="R32" s="98">
        <f t="shared" si="34"/>
        <v>162740</v>
      </c>
      <c r="S32" s="98">
        <f t="shared" si="34"/>
        <v>162740</v>
      </c>
      <c r="T32" s="98">
        <f t="shared" si="34"/>
        <v>162740</v>
      </c>
      <c r="U32" s="98">
        <f t="shared" si="34"/>
        <v>162740</v>
      </c>
      <c r="V32" s="98">
        <f t="shared" si="34"/>
        <v>162740</v>
      </c>
      <c r="W32" s="98">
        <f t="shared" si="34"/>
        <v>162740</v>
      </c>
      <c r="X32" s="98">
        <f t="shared" si="34"/>
        <v>162740</v>
      </c>
      <c r="Y32" s="98">
        <f t="shared" si="34"/>
        <v>162740</v>
      </c>
      <c r="Z32" s="98">
        <f t="shared" si="34"/>
        <v>162740</v>
      </c>
      <c r="AA32" s="98">
        <f t="shared" si="34"/>
        <v>35000</v>
      </c>
      <c r="AB32" s="98">
        <f t="shared" si="34"/>
        <v>35000</v>
      </c>
      <c r="AC32" s="98">
        <f t="shared" si="34"/>
        <v>35000</v>
      </c>
      <c r="AD32" s="98">
        <f t="shared" si="34"/>
        <v>25000</v>
      </c>
      <c r="AE32" s="98">
        <f t="shared" si="34"/>
        <v>84256</v>
      </c>
      <c r="AF32" s="98">
        <f t="shared" si="34"/>
        <v>70256</v>
      </c>
      <c r="AG32" s="98">
        <f t="shared" si="34"/>
        <v>59256</v>
      </c>
      <c r="AH32" s="98">
        <f t="shared" si="34"/>
        <v>59256</v>
      </c>
      <c r="AI32" s="98">
        <f t="shared" si="34"/>
        <v>59256</v>
      </c>
      <c r="AJ32" s="98">
        <f t="shared" si="34"/>
        <v>59256</v>
      </c>
      <c r="AK32" s="98">
        <f t="shared" si="34"/>
        <v>59256</v>
      </c>
      <c r="AL32" s="98">
        <f t="shared" si="34"/>
        <v>59256</v>
      </c>
      <c r="AM32" s="98">
        <f t="shared" si="34"/>
        <v>59256</v>
      </c>
      <c r="AN32" s="98">
        <f t="shared" si="34"/>
        <v>59256</v>
      </c>
      <c r="AO32" s="98">
        <f t="shared" si="34"/>
        <v>120013.73884631533</v>
      </c>
      <c r="AP32" s="98">
        <f t="shared" si="34"/>
        <v>123639.05474355289</v>
      </c>
      <c r="AQ32" s="98">
        <f t="shared" si="34"/>
        <v>127164.56032261935</v>
      </c>
      <c r="AR32" s="98">
        <f t="shared" si="34"/>
        <v>131091.6304481705</v>
      </c>
      <c r="AS32" s="98">
        <f t="shared" si="34"/>
        <v>134864.75523427327</v>
      </c>
      <c r="AT32" s="98">
        <f t="shared" si="34"/>
        <v>138849.33668749913</v>
      </c>
      <c r="AU32" s="98">
        <f t="shared" si="34"/>
        <v>142658.11912006355</v>
      </c>
      <c r="AV32" s="98">
        <f t="shared" si="34"/>
        <v>147076.47925799587</v>
      </c>
      <c r="AW32" s="98">
        <f t="shared" si="34"/>
        <v>151253.29449216399</v>
      </c>
      <c r="AX32" s="98">
        <f t="shared" si="34"/>
        <v>156144.5014067748</v>
      </c>
      <c r="AY32" s="98">
        <f t="shared" si="34"/>
        <v>160705.12476381697</v>
      </c>
      <c r="BA32" s="188">
        <v>80</v>
      </c>
      <c r="BB32" s="188">
        <v>20.2</v>
      </c>
      <c r="BC32" s="188"/>
      <c r="BD32" s="188"/>
    </row>
    <row r="33" spans="1:56" x14ac:dyDescent="0.55000000000000004">
      <c r="A33" s="165" t="s">
        <v>415</v>
      </c>
      <c r="B33" s="165" t="s">
        <v>419</v>
      </c>
      <c r="C33" s="166" t="s">
        <v>420</v>
      </c>
      <c r="D33" s="98">
        <f t="shared" ref="D33:AF33" si="35">D32/12</f>
        <v>13561.666666666666</v>
      </c>
      <c r="E33" s="98">
        <f t="shared" si="35"/>
        <v>13561.666666666666</v>
      </c>
      <c r="F33" s="98">
        <f t="shared" si="35"/>
        <v>13561.666666666666</v>
      </c>
      <c r="G33" s="98">
        <f t="shared" si="35"/>
        <v>13561.666666666666</v>
      </c>
      <c r="H33" s="98">
        <f t="shared" si="35"/>
        <v>13561.666666666666</v>
      </c>
      <c r="I33" s="98">
        <f t="shared" si="35"/>
        <v>13561.666666666666</v>
      </c>
      <c r="J33" s="98">
        <f t="shared" si="35"/>
        <v>13561.666666666666</v>
      </c>
      <c r="K33" s="98">
        <f t="shared" si="35"/>
        <v>13561.666666666666</v>
      </c>
      <c r="L33" s="98">
        <f t="shared" si="35"/>
        <v>13561.666666666666</v>
      </c>
      <c r="M33" s="98">
        <f t="shared" si="35"/>
        <v>13561.666666666666</v>
      </c>
      <c r="N33" s="98">
        <f t="shared" si="35"/>
        <v>13561.666666666666</v>
      </c>
      <c r="O33" s="98">
        <f t="shared" si="35"/>
        <v>13561.666666666666</v>
      </c>
      <c r="P33" s="98">
        <f t="shared" si="35"/>
        <v>13561.666666666666</v>
      </c>
      <c r="Q33" s="98">
        <f t="shared" si="35"/>
        <v>13561.666666666666</v>
      </c>
      <c r="R33" s="98">
        <f t="shared" si="35"/>
        <v>13561.666666666666</v>
      </c>
      <c r="S33" s="98">
        <f t="shared" si="35"/>
        <v>13561.666666666666</v>
      </c>
      <c r="T33" s="98">
        <f t="shared" si="35"/>
        <v>13561.666666666666</v>
      </c>
      <c r="U33" s="98">
        <f t="shared" si="35"/>
        <v>13561.666666666666</v>
      </c>
      <c r="V33" s="98">
        <f t="shared" si="35"/>
        <v>13561.666666666666</v>
      </c>
      <c r="W33" s="98">
        <f t="shared" si="35"/>
        <v>13561.666666666666</v>
      </c>
      <c r="X33" s="98">
        <f t="shared" si="35"/>
        <v>13561.666666666666</v>
      </c>
      <c r="Y33" s="98">
        <f t="shared" si="35"/>
        <v>13561.666666666666</v>
      </c>
      <c r="Z33" s="98">
        <f t="shared" si="35"/>
        <v>13561.666666666666</v>
      </c>
      <c r="AA33" s="98">
        <f t="shared" si="35"/>
        <v>2916.6666666666665</v>
      </c>
      <c r="AB33" s="98">
        <f t="shared" si="35"/>
        <v>2916.6666666666665</v>
      </c>
      <c r="AC33" s="98">
        <f t="shared" si="35"/>
        <v>2916.6666666666665</v>
      </c>
      <c r="AD33" s="98">
        <f t="shared" si="35"/>
        <v>2083.3333333333335</v>
      </c>
      <c r="AE33" s="98">
        <f t="shared" si="35"/>
        <v>7021.333333333333</v>
      </c>
      <c r="AF33" s="98">
        <f t="shared" si="35"/>
        <v>5854.666666666667</v>
      </c>
      <c r="AG33" s="98">
        <f t="shared" ref="AG33:AY33" si="36">AG32/12</f>
        <v>4938</v>
      </c>
      <c r="AH33" s="98">
        <f t="shared" si="36"/>
        <v>4938</v>
      </c>
      <c r="AI33" s="98">
        <f t="shared" si="36"/>
        <v>4938</v>
      </c>
      <c r="AJ33" s="98">
        <f t="shared" si="36"/>
        <v>4938</v>
      </c>
      <c r="AK33" s="98">
        <f t="shared" si="36"/>
        <v>4938</v>
      </c>
      <c r="AL33" s="98">
        <f t="shared" si="36"/>
        <v>4938</v>
      </c>
      <c r="AM33" s="98">
        <f t="shared" si="36"/>
        <v>4938</v>
      </c>
      <c r="AN33" s="98">
        <f t="shared" si="36"/>
        <v>4938</v>
      </c>
      <c r="AO33" s="98">
        <f t="shared" si="36"/>
        <v>10001.144903859611</v>
      </c>
      <c r="AP33" s="98">
        <f t="shared" si="36"/>
        <v>10303.25456196274</v>
      </c>
      <c r="AQ33" s="98">
        <f t="shared" si="36"/>
        <v>10597.046693551612</v>
      </c>
      <c r="AR33" s="98">
        <f t="shared" si="36"/>
        <v>10924.302537347541</v>
      </c>
      <c r="AS33" s="98">
        <f t="shared" si="36"/>
        <v>11238.729602856105</v>
      </c>
      <c r="AT33" s="98">
        <f t="shared" si="36"/>
        <v>11570.778057291594</v>
      </c>
      <c r="AU33" s="98">
        <f t="shared" si="36"/>
        <v>11888.176593338629</v>
      </c>
      <c r="AV33" s="98">
        <f t="shared" si="36"/>
        <v>12256.373271499657</v>
      </c>
      <c r="AW33" s="98">
        <f t="shared" si="36"/>
        <v>12604.441207680333</v>
      </c>
      <c r="AX33" s="98">
        <f t="shared" si="36"/>
        <v>13012.041783897899</v>
      </c>
      <c r="AY33" s="98">
        <f t="shared" si="36"/>
        <v>13392.093730318082</v>
      </c>
      <c r="BA33" s="188">
        <v>81</v>
      </c>
      <c r="BB33" s="188">
        <v>19.399999999999999</v>
      </c>
      <c r="BC33" s="188"/>
      <c r="BD33" s="188"/>
    </row>
    <row r="34" spans="1:56" x14ac:dyDescent="0.55000000000000004">
      <c r="A34" s="165" t="s">
        <v>415</v>
      </c>
      <c r="B34" s="165" t="s">
        <v>421</v>
      </c>
      <c r="C34" s="166" t="s">
        <v>422</v>
      </c>
      <c r="D34" s="98">
        <f t="shared" ref="D34:AF34" si="37">D32-$BB$20</f>
        <v>-2800</v>
      </c>
      <c r="E34" s="98">
        <f t="shared" si="37"/>
        <v>-2800</v>
      </c>
      <c r="F34" s="98">
        <f t="shared" si="37"/>
        <v>-2800</v>
      </c>
      <c r="G34" s="98">
        <f>G32-$BB$20</f>
        <v>-2800</v>
      </c>
      <c r="H34" s="98">
        <f t="shared" si="37"/>
        <v>-2800</v>
      </c>
      <c r="I34" s="98">
        <f t="shared" si="37"/>
        <v>-2800</v>
      </c>
      <c r="J34" s="98">
        <f t="shared" si="37"/>
        <v>-2800</v>
      </c>
      <c r="K34" s="98">
        <f t="shared" si="37"/>
        <v>-2800</v>
      </c>
      <c r="L34" s="98">
        <f t="shared" si="37"/>
        <v>-2800</v>
      </c>
      <c r="M34" s="98">
        <f t="shared" si="37"/>
        <v>-2800</v>
      </c>
      <c r="N34" s="98">
        <f t="shared" si="37"/>
        <v>-2800</v>
      </c>
      <c r="O34" s="98">
        <f t="shared" si="37"/>
        <v>-2800</v>
      </c>
      <c r="P34" s="98">
        <f t="shared" si="37"/>
        <v>-2800</v>
      </c>
      <c r="Q34" s="98">
        <f t="shared" si="37"/>
        <v>-2800</v>
      </c>
      <c r="R34" s="98">
        <f t="shared" si="37"/>
        <v>-2800</v>
      </c>
      <c r="S34" s="98">
        <f t="shared" si="37"/>
        <v>-2800</v>
      </c>
      <c r="T34" s="98">
        <f t="shared" si="37"/>
        <v>-2800</v>
      </c>
      <c r="U34" s="98">
        <f t="shared" si="37"/>
        <v>-2800</v>
      </c>
      <c r="V34" s="98">
        <f t="shared" si="37"/>
        <v>-2800</v>
      </c>
      <c r="W34" s="98">
        <f t="shared" si="37"/>
        <v>-2800</v>
      </c>
      <c r="X34" s="98">
        <f t="shared" si="37"/>
        <v>-2800</v>
      </c>
      <c r="Y34" s="98">
        <f t="shared" si="37"/>
        <v>-2800</v>
      </c>
      <c r="Z34" s="98">
        <f t="shared" si="37"/>
        <v>-2800</v>
      </c>
      <c r="AA34" s="98">
        <f t="shared" si="37"/>
        <v>-130540</v>
      </c>
      <c r="AB34" s="98">
        <f t="shared" si="37"/>
        <v>-130540</v>
      </c>
      <c r="AC34" s="98">
        <f t="shared" si="37"/>
        <v>-130540</v>
      </c>
      <c r="AD34" s="98">
        <f t="shared" si="37"/>
        <v>-140540</v>
      </c>
      <c r="AE34" s="98">
        <f t="shared" si="37"/>
        <v>-81284</v>
      </c>
      <c r="AF34" s="98">
        <f t="shared" si="37"/>
        <v>-95284</v>
      </c>
      <c r="AG34" s="98">
        <f t="shared" ref="AG34:AY34" si="38">AG32-$BB$20</f>
        <v>-106284</v>
      </c>
      <c r="AH34" s="98">
        <f t="shared" si="38"/>
        <v>-106284</v>
      </c>
      <c r="AI34" s="98">
        <f t="shared" si="38"/>
        <v>-106284</v>
      </c>
      <c r="AJ34" s="98">
        <f t="shared" si="38"/>
        <v>-106284</v>
      </c>
      <c r="AK34" s="98">
        <f t="shared" si="38"/>
        <v>-106284</v>
      </c>
      <c r="AL34" s="98">
        <f t="shared" si="38"/>
        <v>-106284</v>
      </c>
      <c r="AM34" s="98">
        <f t="shared" si="38"/>
        <v>-106284</v>
      </c>
      <c r="AN34" s="98">
        <f t="shared" si="38"/>
        <v>-106284</v>
      </c>
      <c r="AO34" s="98">
        <f t="shared" si="38"/>
        <v>-45526.261153684667</v>
      </c>
      <c r="AP34" s="98">
        <f t="shared" si="38"/>
        <v>-41900.945256447114</v>
      </c>
      <c r="AQ34" s="98">
        <f t="shared" si="38"/>
        <v>-38375.439677380651</v>
      </c>
      <c r="AR34" s="98">
        <f t="shared" si="38"/>
        <v>-34448.369551829499</v>
      </c>
      <c r="AS34" s="98">
        <f t="shared" si="38"/>
        <v>-30675.244765726733</v>
      </c>
      <c r="AT34" s="98">
        <f t="shared" si="38"/>
        <v>-26690.663312500867</v>
      </c>
      <c r="AU34" s="98">
        <f t="shared" si="38"/>
        <v>-22881.880879936449</v>
      </c>
      <c r="AV34" s="98">
        <f t="shared" si="38"/>
        <v>-18463.520742004126</v>
      </c>
      <c r="AW34" s="98">
        <f t="shared" si="38"/>
        <v>-14286.705507836014</v>
      </c>
      <c r="AX34" s="98">
        <f t="shared" si="38"/>
        <v>-9395.4985932252021</v>
      </c>
      <c r="AY34" s="98">
        <f t="shared" si="38"/>
        <v>-4834.8752361830266</v>
      </c>
      <c r="BA34" s="188">
        <v>82</v>
      </c>
      <c r="BB34" s="188">
        <v>18.5</v>
      </c>
      <c r="BC34" s="188"/>
      <c r="BD34" s="188"/>
    </row>
    <row r="35" spans="1:56" ht="14.7" thickBot="1" x14ac:dyDescent="0.6">
      <c r="A35" s="167" t="s">
        <v>423</v>
      </c>
      <c r="B35" s="167" t="s">
        <v>424</v>
      </c>
      <c r="C35" s="168" t="s">
        <v>425</v>
      </c>
      <c r="D35" s="99" t="str">
        <f t="shared" ref="D35:AF35" si="39">_xlfn.TEXTJOIN(",",TRUE,IF(D25="IRMAA","IRM",""),IF(AND(D29&gt;10000,D50+1000&lt;D29),"UND",""),IF(D30&gt;10000,"OVR",""),IF(D21&gt;500000,"LTCG",""),IF(D13&gt;0,"EXP",""),IF(AND(D4&gt;=$BB$9,D15&gt;0),"RMD",""),IF(D34&lt;0,"SHORT",""))</f>
        <v>SHORT</v>
      </c>
      <c r="E35" s="99" t="str">
        <f t="shared" si="39"/>
        <v>SHORT</v>
      </c>
      <c r="F35" s="99" t="str">
        <f t="shared" si="39"/>
        <v>SHORT</v>
      </c>
      <c r="G35" s="99" t="str">
        <f t="shared" si="39"/>
        <v>SHORT</v>
      </c>
      <c r="H35" s="99" t="str">
        <f t="shared" si="39"/>
        <v>SHORT</v>
      </c>
      <c r="I35" s="99" t="str">
        <f t="shared" si="39"/>
        <v>SHORT</v>
      </c>
      <c r="J35" s="99" t="str">
        <f t="shared" si="39"/>
        <v>SHORT</v>
      </c>
      <c r="K35" s="99" t="str">
        <f t="shared" si="39"/>
        <v>SHORT</v>
      </c>
      <c r="L35" s="99" t="str">
        <f t="shared" si="39"/>
        <v>SHORT</v>
      </c>
      <c r="M35" s="99" t="str">
        <f t="shared" si="39"/>
        <v>SHORT</v>
      </c>
      <c r="N35" s="99" t="str">
        <f t="shared" si="39"/>
        <v>SHORT</v>
      </c>
      <c r="O35" s="99" t="str">
        <f t="shared" si="39"/>
        <v>SHORT</v>
      </c>
      <c r="P35" s="99" t="str">
        <f t="shared" si="39"/>
        <v>SHORT</v>
      </c>
      <c r="Q35" s="99" t="str">
        <f t="shared" si="39"/>
        <v>SHORT</v>
      </c>
      <c r="R35" s="99" t="str">
        <f t="shared" si="39"/>
        <v>SHORT</v>
      </c>
      <c r="S35" s="99" t="str">
        <f t="shared" si="39"/>
        <v>SHORT</v>
      </c>
      <c r="T35" s="99" t="str">
        <f t="shared" si="39"/>
        <v>SHORT</v>
      </c>
      <c r="U35" s="99" t="str">
        <f t="shared" si="39"/>
        <v>SHORT</v>
      </c>
      <c r="V35" s="99" t="str">
        <f t="shared" si="39"/>
        <v>SHORT</v>
      </c>
      <c r="W35" s="99" t="str">
        <f t="shared" si="39"/>
        <v>SHORT</v>
      </c>
      <c r="X35" s="99" t="str">
        <f t="shared" si="39"/>
        <v>SHORT</v>
      </c>
      <c r="Y35" s="99" t="str">
        <f t="shared" si="39"/>
        <v>SHORT</v>
      </c>
      <c r="Z35" s="99" t="str">
        <f t="shared" si="39"/>
        <v>SHORT</v>
      </c>
      <c r="AA35" s="99" t="str">
        <f t="shared" si="39"/>
        <v>UND,SHORT</v>
      </c>
      <c r="AB35" s="99" t="str">
        <f t="shared" si="39"/>
        <v>UND,SHORT</v>
      </c>
      <c r="AC35" s="99" t="str">
        <f t="shared" si="39"/>
        <v>UND,SHORT</v>
      </c>
      <c r="AD35" s="99" t="str">
        <f t="shared" si="39"/>
        <v>UND,SHORT</v>
      </c>
      <c r="AE35" s="99" t="str">
        <f t="shared" si="39"/>
        <v>SHORT</v>
      </c>
      <c r="AF35" s="99" t="str">
        <f t="shared" si="39"/>
        <v>SHORT</v>
      </c>
      <c r="AG35" s="99" t="str">
        <f t="shared" ref="AG35:AY35" si="40">_xlfn.TEXTJOIN(",",TRUE,IF(AG25="IRMAA","IRM",""),IF(AND(AG29&gt;10000,AG50+1000&lt;AG29),"UND",""),IF(AG30&gt;10000,"OVR",""),IF(AG21&gt;500000,"LTCG",""),IF(AG13&gt;0,"EXP",""),IF(AND(AG4&gt;=$BB$9,AG15&gt;0),"RMD",""),IF(AG34&lt;0,"SHORT",""))</f>
        <v>SHORT</v>
      </c>
      <c r="AH35" s="99" t="str">
        <f t="shared" si="40"/>
        <v>SHORT</v>
      </c>
      <c r="AI35" s="99" t="str">
        <f t="shared" si="40"/>
        <v>SHORT</v>
      </c>
      <c r="AJ35" s="99" t="str">
        <f t="shared" si="40"/>
        <v>SHORT</v>
      </c>
      <c r="AK35" s="99" t="str">
        <f t="shared" si="40"/>
        <v>SHORT</v>
      </c>
      <c r="AL35" s="99" t="str">
        <f t="shared" si="40"/>
        <v>SHORT</v>
      </c>
      <c r="AM35" s="99" t="str">
        <f t="shared" si="40"/>
        <v>SHORT</v>
      </c>
      <c r="AN35" s="99" t="str">
        <f t="shared" si="40"/>
        <v>SHORT</v>
      </c>
      <c r="AO35" s="99" t="str">
        <f t="shared" si="40"/>
        <v>RMD,SHORT</v>
      </c>
      <c r="AP35" s="99" t="str">
        <f t="shared" si="40"/>
        <v>RMD,SHORT</v>
      </c>
      <c r="AQ35" s="99" t="str">
        <f t="shared" si="40"/>
        <v>RMD,SHORT</v>
      </c>
      <c r="AR35" s="99" t="str">
        <f t="shared" si="40"/>
        <v>RMD,SHORT</v>
      </c>
      <c r="AS35" s="99" t="str">
        <f t="shared" si="40"/>
        <v>RMD,SHORT</v>
      </c>
      <c r="AT35" s="99" t="str">
        <f t="shared" si="40"/>
        <v>RMD,SHORT</v>
      </c>
      <c r="AU35" s="99" t="str">
        <f t="shared" si="40"/>
        <v>RMD,SHORT</v>
      </c>
      <c r="AV35" s="99" t="str">
        <f t="shared" si="40"/>
        <v>RMD,SHORT</v>
      </c>
      <c r="AW35" s="99" t="str">
        <f t="shared" si="40"/>
        <v>RMD,SHORT</v>
      </c>
      <c r="AX35" s="99" t="str">
        <f t="shared" si="40"/>
        <v>RMD,SHORT</v>
      </c>
      <c r="AY35" s="99" t="str">
        <f t="shared" si="40"/>
        <v>RMD,SHORT</v>
      </c>
      <c r="BA35" s="188" t="s">
        <v>426</v>
      </c>
      <c r="BB35" s="227">
        <f>Tax!B11</f>
        <v>24800</v>
      </c>
      <c r="BC35" s="188"/>
      <c r="BD35" s="188"/>
    </row>
    <row r="36" spans="1:56" ht="14.7" thickTop="1" x14ac:dyDescent="0.55000000000000004">
      <c r="A36" s="169" t="s">
        <v>427</v>
      </c>
      <c r="B36" s="169" t="s">
        <v>428</v>
      </c>
      <c r="C36" s="170" t="s">
        <v>429</v>
      </c>
      <c r="D36" s="100">
        <f>MAX(0,$BB$17*(1+$BB$4)-D10+IF(D11&gt;0,D11-D22,0)+IF(D6&gt;300000,100000,0))</f>
        <v>11141.1618</v>
      </c>
      <c r="E36" s="100">
        <f t="shared" ref="E36:AF36" si="41">MAX(0,D36*(1+$BB$4)-E10+IF(E11&gt;0,E11-E22,0)+IF(E6&gt;300000,100000,0))</f>
        <v>11809.631508</v>
      </c>
      <c r="F36" s="100">
        <f t="shared" si="41"/>
        <v>12518.209398480001</v>
      </c>
      <c r="G36" s="100">
        <f t="shared" si="41"/>
        <v>13269.301962388801</v>
      </c>
      <c r="H36" s="100">
        <f t="shared" si="41"/>
        <v>14065.46008013213</v>
      </c>
      <c r="I36" s="100">
        <f t="shared" si="41"/>
        <v>14909.387684940059</v>
      </c>
      <c r="J36" s="100">
        <f t="shared" si="41"/>
        <v>15803.950946036462</v>
      </c>
      <c r="K36" s="100">
        <f t="shared" si="41"/>
        <v>16752.188002798652</v>
      </c>
      <c r="L36" s="100">
        <f t="shared" si="41"/>
        <v>17757.319282966571</v>
      </c>
      <c r="M36" s="100">
        <f t="shared" si="41"/>
        <v>18822.758439944566</v>
      </c>
      <c r="N36" s="100">
        <f t="shared" si="41"/>
        <v>19952.123946341242</v>
      </c>
      <c r="O36" s="100">
        <f t="shared" si="41"/>
        <v>21149.251383121718</v>
      </c>
      <c r="P36" s="100">
        <f t="shared" si="41"/>
        <v>22418.206466109023</v>
      </c>
      <c r="Q36" s="100">
        <f t="shared" si="41"/>
        <v>23763.298854075565</v>
      </c>
      <c r="R36" s="100">
        <f t="shared" si="41"/>
        <v>25189.0967853201</v>
      </c>
      <c r="S36" s="100">
        <f t="shared" si="41"/>
        <v>26700.442592439307</v>
      </c>
      <c r="T36" s="100">
        <f t="shared" si="41"/>
        <v>28302.469147985666</v>
      </c>
      <c r="U36" s="100">
        <f t="shared" si="41"/>
        <v>30000.61729686481</v>
      </c>
      <c r="V36" s="100">
        <f t="shared" si="41"/>
        <v>31800.654334676699</v>
      </c>
      <c r="W36" s="100">
        <f t="shared" si="41"/>
        <v>33708.6935947573</v>
      </c>
      <c r="X36" s="100">
        <f t="shared" si="41"/>
        <v>35731.215210442737</v>
      </c>
      <c r="Y36" s="100">
        <f t="shared" si="41"/>
        <v>37875.088123069305</v>
      </c>
      <c r="Z36" s="100">
        <f t="shared" si="41"/>
        <v>40147.593410453468</v>
      </c>
      <c r="AA36" s="100">
        <f t="shared" si="41"/>
        <v>7556.4490150806814</v>
      </c>
      <c r="AB36" s="100">
        <f t="shared" si="41"/>
        <v>0</v>
      </c>
      <c r="AC36" s="100">
        <f t="shared" si="41"/>
        <v>0</v>
      </c>
      <c r="AD36" s="100">
        <f t="shared" si="41"/>
        <v>0</v>
      </c>
      <c r="AE36" s="100">
        <f t="shared" si="41"/>
        <v>0</v>
      </c>
      <c r="AF36" s="100">
        <f t="shared" si="41"/>
        <v>0</v>
      </c>
      <c r="AG36" s="100">
        <f t="shared" ref="AG36" si="42">MAX(0,AF36*(1+$BB$4)-AG10+IF(AG11&gt;0,AG11-AG22,0)+IF(AG6&gt;300000,100000,0))</f>
        <v>0</v>
      </c>
      <c r="AH36" s="100">
        <f t="shared" ref="AH36" si="43">MAX(0,AG36*(1+$BB$4)-AH10+IF(AH11&gt;0,AH11-AH22,0)+IF(AH6&gt;300000,100000,0))</f>
        <v>0</v>
      </c>
      <c r="AI36" s="100">
        <f t="shared" ref="AI36" si="44">MAX(0,AH36*(1+$BB$4)-AI10+IF(AI11&gt;0,AI11-AI22,0)+IF(AI6&gt;300000,100000,0))</f>
        <v>0</v>
      </c>
      <c r="AJ36" s="100">
        <f t="shared" ref="AJ36" si="45">MAX(0,AI36*(1+$BB$4)-AJ10+IF(AJ11&gt;0,AJ11-AJ22,0)+IF(AJ6&gt;300000,100000,0))</f>
        <v>0</v>
      </c>
      <c r="AK36" s="100">
        <f t="shared" ref="AK36" si="46">MAX(0,AJ36*(1+$BB$4)-AK10+IF(AK11&gt;0,AK11-AK22,0)+IF(AK6&gt;300000,100000,0))</f>
        <v>0</v>
      </c>
      <c r="AL36" s="100">
        <f t="shared" ref="AL36" si="47">MAX(0,AK36*(1+$BB$4)-AL10+IF(AL11&gt;0,AL11-AL22,0)+IF(AL6&gt;300000,100000,0))</f>
        <v>0</v>
      </c>
      <c r="AM36" s="100">
        <f t="shared" ref="AM36" si="48">MAX(0,AL36*(1+$BB$4)-AM10+IF(AM11&gt;0,AM11-AM22,0)+IF(AM6&gt;300000,100000,0))</f>
        <v>0</v>
      </c>
      <c r="AN36" s="100">
        <f t="shared" ref="AN36" si="49">MAX(0,AM36*(1+$BB$4)-AN10+IF(AN11&gt;0,AN11-AN22,0)+IF(AN6&gt;300000,100000,0))</f>
        <v>0</v>
      </c>
      <c r="AO36" s="100">
        <f t="shared" ref="AO36" si="50">MAX(0,AN36*(1+$BB$4)-AO10+IF(AO11&gt;0,AO11-AO22,0)+IF(AO6&gt;300000,100000,0))</f>
        <v>0</v>
      </c>
      <c r="AP36" s="100">
        <f t="shared" ref="AP36" si="51">MAX(0,AO36*(1+$BB$4)-AP10+IF(AP11&gt;0,AP11-AP22,0)+IF(AP6&gt;300000,100000,0))</f>
        <v>0</v>
      </c>
      <c r="AQ36" s="100">
        <f t="shared" ref="AQ36" si="52">MAX(0,AP36*(1+$BB$4)-AQ10+IF(AQ11&gt;0,AQ11-AQ22,0)+IF(AQ6&gt;300000,100000,0))</f>
        <v>0</v>
      </c>
      <c r="AR36" s="100">
        <f t="shared" ref="AR36" si="53">MAX(0,AQ36*(1+$BB$4)-AR10+IF(AR11&gt;0,AR11-AR22,0)+IF(AR6&gt;300000,100000,0))</f>
        <v>0</v>
      </c>
      <c r="AS36" s="100">
        <f t="shared" ref="AS36" si="54">MAX(0,AR36*(1+$BB$4)-AS10+IF(AS11&gt;0,AS11-AS22,0)+IF(AS6&gt;300000,100000,0))</f>
        <v>0</v>
      </c>
      <c r="AT36" s="100">
        <f t="shared" ref="AT36" si="55">MAX(0,AS36*(1+$BB$4)-AT10+IF(AT11&gt;0,AT11-AT22,0)+IF(AT6&gt;300000,100000,0))</f>
        <v>0</v>
      </c>
      <c r="AU36" s="100">
        <f t="shared" ref="AU36" si="56">MAX(0,AT36*(1+$BB$4)-AU10+IF(AU11&gt;0,AU11-AU22,0)+IF(AU6&gt;300000,100000,0))</f>
        <v>0</v>
      </c>
      <c r="AV36" s="100">
        <f t="shared" ref="AV36" si="57">MAX(0,AU36*(1+$BB$4)-AV10+IF(AV11&gt;0,AV11-AV22,0)+IF(AV6&gt;300000,100000,0))</f>
        <v>0</v>
      </c>
      <c r="AW36" s="100">
        <f t="shared" ref="AW36" si="58">MAX(0,AV36*(1+$BB$4)-AW10+IF(AW11&gt;0,AW11-AW22,0)+IF(AW6&gt;300000,100000,0))</f>
        <v>0</v>
      </c>
      <c r="AX36" s="100">
        <f t="shared" ref="AX36" si="59">MAX(0,AW36*(1+$BB$4)-AX10+IF(AX11&gt;0,AX11-AX22,0)+IF(AX6&gt;300000,100000,0))</f>
        <v>0</v>
      </c>
      <c r="AY36" s="100">
        <f t="shared" ref="AY36" si="60">MAX(0,AX36*(1+$BB$4)-AY10+IF(AY11&gt;0,AY11-AY22,0)+IF(AY6&gt;300000,100000,0))</f>
        <v>0</v>
      </c>
      <c r="BA36" s="188" t="s">
        <v>430</v>
      </c>
      <c r="BB36" s="227">
        <f>Tax!B15</f>
        <v>512450</v>
      </c>
      <c r="BC36" s="188"/>
      <c r="BD36" s="188"/>
    </row>
    <row r="37" spans="1:56" ht="28.8" x14ac:dyDescent="0.55000000000000004">
      <c r="A37" s="171" t="s">
        <v>427</v>
      </c>
      <c r="B37" s="171" t="s">
        <v>431</v>
      </c>
      <c r="C37" s="172" t="s">
        <v>680</v>
      </c>
      <c r="D37" s="101">
        <f>MAX(0,$BB$18*(1+$BB$4)+D48-D50-D15)</f>
        <v>214248.13640000002</v>
      </c>
      <c r="E37" s="101">
        <f>MAX(0,D37*(1+$BB$4)+E48-E50-E15)</f>
        <v>227103.02458400003</v>
      </c>
      <c r="F37" s="101">
        <f t="shared" ref="F37:AY37" si="61">MAX(0,E37*(1+$BB$4)+F48-F50-F15)</f>
        <v>240729.20605904004</v>
      </c>
      <c r="G37" s="101">
        <f t="shared" si="61"/>
        <v>255172.95842258245</v>
      </c>
      <c r="H37" s="101">
        <f t="shared" si="61"/>
        <v>270483.33592793741</v>
      </c>
      <c r="I37" s="101">
        <f t="shared" si="61"/>
        <v>286712.33608361369</v>
      </c>
      <c r="J37" s="101">
        <f t="shared" si="61"/>
        <v>303915.07624863053</v>
      </c>
      <c r="K37" s="101">
        <f t="shared" si="61"/>
        <v>322149.98082354839</v>
      </c>
      <c r="L37" s="101">
        <f t="shared" si="61"/>
        <v>341478.97967296129</v>
      </c>
      <c r="M37" s="101">
        <f t="shared" si="61"/>
        <v>361967.71845333901</v>
      </c>
      <c r="N37" s="101">
        <f t="shared" si="61"/>
        <v>383685.78156053938</v>
      </c>
      <c r="O37" s="101">
        <f t="shared" si="61"/>
        <v>406706.92845417175</v>
      </c>
      <c r="P37" s="101">
        <f t="shared" si="61"/>
        <v>431109.34416142205</v>
      </c>
      <c r="Q37" s="101">
        <f t="shared" si="61"/>
        <v>456975.90481110738</v>
      </c>
      <c r="R37" s="101">
        <f t="shared" si="61"/>
        <v>484394.45909977384</v>
      </c>
      <c r="S37" s="101">
        <f t="shared" si="61"/>
        <v>513458.12664576032</v>
      </c>
      <c r="T37" s="101">
        <f t="shared" si="61"/>
        <v>544265.614244506</v>
      </c>
      <c r="U37" s="101">
        <f t="shared" si="61"/>
        <v>576921.5510991764</v>
      </c>
      <c r="V37" s="101">
        <f t="shared" si="61"/>
        <v>611536.84416512703</v>
      </c>
      <c r="W37" s="101">
        <f t="shared" si="61"/>
        <v>648229.05481503473</v>
      </c>
      <c r="X37" s="101">
        <f t="shared" si="61"/>
        <v>687122.79810393683</v>
      </c>
      <c r="Y37" s="101">
        <f t="shared" si="61"/>
        <v>728350.16599017312</v>
      </c>
      <c r="Z37" s="101">
        <f t="shared" si="61"/>
        <v>772051.17594958353</v>
      </c>
      <c r="AA37" s="101">
        <f t="shared" si="61"/>
        <v>818374.24650655861</v>
      </c>
      <c r="AB37" s="101">
        <f t="shared" si="61"/>
        <v>867476.7012969522</v>
      </c>
      <c r="AC37" s="101">
        <f t="shared" si="61"/>
        <v>919525.3033747694</v>
      </c>
      <c r="AD37" s="101">
        <f t="shared" si="61"/>
        <v>974696.82157725561</v>
      </c>
      <c r="AE37" s="101">
        <f t="shared" si="61"/>
        <v>1033178.630871891</v>
      </c>
      <c r="AF37" s="101">
        <f t="shared" si="61"/>
        <v>1095169.3487242046</v>
      </c>
      <c r="AG37" s="101">
        <f t="shared" si="61"/>
        <v>1160879.5096476569</v>
      </c>
      <c r="AH37" s="101">
        <f t="shared" si="61"/>
        <v>1230532.2802265163</v>
      </c>
      <c r="AI37" s="101">
        <f t="shared" si="61"/>
        <v>1304364.2170401074</v>
      </c>
      <c r="AJ37" s="101">
        <f t="shared" si="61"/>
        <v>1382626.0700625139</v>
      </c>
      <c r="AK37" s="101">
        <f t="shared" si="61"/>
        <v>1465583.6342662647</v>
      </c>
      <c r="AL37" s="101">
        <f t="shared" si="61"/>
        <v>1553518.6523222406</v>
      </c>
      <c r="AM37" s="101">
        <f t="shared" si="61"/>
        <v>1646729.7714615751</v>
      </c>
      <c r="AN37" s="101">
        <f t="shared" si="61"/>
        <v>1745533.5577492698</v>
      </c>
      <c r="AO37" s="101">
        <f t="shared" si="61"/>
        <v>1779308.9225252313</v>
      </c>
      <c r="AP37" s="101">
        <f t="shared" si="61"/>
        <v>1810991.1320317986</v>
      </c>
      <c r="AQ37" s="101">
        <f t="shared" si="61"/>
        <v>1840568.017768912</v>
      </c>
      <c r="AR37" s="101">
        <f t="shared" si="61"/>
        <v>1867339.9162091871</v>
      </c>
      <c r="AS37" s="101">
        <f t="shared" si="61"/>
        <v>1890880.7890865165</v>
      </c>
      <c r="AT37" s="101">
        <f t="shared" si="61"/>
        <v>1910725.6765759394</v>
      </c>
      <c r="AU37" s="101">
        <f t="shared" si="61"/>
        <v>1926878.202914004</v>
      </c>
      <c r="AV37" s="101">
        <f t="shared" si="61"/>
        <v>1938335.3165529522</v>
      </c>
      <c r="AW37" s="101">
        <f t="shared" si="61"/>
        <v>1945124.9656843808</v>
      </c>
      <c r="AX37" s="101">
        <f t="shared" si="61"/>
        <v>1946051.2156680403</v>
      </c>
      <c r="AY37" s="101">
        <f t="shared" si="61"/>
        <v>1941186.0876288703</v>
      </c>
      <c r="BA37" s="188" t="s">
        <v>432</v>
      </c>
      <c r="BB37" s="227">
        <f>Tax!B16</f>
        <v>768700</v>
      </c>
      <c r="BC37" s="188"/>
      <c r="BD37" s="188"/>
    </row>
    <row r="38" spans="1:56" x14ac:dyDescent="0.55000000000000004">
      <c r="A38" s="171" t="s">
        <v>427</v>
      </c>
      <c r="B38" s="171" t="s">
        <v>433</v>
      </c>
      <c r="C38" s="172" t="s">
        <v>434</v>
      </c>
      <c r="D38" s="101">
        <f>MAX(0,$BB$19*(1+$BB$4)+D50-D12+D14)</f>
        <v>2385</v>
      </c>
      <c r="E38" s="101">
        <f>MAX(0,D38*(1+$BB$4)+E50-E12+E14)</f>
        <v>2528.1</v>
      </c>
      <c r="F38" s="101">
        <f t="shared" ref="F38:AY38" si="62">MAX(0,E38*(1+$BB$4)+F50-F12+F14)</f>
        <v>2679.7860000000001</v>
      </c>
      <c r="G38" s="101">
        <f t="shared" si="62"/>
        <v>2840.5731600000004</v>
      </c>
      <c r="H38" s="101">
        <f t="shared" si="62"/>
        <v>3011.0075496000004</v>
      </c>
      <c r="I38" s="101">
        <f t="shared" si="62"/>
        <v>3191.6680025760006</v>
      </c>
      <c r="J38" s="101">
        <f t="shared" si="62"/>
        <v>3383.1680827305609</v>
      </c>
      <c r="K38" s="101">
        <f t="shared" si="62"/>
        <v>3586.1581676943947</v>
      </c>
      <c r="L38" s="101">
        <f t="shared" si="62"/>
        <v>3801.3276577560587</v>
      </c>
      <c r="M38" s="101">
        <f t="shared" si="62"/>
        <v>4029.4073172214225</v>
      </c>
      <c r="N38" s="101">
        <f t="shared" si="62"/>
        <v>4271.1717562547083</v>
      </c>
      <c r="O38" s="101">
        <f t="shared" si="62"/>
        <v>4527.4420616299913</v>
      </c>
      <c r="P38" s="101">
        <f t="shared" si="62"/>
        <v>4799.0885853277914</v>
      </c>
      <c r="Q38" s="101">
        <f t="shared" si="62"/>
        <v>5087.033900447459</v>
      </c>
      <c r="R38" s="101">
        <f t="shared" si="62"/>
        <v>5392.2559344743067</v>
      </c>
      <c r="S38" s="101">
        <f t="shared" si="62"/>
        <v>5715.7912905427656</v>
      </c>
      <c r="T38" s="101">
        <f t="shared" si="62"/>
        <v>6058.7387679753319</v>
      </c>
      <c r="U38" s="101">
        <f t="shared" si="62"/>
        <v>6422.263094053852</v>
      </c>
      <c r="V38" s="101">
        <f t="shared" si="62"/>
        <v>6807.5988796970832</v>
      </c>
      <c r="W38" s="101">
        <f t="shared" si="62"/>
        <v>7216.0548124789084</v>
      </c>
      <c r="X38" s="101">
        <f t="shared" si="62"/>
        <v>7649.0181012276435</v>
      </c>
      <c r="Y38" s="101">
        <f t="shared" si="62"/>
        <v>8107.9591873013023</v>
      </c>
      <c r="Z38" s="101">
        <f t="shared" si="62"/>
        <v>8594.4367385393816</v>
      </c>
      <c r="AA38" s="101">
        <f t="shared" si="62"/>
        <v>9110.102942851745</v>
      </c>
      <c r="AB38" s="101">
        <f t="shared" si="62"/>
        <v>9656.7091194228506</v>
      </c>
      <c r="AC38" s="101">
        <f t="shared" si="62"/>
        <v>10236.111666588222</v>
      </c>
      <c r="AD38" s="101">
        <f t="shared" si="62"/>
        <v>10850.278366583516</v>
      </c>
      <c r="AE38" s="101">
        <f t="shared" si="62"/>
        <v>11501.295068578527</v>
      </c>
      <c r="AF38" s="101">
        <f t="shared" si="62"/>
        <v>12191.372772693239</v>
      </c>
      <c r="AG38" s="101">
        <f t="shared" si="62"/>
        <v>12922.855139054835</v>
      </c>
      <c r="AH38" s="101">
        <f t="shared" si="62"/>
        <v>13698.226447398125</v>
      </c>
      <c r="AI38" s="101">
        <f t="shared" si="62"/>
        <v>14520.120034242012</v>
      </c>
      <c r="AJ38" s="101">
        <f t="shared" si="62"/>
        <v>15391.327236296534</v>
      </c>
      <c r="AK38" s="101">
        <f t="shared" si="62"/>
        <v>16314.806870474327</v>
      </c>
      <c r="AL38" s="101">
        <f t="shared" si="62"/>
        <v>17293.695282702789</v>
      </c>
      <c r="AM38" s="101">
        <f t="shared" si="62"/>
        <v>18331.316999664956</v>
      </c>
      <c r="AN38" s="101">
        <f t="shared" si="62"/>
        <v>19431.196019644853</v>
      </c>
      <c r="AO38" s="101">
        <f t="shared" si="62"/>
        <v>20597.067780823545</v>
      </c>
      <c r="AP38" s="101">
        <f t="shared" si="62"/>
        <v>21832.89184767296</v>
      </c>
      <c r="AQ38" s="101">
        <f t="shared" si="62"/>
        <v>23142.865358533338</v>
      </c>
      <c r="AR38" s="101">
        <f t="shared" si="62"/>
        <v>24531.437280045338</v>
      </c>
      <c r="AS38" s="101">
        <f t="shared" si="62"/>
        <v>26003.323516848061</v>
      </c>
      <c r="AT38" s="101">
        <f t="shared" si="62"/>
        <v>27563.522927858947</v>
      </c>
      <c r="AU38" s="101">
        <f t="shared" si="62"/>
        <v>29217.334303530486</v>
      </c>
      <c r="AV38" s="101">
        <f t="shared" si="62"/>
        <v>30970.374361742317</v>
      </c>
      <c r="AW38" s="101">
        <f t="shared" si="62"/>
        <v>32828.59682344686</v>
      </c>
      <c r="AX38" s="101">
        <f t="shared" si="62"/>
        <v>34798.312632853675</v>
      </c>
      <c r="AY38" s="101">
        <f t="shared" si="62"/>
        <v>36886.211390824894</v>
      </c>
      <c r="BA38" s="188" t="s">
        <v>435</v>
      </c>
      <c r="BB38" s="227">
        <f>Tax!B21</f>
        <v>32000</v>
      </c>
      <c r="BC38" s="188"/>
      <c r="BD38" s="188"/>
    </row>
    <row r="39" spans="1:56" ht="14.7" thickBot="1" x14ac:dyDescent="0.6">
      <c r="A39" s="173" t="s">
        <v>427</v>
      </c>
      <c r="B39" s="173" t="s">
        <v>436</v>
      </c>
      <c r="C39" s="174" t="s">
        <v>437</v>
      </c>
      <c r="D39" s="102">
        <f t="shared" ref="D39:AF39" si="63">D36+D37+D38</f>
        <v>227774.29820000002</v>
      </c>
      <c r="E39" s="102">
        <f t="shared" si="63"/>
        <v>241440.75609200003</v>
      </c>
      <c r="F39" s="102">
        <f t="shared" si="63"/>
        <v>255927.20145752004</v>
      </c>
      <c r="G39" s="102">
        <f t="shared" si="63"/>
        <v>271282.8335449713</v>
      </c>
      <c r="H39" s="102">
        <f t="shared" si="63"/>
        <v>287559.80355766951</v>
      </c>
      <c r="I39" s="102">
        <f t="shared" si="63"/>
        <v>304813.39177112974</v>
      </c>
      <c r="J39" s="102">
        <f t="shared" si="63"/>
        <v>323102.19527739752</v>
      </c>
      <c r="K39" s="102">
        <f t="shared" si="63"/>
        <v>342488.32699404145</v>
      </c>
      <c r="L39" s="102">
        <f t="shared" si="63"/>
        <v>363037.62661368388</v>
      </c>
      <c r="M39" s="102">
        <f t="shared" si="63"/>
        <v>384819.884210505</v>
      </c>
      <c r="N39" s="102">
        <f t="shared" si="63"/>
        <v>407909.07726313529</v>
      </c>
      <c r="O39" s="102">
        <f t="shared" si="63"/>
        <v>432383.62189892348</v>
      </c>
      <c r="P39" s="102">
        <f t="shared" si="63"/>
        <v>458326.63921285886</v>
      </c>
      <c r="Q39" s="102">
        <f t="shared" si="63"/>
        <v>485826.23756563041</v>
      </c>
      <c r="R39" s="102">
        <f t="shared" si="63"/>
        <v>514975.81181956822</v>
      </c>
      <c r="S39" s="102">
        <f t="shared" si="63"/>
        <v>545874.36052874243</v>
      </c>
      <c r="T39" s="102">
        <f t="shared" si="63"/>
        <v>578626.82216046704</v>
      </c>
      <c r="U39" s="102">
        <f t="shared" si="63"/>
        <v>613344.4314900951</v>
      </c>
      <c r="V39" s="102">
        <f t="shared" si="63"/>
        <v>650145.09737950074</v>
      </c>
      <c r="W39" s="102">
        <f t="shared" si="63"/>
        <v>689153.80322227103</v>
      </c>
      <c r="X39" s="102">
        <f t="shared" si="63"/>
        <v>730503.0314156072</v>
      </c>
      <c r="Y39" s="102">
        <f t="shared" si="63"/>
        <v>774333.21330054372</v>
      </c>
      <c r="Z39" s="102">
        <f t="shared" si="63"/>
        <v>820793.20609857643</v>
      </c>
      <c r="AA39" s="102">
        <f t="shared" si="63"/>
        <v>835040.79846449103</v>
      </c>
      <c r="AB39" s="102">
        <f t="shared" si="63"/>
        <v>877133.41041637503</v>
      </c>
      <c r="AC39" s="102">
        <f t="shared" si="63"/>
        <v>929761.41504135763</v>
      </c>
      <c r="AD39" s="102">
        <f t="shared" si="63"/>
        <v>985547.09994383913</v>
      </c>
      <c r="AE39" s="102">
        <f t="shared" si="63"/>
        <v>1044679.9259404696</v>
      </c>
      <c r="AF39" s="102">
        <f t="shared" si="63"/>
        <v>1107360.7214968977</v>
      </c>
      <c r="AG39" s="102">
        <f t="shared" ref="AG39:AY39" si="64">AG36+AG37+AG38</f>
        <v>1173802.3647867118</v>
      </c>
      <c r="AH39" s="102">
        <f t="shared" si="64"/>
        <v>1244230.5066739144</v>
      </c>
      <c r="AI39" s="102">
        <f t="shared" si="64"/>
        <v>1318884.3370743494</v>
      </c>
      <c r="AJ39" s="102">
        <f t="shared" si="64"/>
        <v>1398017.3972988105</v>
      </c>
      <c r="AK39" s="102">
        <f t="shared" si="64"/>
        <v>1481898.441136739</v>
      </c>
      <c r="AL39" s="102">
        <f t="shared" si="64"/>
        <v>1570812.3476049434</v>
      </c>
      <c r="AM39" s="102">
        <f t="shared" si="64"/>
        <v>1665061.0884612401</v>
      </c>
      <c r="AN39" s="102">
        <f t="shared" si="64"/>
        <v>1764964.7537689146</v>
      </c>
      <c r="AO39" s="102">
        <f t="shared" si="64"/>
        <v>1799905.9903060547</v>
      </c>
      <c r="AP39" s="102">
        <f t="shared" si="64"/>
        <v>1832824.0238794715</v>
      </c>
      <c r="AQ39" s="102">
        <f t="shared" si="64"/>
        <v>1863710.8831274454</v>
      </c>
      <c r="AR39" s="102">
        <f t="shared" si="64"/>
        <v>1891871.3534892325</v>
      </c>
      <c r="AS39" s="102">
        <f t="shared" si="64"/>
        <v>1916884.1126033645</v>
      </c>
      <c r="AT39" s="102">
        <f t="shared" si="64"/>
        <v>1938289.1995037983</v>
      </c>
      <c r="AU39" s="102">
        <f t="shared" si="64"/>
        <v>1956095.5372175344</v>
      </c>
      <c r="AV39" s="102">
        <f t="shared" si="64"/>
        <v>1969305.6909146945</v>
      </c>
      <c r="AW39" s="102">
        <f t="shared" si="64"/>
        <v>1977953.5625078278</v>
      </c>
      <c r="AX39" s="102">
        <f t="shared" si="64"/>
        <v>1980849.528300894</v>
      </c>
      <c r="AY39" s="102">
        <f t="shared" si="64"/>
        <v>1978072.2990196953</v>
      </c>
      <c r="BA39" s="188" t="s">
        <v>438</v>
      </c>
      <c r="BB39" s="227">
        <f>Tax!B22</f>
        <v>44000</v>
      </c>
      <c r="BC39" s="188"/>
      <c r="BD39" s="188"/>
    </row>
    <row r="40" spans="1:56" ht="15.9" thickBot="1" x14ac:dyDescent="0.65">
      <c r="A40" s="272" t="s">
        <v>697</v>
      </c>
      <c r="B40" s="272"/>
      <c r="C40" s="273"/>
      <c r="D40" s="274"/>
      <c r="E40" s="274"/>
      <c r="F40" s="274"/>
      <c r="G40" s="274"/>
      <c r="H40" s="274"/>
      <c r="I40" s="274"/>
      <c r="J40" s="274"/>
      <c r="K40" s="274"/>
      <c r="L40" s="274"/>
      <c r="M40" s="274"/>
      <c r="N40" s="274"/>
      <c r="O40" s="274"/>
      <c r="P40" s="274"/>
      <c r="Q40" s="274"/>
      <c r="R40" s="274"/>
      <c r="S40" s="274"/>
      <c r="T40" s="274"/>
      <c r="U40" s="274"/>
      <c r="V40" s="274"/>
      <c r="W40" s="274"/>
      <c r="X40" s="274"/>
      <c r="Y40" s="274"/>
      <c r="Z40" s="274"/>
      <c r="AA40" s="274"/>
      <c r="AB40" s="274"/>
      <c r="AC40" s="274"/>
      <c r="AD40" s="274"/>
      <c r="AE40" s="274"/>
      <c r="AF40" s="274"/>
      <c r="AG40" s="274"/>
      <c r="AH40" s="274"/>
      <c r="AI40" s="274"/>
      <c r="AJ40" s="274"/>
      <c r="AK40" s="274"/>
      <c r="AL40" s="274"/>
      <c r="AM40" s="274"/>
      <c r="AN40" s="274"/>
      <c r="AO40" s="274"/>
      <c r="AP40" s="274"/>
      <c r="AQ40" s="274"/>
      <c r="AR40" s="274"/>
      <c r="AS40" s="274"/>
      <c r="AT40" s="274"/>
      <c r="AU40" s="274"/>
      <c r="AV40" s="274"/>
      <c r="AW40" s="274"/>
      <c r="AX40" s="274"/>
      <c r="AY40" s="274"/>
      <c r="BA40" s="188">
        <v>88</v>
      </c>
      <c r="BB40" s="188">
        <v>13.7</v>
      </c>
      <c r="BC40" s="188"/>
      <c r="BD40" s="188"/>
    </row>
    <row r="41" spans="1:56" ht="15" thickTop="1" thickBot="1" x14ac:dyDescent="0.6">
      <c r="A41" s="169" t="s">
        <v>439</v>
      </c>
      <c r="B41" s="169" t="s">
        <v>440</v>
      </c>
      <c r="C41" s="175"/>
      <c r="D41" s="103">
        <f>SUM(D22:AY22)</f>
        <v>693787.13756312872</v>
      </c>
      <c r="E41" s="104"/>
      <c r="F41" s="104"/>
      <c r="G41" s="104"/>
      <c r="H41" s="104"/>
      <c r="I41" s="104"/>
      <c r="J41" s="104"/>
      <c r="K41" s="104"/>
      <c r="L41" s="104"/>
      <c r="M41" s="104"/>
      <c r="N41" s="104"/>
      <c r="O41" s="104"/>
      <c r="P41" s="104"/>
      <c r="Q41" s="104"/>
      <c r="R41" s="104"/>
      <c r="S41" s="104"/>
      <c r="T41" s="104"/>
      <c r="U41" s="104"/>
      <c r="V41" s="104"/>
      <c r="W41" s="104"/>
      <c r="X41" s="104"/>
      <c r="Y41" s="104"/>
      <c r="Z41" s="104"/>
      <c r="AA41" s="104"/>
      <c r="AB41" s="104"/>
      <c r="AC41" s="104"/>
      <c r="AD41" s="104"/>
      <c r="AE41" s="104"/>
      <c r="AF41" s="104"/>
      <c r="AG41" s="104"/>
      <c r="AH41" s="104"/>
      <c r="AI41" s="104"/>
      <c r="AJ41" s="104"/>
      <c r="AK41" s="104"/>
      <c r="AL41" s="104"/>
      <c r="AM41" s="104"/>
      <c r="AN41" s="104"/>
      <c r="AO41" s="104"/>
      <c r="AP41" s="104"/>
      <c r="AQ41" s="104"/>
      <c r="AR41" s="104"/>
      <c r="AS41" s="104"/>
      <c r="AT41" s="104"/>
      <c r="AU41" s="104"/>
      <c r="AV41" s="104"/>
      <c r="AW41" s="104"/>
      <c r="AX41" s="104"/>
      <c r="AY41" s="104"/>
      <c r="BA41" s="188">
        <v>89</v>
      </c>
      <c r="BB41" s="188">
        <v>12.9</v>
      </c>
      <c r="BC41" s="188"/>
      <c r="BD41" s="188"/>
    </row>
    <row r="42" spans="1:56" ht="14.7" thickBot="1" x14ac:dyDescent="0.6">
      <c r="A42" s="176"/>
      <c r="B42" s="177" t="s">
        <v>441</v>
      </c>
      <c r="C42" s="178"/>
      <c r="D42" s="105">
        <f>SUM(D50:AY50)</f>
        <v>0</v>
      </c>
      <c r="E42" s="106"/>
      <c r="F42" s="106"/>
      <c r="G42" s="106"/>
      <c r="H42" s="106"/>
      <c r="I42" s="106"/>
      <c r="J42" s="106"/>
      <c r="K42" s="106"/>
      <c r="L42" s="106"/>
      <c r="M42" s="106"/>
      <c r="N42" s="106"/>
      <c r="O42" s="106"/>
      <c r="P42" s="106"/>
      <c r="Q42" s="106"/>
      <c r="R42" s="106"/>
      <c r="S42" s="106"/>
      <c r="T42" s="106"/>
      <c r="U42" s="106"/>
      <c r="V42" s="106"/>
      <c r="W42" s="106"/>
      <c r="X42" s="106"/>
      <c r="Y42" s="106"/>
      <c r="Z42" s="106"/>
      <c r="AA42" s="106"/>
      <c r="AB42" s="106"/>
      <c r="AC42" s="106"/>
      <c r="AD42" s="106"/>
      <c r="AE42" s="106"/>
      <c r="AF42" s="106"/>
      <c r="AG42" s="106"/>
      <c r="AH42" s="106"/>
      <c r="AI42" s="106"/>
      <c r="AJ42" s="106"/>
      <c r="AK42" s="106"/>
      <c r="AL42" s="106"/>
      <c r="AM42" s="106"/>
      <c r="AN42" s="106"/>
      <c r="AO42" s="106"/>
      <c r="AP42" s="106"/>
      <c r="AQ42" s="106"/>
      <c r="AR42" s="106"/>
      <c r="AS42" s="106"/>
      <c r="AT42" s="106"/>
      <c r="AU42" s="106"/>
      <c r="AV42" s="106"/>
      <c r="AW42" s="106"/>
      <c r="AX42" s="106"/>
      <c r="AY42" s="106"/>
      <c r="BA42" s="188">
        <v>90</v>
      </c>
      <c r="BB42" s="188">
        <v>12.2</v>
      </c>
      <c r="BC42" s="188"/>
      <c r="BD42" s="188"/>
    </row>
    <row r="43" spans="1:56" ht="14.7" thickBot="1" x14ac:dyDescent="0.6">
      <c r="A43" s="176"/>
      <c r="B43" s="177" t="s">
        <v>442</v>
      </c>
      <c r="C43" s="178"/>
      <c r="D43" s="105">
        <f>AY39</f>
        <v>1978072.2990196953</v>
      </c>
      <c r="E43" s="106"/>
      <c r="F43" s="106"/>
      <c r="G43" s="106"/>
      <c r="H43" s="106"/>
      <c r="I43" s="106"/>
      <c r="J43" s="107"/>
      <c r="K43" s="106"/>
      <c r="L43" s="106"/>
      <c r="M43" s="106"/>
      <c r="N43" s="106"/>
      <c r="O43" s="106"/>
      <c r="P43" s="106"/>
      <c r="Q43" s="106"/>
      <c r="R43" s="106"/>
      <c r="S43" s="106"/>
      <c r="T43" s="106"/>
      <c r="U43" s="106"/>
      <c r="V43" s="106"/>
      <c r="W43" s="106"/>
      <c r="X43" s="106"/>
      <c r="Y43" s="106"/>
      <c r="Z43" s="106"/>
      <c r="AA43" s="106"/>
      <c r="AB43" s="106"/>
      <c r="AC43" s="106"/>
      <c r="AD43" s="106"/>
      <c r="AE43" s="106"/>
      <c r="AF43" s="106"/>
      <c r="AG43" s="106"/>
      <c r="AH43" s="106"/>
      <c r="AI43" s="106"/>
      <c r="AJ43" s="106"/>
      <c r="AK43" s="106"/>
      <c r="AL43" s="106"/>
      <c r="AM43" s="106"/>
      <c r="AN43" s="106"/>
      <c r="AO43" s="106"/>
      <c r="AP43" s="106"/>
      <c r="AQ43" s="106"/>
      <c r="AR43" s="106"/>
      <c r="AS43" s="106"/>
      <c r="AT43" s="106"/>
      <c r="AU43" s="106"/>
      <c r="AV43" s="106"/>
      <c r="AW43" s="106"/>
      <c r="AX43" s="106"/>
      <c r="AY43" s="106"/>
      <c r="BA43" s="188">
        <v>91</v>
      </c>
      <c r="BB43" s="188">
        <v>11.5</v>
      </c>
      <c r="BC43" s="188"/>
      <c r="BD43" s="188"/>
    </row>
    <row r="44" spans="1:56" ht="14.7" thickBot="1" x14ac:dyDescent="0.6">
      <c r="A44" s="176"/>
      <c r="B44" s="177" t="s">
        <v>443</v>
      </c>
      <c r="C44" s="178"/>
      <c r="D44" s="105">
        <f>AY37</f>
        <v>1941186.0876288703</v>
      </c>
      <c r="E44" s="106"/>
      <c r="F44" s="106"/>
      <c r="G44" s="106"/>
      <c r="H44" s="106"/>
      <c r="I44" s="106"/>
      <c r="J44" s="106"/>
      <c r="K44" s="106"/>
      <c r="L44" s="106"/>
      <c r="M44" s="106"/>
      <c r="N44" s="106"/>
      <c r="O44" s="106"/>
      <c r="P44" s="106"/>
      <c r="Q44" s="106"/>
      <c r="R44" s="106"/>
      <c r="S44" s="106"/>
      <c r="T44" s="106"/>
      <c r="U44" s="106"/>
      <c r="V44" s="106"/>
      <c r="W44" s="106"/>
      <c r="X44" s="106"/>
      <c r="Y44" s="106"/>
      <c r="Z44" s="106"/>
      <c r="AA44" s="106"/>
      <c r="AB44" s="106"/>
      <c r="AC44" s="106"/>
      <c r="AD44" s="106"/>
      <c r="AE44" s="106"/>
      <c r="AF44" s="106"/>
      <c r="AG44" s="106"/>
      <c r="AH44" s="106"/>
      <c r="AI44" s="106"/>
      <c r="AJ44" s="106"/>
      <c r="AK44" s="106"/>
      <c r="AL44" s="106"/>
      <c r="AM44" s="106"/>
      <c r="AN44" s="106"/>
      <c r="AO44" s="106"/>
      <c r="AP44" s="106"/>
      <c r="AQ44" s="106"/>
      <c r="AR44" s="106"/>
      <c r="AS44" s="106"/>
      <c r="AT44" s="106"/>
      <c r="AU44" s="106"/>
      <c r="AV44" s="106"/>
      <c r="AW44" s="106"/>
      <c r="AX44" s="106"/>
      <c r="AY44" s="106"/>
      <c r="BA44" s="188">
        <v>92</v>
      </c>
      <c r="BB44" s="188">
        <v>10.8</v>
      </c>
      <c r="BC44" s="188"/>
      <c r="BD44" s="188"/>
    </row>
    <row r="45" spans="1:56" ht="14.7" thickBot="1" x14ac:dyDescent="0.6">
      <c r="A45" s="176"/>
      <c r="B45" s="177" t="s">
        <v>444</v>
      </c>
      <c r="C45" s="178"/>
      <c r="D45" s="105">
        <f>AY38</f>
        <v>36886.211390824894</v>
      </c>
      <c r="E45" s="106"/>
      <c r="F45" s="106"/>
      <c r="G45" s="106"/>
      <c r="H45" s="106"/>
      <c r="I45" s="106"/>
      <c r="J45" s="106"/>
      <c r="K45" s="106"/>
      <c r="L45" s="106"/>
      <c r="M45" s="106"/>
      <c r="N45" s="106"/>
      <c r="O45" s="106"/>
      <c r="P45" s="106"/>
      <c r="Q45" s="106"/>
      <c r="R45" s="106"/>
      <c r="S45" s="106"/>
      <c r="T45" s="106"/>
      <c r="U45" s="106"/>
      <c r="V45" s="106"/>
      <c r="W45" s="106"/>
      <c r="X45" s="106"/>
      <c r="Y45" s="106"/>
      <c r="Z45" s="106"/>
      <c r="AA45" s="106"/>
      <c r="AB45" s="106"/>
      <c r="AC45" s="106"/>
      <c r="AD45" s="106"/>
      <c r="AE45" s="106"/>
      <c r="AF45" s="106"/>
      <c r="AG45" s="106"/>
      <c r="AH45" s="106"/>
      <c r="AI45" s="106"/>
      <c r="AJ45" s="106"/>
      <c r="AK45" s="106"/>
      <c r="AL45" s="106"/>
      <c r="AM45" s="106"/>
      <c r="AN45" s="106"/>
      <c r="AO45" s="106"/>
      <c r="AP45" s="106"/>
      <c r="AQ45" s="106"/>
      <c r="AR45" s="106"/>
      <c r="AS45" s="106"/>
      <c r="AT45" s="106"/>
      <c r="AU45" s="106"/>
      <c r="AV45" s="106"/>
      <c r="AW45" s="106"/>
      <c r="AX45" s="106"/>
      <c r="AY45" s="106"/>
      <c r="BA45" s="188">
        <v>93</v>
      </c>
      <c r="BB45" s="188">
        <v>10.1</v>
      </c>
      <c r="BC45" s="188"/>
      <c r="BD45" s="188"/>
    </row>
    <row r="46" spans="1:56" ht="14.7" thickBot="1" x14ac:dyDescent="0.6">
      <c r="A46" s="176"/>
      <c r="B46" s="177" t="s">
        <v>445</v>
      </c>
      <c r="C46" s="178"/>
      <c r="D46" s="106">
        <f>COUNTIF(D25:AY25,"IRMAA")</f>
        <v>0</v>
      </c>
      <c r="E46" s="106"/>
      <c r="F46" s="106"/>
      <c r="G46" s="106"/>
      <c r="H46" s="106"/>
      <c r="I46" s="106"/>
      <c r="J46" s="106"/>
      <c r="K46" s="106"/>
      <c r="L46" s="106"/>
      <c r="M46" s="106"/>
      <c r="N46" s="106"/>
      <c r="O46" s="106"/>
      <c r="P46" s="106"/>
      <c r="Q46" s="106"/>
      <c r="R46" s="106"/>
      <c r="S46" s="106"/>
      <c r="T46" s="106"/>
      <c r="U46" s="106"/>
      <c r="V46" s="106"/>
      <c r="W46" s="106"/>
      <c r="X46" s="106"/>
      <c r="Y46" s="106"/>
      <c r="Z46" s="106"/>
      <c r="AA46" s="106"/>
      <c r="AB46" s="106"/>
      <c r="AC46" s="106"/>
      <c r="AD46" s="106"/>
      <c r="AE46" s="106"/>
      <c r="AF46" s="106"/>
      <c r="AG46" s="106"/>
      <c r="AH46" s="106"/>
      <c r="AI46" s="106"/>
      <c r="AJ46" s="106"/>
      <c r="AK46" s="106"/>
      <c r="AL46" s="106"/>
      <c r="AM46" s="106"/>
      <c r="AN46" s="106"/>
      <c r="AO46" s="106"/>
      <c r="AP46" s="106"/>
      <c r="AQ46" s="106"/>
      <c r="AR46" s="106"/>
      <c r="AS46" s="106"/>
      <c r="AT46" s="106"/>
      <c r="AU46" s="106"/>
      <c r="AV46" s="106"/>
      <c r="AW46" s="106"/>
      <c r="AX46" s="106"/>
      <c r="AY46" s="106"/>
      <c r="BA46" s="188">
        <v>94</v>
      </c>
      <c r="BB46" s="188">
        <v>9.5</v>
      </c>
      <c r="BC46" s="188"/>
      <c r="BD46" s="188"/>
    </row>
    <row r="47" spans="1:56" ht="14.7" thickBot="1" x14ac:dyDescent="0.6">
      <c r="A47" s="179"/>
      <c r="B47" s="180" t="s">
        <v>446</v>
      </c>
      <c r="C47" s="181"/>
      <c r="D47" s="108">
        <f>COUNTIFS(D28:AY28,"&gt;1000",D6:AY6,"=0")</f>
        <v>25</v>
      </c>
      <c r="E47" s="108"/>
      <c r="F47" s="108"/>
      <c r="G47" s="108"/>
      <c r="H47" s="108"/>
      <c r="I47" s="108"/>
      <c r="J47" s="108"/>
      <c r="K47" s="108"/>
      <c r="L47" s="108"/>
      <c r="M47" s="108"/>
      <c r="N47" s="108"/>
      <c r="O47" s="108"/>
      <c r="P47" s="108"/>
      <c r="Q47" s="108"/>
      <c r="R47" s="108"/>
      <c r="S47" s="108"/>
      <c r="T47" s="108"/>
      <c r="U47" s="108"/>
      <c r="V47" s="108"/>
      <c r="W47" s="108"/>
      <c r="X47" s="108"/>
      <c r="Y47" s="108"/>
      <c r="Z47" s="108"/>
      <c r="AA47" s="108"/>
      <c r="AB47" s="108"/>
      <c r="AC47" s="108"/>
      <c r="AD47" s="108"/>
      <c r="AE47" s="108"/>
      <c r="AF47" s="108"/>
      <c r="AG47" s="108"/>
      <c r="AH47" s="108"/>
      <c r="AI47" s="108"/>
      <c r="AJ47" s="108"/>
      <c r="AK47" s="108"/>
      <c r="AL47" s="108"/>
      <c r="AM47" s="108"/>
      <c r="AN47" s="108"/>
      <c r="AO47" s="108"/>
      <c r="AP47" s="108"/>
      <c r="AQ47" s="108"/>
      <c r="AR47" s="108"/>
      <c r="AS47" s="108"/>
      <c r="AT47" s="108"/>
      <c r="AU47" s="108"/>
      <c r="AV47" s="108"/>
      <c r="AW47" s="108"/>
      <c r="AX47" s="108"/>
      <c r="AY47" s="108"/>
      <c r="BA47" s="188">
        <v>95</v>
      </c>
      <c r="BB47" s="188">
        <v>8.9</v>
      </c>
      <c r="BC47" s="188"/>
      <c r="BD47" s="188"/>
    </row>
    <row r="48" spans="1:56" ht="29.1" thickBot="1" x14ac:dyDescent="0.6">
      <c r="A48" s="182" t="s">
        <v>335</v>
      </c>
      <c r="B48" s="182" t="s">
        <v>621</v>
      </c>
      <c r="C48" s="148" t="s">
        <v>622</v>
      </c>
      <c r="D48" s="85">
        <v>8640</v>
      </c>
      <c r="E48" s="85">
        <v>0</v>
      </c>
      <c r="F48" s="85">
        <v>0</v>
      </c>
      <c r="G48" s="85">
        <v>0</v>
      </c>
      <c r="H48" s="85">
        <v>0</v>
      </c>
      <c r="I48" s="85">
        <v>0</v>
      </c>
      <c r="J48" s="85">
        <v>0</v>
      </c>
      <c r="K48" s="85">
        <v>0</v>
      </c>
      <c r="L48" s="85">
        <v>0</v>
      </c>
      <c r="M48" s="85">
        <v>0</v>
      </c>
      <c r="N48" s="85">
        <v>0</v>
      </c>
      <c r="O48" s="85">
        <v>0</v>
      </c>
      <c r="P48" s="85">
        <v>0</v>
      </c>
      <c r="Q48" s="85">
        <v>0</v>
      </c>
      <c r="R48" s="85">
        <v>0</v>
      </c>
      <c r="S48" s="85">
        <v>0</v>
      </c>
      <c r="T48" s="85">
        <v>0</v>
      </c>
      <c r="U48" s="85">
        <v>0</v>
      </c>
      <c r="V48" s="85">
        <v>0</v>
      </c>
      <c r="W48" s="85">
        <v>0</v>
      </c>
      <c r="X48" s="85">
        <v>0</v>
      </c>
      <c r="Y48" s="85">
        <v>0</v>
      </c>
      <c r="Z48" s="85">
        <v>0</v>
      </c>
      <c r="AA48" s="85">
        <v>0</v>
      </c>
      <c r="AB48" s="85">
        <v>0</v>
      </c>
      <c r="AC48" s="85">
        <v>0</v>
      </c>
      <c r="AD48" s="85">
        <v>0</v>
      </c>
      <c r="AE48" s="85">
        <v>0</v>
      </c>
      <c r="AF48" s="85">
        <v>0</v>
      </c>
      <c r="AG48" s="85">
        <v>0</v>
      </c>
      <c r="AH48" s="85">
        <v>0</v>
      </c>
      <c r="AI48" s="85">
        <v>0</v>
      </c>
      <c r="AJ48" s="85">
        <v>0</v>
      </c>
      <c r="AK48" s="85">
        <v>0</v>
      </c>
      <c r="AL48" s="85">
        <v>0</v>
      </c>
      <c r="AM48" s="85">
        <v>0</v>
      </c>
      <c r="AN48" s="85">
        <v>0</v>
      </c>
      <c r="AO48" s="85">
        <v>0</v>
      </c>
      <c r="AP48" s="85">
        <v>0</v>
      </c>
      <c r="AQ48" s="85">
        <v>0</v>
      </c>
      <c r="AR48" s="85">
        <v>0</v>
      </c>
      <c r="AS48" s="85">
        <v>0</v>
      </c>
      <c r="AT48" s="85">
        <v>0</v>
      </c>
      <c r="AU48" s="85">
        <v>0</v>
      </c>
      <c r="AV48" s="85">
        <v>0</v>
      </c>
      <c r="AW48" s="85">
        <v>0</v>
      </c>
      <c r="AX48" s="85">
        <v>0</v>
      </c>
      <c r="AY48" s="85">
        <v>0</v>
      </c>
      <c r="BA48" s="188"/>
      <c r="BB48" s="188"/>
      <c r="BC48" s="188"/>
      <c r="BD48" s="188"/>
    </row>
    <row r="49" spans="1:56" ht="29.1" thickTop="1" x14ac:dyDescent="0.55000000000000004">
      <c r="A49" s="183" t="s">
        <v>347</v>
      </c>
      <c r="B49" s="183" t="s">
        <v>447</v>
      </c>
      <c r="C49" s="184" t="s">
        <v>679</v>
      </c>
      <c r="D49" s="109">
        <f>IF(D80=0,0,_xlfn.LET(_xlpm.o,D6+D7+D15,_xlpm.prov,_xlpm.o+D8*0.5,_xlpm.tSS,D8*IF(AND($BB$38&lt;=0,$BB$39&lt;=0),IF(D8&gt;0,0.85,0),IF(_xlpm.prov&lt;$BB$38,0,IF(_xlpm.prov&lt;$BB$39,0.5,0.85))),_xlpm.baseTaxable,MAX(0,_xlpm.o+_xlpm.tSS-$BB$7),MIN(D82,MAX(0,$BB$24-_xlpm.baseTaxable))))</f>
        <v>0</v>
      </c>
      <c r="E49" s="109">
        <f t="shared" ref="E49:AY49" si="65">IF(E80=0,0,_xlfn.LET(_xlpm.o,E6+E7+E15,_xlpm.prov,_xlpm.o+E8*0.5,_xlpm.tSS,E8*IF(AND($BB$38&lt;=0,$BB$39&lt;=0),IF(E8&gt;0,0.85,0),IF(_xlpm.prov&lt;$BB$38,0,IF(_xlpm.prov&lt;$BB$39,0.5,0.85))),_xlpm.baseTaxable,MAX(0,_xlpm.o+_xlpm.tSS-$BB$7),MIN(E82,MAX(0,$BB$24-_xlpm.baseTaxable))))</f>
        <v>0</v>
      </c>
      <c r="F49" s="109">
        <f t="shared" si="65"/>
        <v>0</v>
      </c>
      <c r="G49" s="109">
        <f t="shared" si="65"/>
        <v>0</v>
      </c>
      <c r="H49" s="109">
        <f t="shared" si="65"/>
        <v>0</v>
      </c>
      <c r="I49" s="109">
        <f t="shared" si="65"/>
        <v>0</v>
      </c>
      <c r="J49" s="109">
        <f t="shared" si="65"/>
        <v>0</v>
      </c>
      <c r="K49" s="109">
        <f t="shared" si="65"/>
        <v>0</v>
      </c>
      <c r="L49" s="109">
        <f t="shared" si="65"/>
        <v>0</v>
      </c>
      <c r="M49" s="109">
        <f t="shared" si="65"/>
        <v>0</v>
      </c>
      <c r="N49" s="109">
        <f t="shared" si="65"/>
        <v>0</v>
      </c>
      <c r="O49" s="109">
        <f t="shared" si="65"/>
        <v>0</v>
      </c>
      <c r="P49" s="109">
        <f t="shared" si="65"/>
        <v>0</v>
      </c>
      <c r="Q49" s="109">
        <f t="shared" si="65"/>
        <v>0</v>
      </c>
      <c r="R49" s="109">
        <f t="shared" si="65"/>
        <v>0</v>
      </c>
      <c r="S49" s="109">
        <f t="shared" si="65"/>
        <v>0</v>
      </c>
      <c r="T49" s="109">
        <f t="shared" si="65"/>
        <v>0</v>
      </c>
      <c r="U49" s="109">
        <f t="shared" si="65"/>
        <v>0</v>
      </c>
      <c r="V49" s="109">
        <f t="shared" si="65"/>
        <v>0</v>
      </c>
      <c r="W49" s="109">
        <f t="shared" si="65"/>
        <v>0</v>
      </c>
      <c r="X49" s="109">
        <f t="shared" si="65"/>
        <v>0</v>
      </c>
      <c r="Y49" s="109">
        <f t="shared" si="65"/>
        <v>0</v>
      </c>
      <c r="Z49" s="109">
        <f t="shared" si="65"/>
        <v>0</v>
      </c>
      <c r="AA49" s="109">
        <f t="shared" si="65"/>
        <v>403550</v>
      </c>
      <c r="AB49" s="109">
        <f t="shared" si="65"/>
        <v>403550</v>
      </c>
      <c r="AC49" s="109">
        <f t="shared" si="65"/>
        <v>403550</v>
      </c>
      <c r="AD49" s="109">
        <f t="shared" si="65"/>
        <v>403550</v>
      </c>
      <c r="AE49" s="109">
        <f t="shared" si="65"/>
        <v>403550</v>
      </c>
      <c r="AF49" s="109">
        <f t="shared" si="65"/>
        <v>403550</v>
      </c>
      <c r="AG49" s="109">
        <f t="shared" si="65"/>
        <v>403550</v>
      </c>
      <c r="AH49" s="109">
        <f t="shared" si="65"/>
        <v>403550</v>
      </c>
      <c r="AI49" s="109">
        <f t="shared" si="65"/>
        <v>403550</v>
      </c>
      <c r="AJ49" s="109">
        <f t="shared" si="65"/>
        <v>403550</v>
      </c>
      <c r="AK49" s="109">
        <f t="shared" si="65"/>
        <v>403550</v>
      </c>
      <c r="AL49" s="109">
        <f t="shared" si="65"/>
        <v>403550</v>
      </c>
      <c r="AM49" s="109">
        <f t="shared" si="65"/>
        <v>403550</v>
      </c>
      <c r="AN49" s="109">
        <f t="shared" si="65"/>
        <v>403550</v>
      </c>
      <c r="AO49" s="109">
        <f t="shared" si="65"/>
        <v>314425.75131100533</v>
      </c>
      <c r="AP49" s="109">
        <f t="shared" si="65"/>
        <v>310306.07415505353</v>
      </c>
      <c r="AQ49" s="109">
        <f t="shared" si="65"/>
        <v>306299.81781520532</v>
      </c>
      <c r="AR49" s="109">
        <f t="shared" si="65"/>
        <v>301720.2173741404</v>
      </c>
      <c r="AS49" s="109">
        <f t="shared" si="65"/>
        <v>296882.87790477788</v>
      </c>
      <c r="AT49" s="109">
        <f t="shared" si="65"/>
        <v>291774.44014423189</v>
      </c>
      <c r="AU49" s="109">
        <f t="shared" si="65"/>
        <v>286891.38574350823</v>
      </c>
      <c r="AV49" s="109">
        <f t="shared" si="65"/>
        <v>281226.8214641079</v>
      </c>
      <c r="AW49" s="109">
        <f t="shared" si="65"/>
        <v>275871.93013825128</v>
      </c>
      <c r="AX49" s="109">
        <f t="shared" si="65"/>
        <v>269601.15204259637</v>
      </c>
      <c r="AY49" s="109">
        <f t="shared" si="65"/>
        <v>263754.19902074744</v>
      </c>
      <c r="BA49" s="188"/>
      <c r="BB49" s="188"/>
      <c r="BC49" s="188"/>
      <c r="BD49" s="188"/>
    </row>
    <row r="50" spans="1:56" ht="14.7" thickBot="1" x14ac:dyDescent="0.6">
      <c r="A50" s="185" t="s">
        <v>448</v>
      </c>
      <c r="B50" s="185" t="s">
        <v>449</v>
      </c>
      <c r="C50" s="186" t="s">
        <v>450</v>
      </c>
      <c r="D50" s="110">
        <f>IF($BB$22="Suggested",D29,IF($BB$22="Aggressive",D49,D5))</f>
        <v>0</v>
      </c>
      <c r="E50" s="110">
        <f t="shared" ref="E50:AF50" si="66">IF($BB$22="Suggested",E29,IF($BB$22="Aggressive",E49,E5))</f>
        <v>0</v>
      </c>
      <c r="F50" s="110">
        <f t="shared" si="66"/>
        <v>0</v>
      </c>
      <c r="G50" s="110">
        <f t="shared" si="66"/>
        <v>0</v>
      </c>
      <c r="H50" s="110">
        <f t="shared" si="66"/>
        <v>0</v>
      </c>
      <c r="I50" s="110">
        <f t="shared" si="66"/>
        <v>0</v>
      </c>
      <c r="J50" s="110">
        <f t="shared" si="66"/>
        <v>0</v>
      </c>
      <c r="K50" s="110">
        <f t="shared" si="66"/>
        <v>0</v>
      </c>
      <c r="L50" s="110">
        <f t="shared" si="66"/>
        <v>0</v>
      </c>
      <c r="M50" s="110">
        <f t="shared" si="66"/>
        <v>0</v>
      </c>
      <c r="N50" s="110">
        <f t="shared" si="66"/>
        <v>0</v>
      </c>
      <c r="O50" s="110">
        <f t="shared" si="66"/>
        <v>0</v>
      </c>
      <c r="P50" s="110">
        <f t="shared" si="66"/>
        <v>0</v>
      </c>
      <c r="Q50" s="110">
        <f t="shared" si="66"/>
        <v>0</v>
      </c>
      <c r="R50" s="110">
        <f t="shared" si="66"/>
        <v>0</v>
      </c>
      <c r="S50" s="110">
        <f t="shared" si="66"/>
        <v>0</v>
      </c>
      <c r="T50" s="110">
        <f t="shared" si="66"/>
        <v>0</v>
      </c>
      <c r="U50" s="110">
        <f t="shared" si="66"/>
        <v>0</v>
      </c>
      <c r="V50" s="110">
        <f t="shared" si="66"/>
        <v>0</v>
      </c>
      <c r="W50" s="110">
        <f t="shared" si="66"/>
        <v>0</v>
      </c>
      <c r="X50" s="110">
        <f t="shared" si="66"/>
        <v>0</v>
      </c>
      <c r="Y50" s="110">
        <f t="shared" si="66"/>
        <v>0</v>
      </c>
      <c r="Z50" s="110">
        <f t="shared" si="66"/>
        <v>0</v>
      </c>
      <c r="AA50" s="110">
        <f t="shared" si="66"/>
        <v>0</v>
      </c>
      <c r="AB50" s="110">
        <f t="shared" si="66"/>
        <v>0</v>
      </c>
      <c r="AC50" s="110">
        <f t="shared" si="66"/>
        <v>0</v>
      </c>
      <c r="AD50" s="110">
        <f t="shared" si="66"/>
        <v>0</v>
      </c>
      <c r="AE50" s="110">
        <f t="shared" si="66"/>
        <v>0</v>
      </c>
      <c r="AF50" s="110">
        <f t="shared" si="66"/>
        <v>0</v>
      </c>
      <c r="AG50" s="110">
        <f t="shared" ref="AG50:AY50" si="67">IF($BB$22="Suggested",AG29,IF($BB$22="Aggressive",AG49,AG5))</f>
        <v>0</v>
      </c>
      <c r="AH50" s="110">
        <f t="shared" si="67"/>
        <v>0</v>
      </c>
      <c r="AI50" s="110">
        <f t="shared" si="67"/>
        <v>0</v>
      </c>
      <c r="AJ50" s="110">
        <f t="shared" si="67"/>
        <v>0</v>
      </c>
      <c r="AK50" s="110">
        <f t="shared" si="67"/>
        <v>0</v>
      </c>
      <c r="AL50" s="110">
        <f t="shared" si="67"/>
        <v>0</v>
      </c>
      <c r="AM50" s="110">
        <f t="shared" si="67"/>
        <v>0</v>
      </c>
      <c r="AN50" s="110">
        <f t="shared" si="67"/>
        <v>0</v>
      </c>
      <c r="AO50" s="110">
        <f t="shared" si="67"/>
        <v>0</v>
      </c>
      <c r="AP50" s="110">
        <f t="shared" si="67"/>
        <v>0</v>
      </c>
      <c r="AQ50" s="110">
        <f t="shared" si="67"/>
        <v>0</v>
      </c>
      <c r="AR50" s="110">
        <f t="shared" si="67"/>
        <v>0</v>
      </c>
      <c r="AS50" s="110">
        <f t="shared" si="67"/>
        <v>0</v>
      </c>
      <c r="AT50" s="110">
        <f t="shared" si="67"/>
        <v>0</v>
      </c>
      <c r="AU50" s="110">
        <f t="shared" si="67"/>
        <v>0</v>
      </c>
      <c r="AV50" s="110">
        <f t="shared" si="67"/>
        <v>0</v>
      </c>
      <c r="AW50" s="110">
        <f t="shared" si="67"/>
        <v>0</v>
      </c>
      <c r="AX50" s="110">
        <f t="shared" si="67"/>
        <v>0</v>
      </c>
      <c r="AY50" s="110">
        <f t="shared" si="67"/>
        <v>0</v>
      </c>
      <c r="BA50" s="188"/>
      <c r="BB50" s="188"/>
      <c r="BC50" s="188"/>
      <c r="BD50" s="188"/>
    </row>
    <row r="51" spans="1:56" x14ac:dyDescent="0.55000000000000004">
      <c r="A51" s="167" t="s">
        <v>448</v>
      </c>
      <c r="B51" s="167" t="s">
        <v>451</v>
      </c>
      <c r="C51" s="168" t="s">
        <v>452</v>
      </c>
      <c r="D51" s="111">
        <f>D50-D5</f>
        <v>0</v>
      </c>
      <c r="E51" s="111">
        <f t="shared" ref="E51:AF51" si="68">E50-E5</f>
        <v>0</v>
      </c>
      <c r="F51" s="111">
        <f t="shared" si="68"/>
        <v>0</v>
      </c>
      <c r="G51" s="111">
        <f t="shared" si="68"/>
        <v>0</v>
      </c>
      <c r="H51" s="111">
        <f t="shared" si="68"/>
        <v>0</v>
      </c>
      <c r="I51" s="111">
        <f t="shared" si="68"/>
        <v>0</v>
      </c>
      <c r="J51" s="111">
        <f t="shared" si="68"/>
        <v>0</v>
      </c>
      <c r="K51" s="111">
        <f t="shared" si="68"/>
        <v>0</v>
      </c>
      <c r="L51" s="111">
        <f t="shared" si="68"/>
        <v>0</v>
      </c>
      <c r="M51" s="111">
        <f t="shared" si="68"/>
        <v>0</v>
      </c>
      <c r="N51" s="111">
        <f t="shared" si="68"/>
        <v>0</v>
      </c>
      <c r="O51" s="111">
        <f t="shared" si="68"/>
        <v>0</v>
      </c>
      <c r="P51" s="111">
        <f t="shared" si="68"/>
        <v>0</v>
      </c>
      <c r="Q51" s="111">
        <f t="shared" si="68"/>
        <v>0</v>
      </c>
      <c r="R51" s="111">
        <f t="shared" si="68"/>
        <v>0</v>
      </c>
      <c r="S51" s="111">
        <f t="shared" si="68"/>
        <v>0</v>
      </c>
      <c r="T51" s="111">
        <f t="shared" si="68"/>
        <v>0</v>
      </c>
      <c r="U51" s="111">
        <f t="shared" si="68"/>
        <v>0</v>
      </c>
      <c r="V51" s="111">
        <f t="shared" si="68"/>
        <v>0</v>
      </c>
      <c r="W51" s="111">
        <f t="shared" si="68"/>
        <v>0</v>
      </c>
      <c r="X51" s="111">
        <f t="shared" si="68"/>
        <v>0</v>
      </c>
      <c r="Y51" s="111">
        <f t="shared" si="68"/>
        <v>0</v>
      </c>
      <c r="Z51" s="111">
        <f t="shared" si="68"/>
        <v>0</v>
      </c>
      <c r="AA51" s="111">
        <f t="shared" si="68"/>
        <v>0</v>
      </c>
      <c r="AB51" s="111">
        <f t="shared" si="68"/>
        <v>0</v>
      </c>
      <c r="AC51" s="111">
        <f t="shared" si="68"/>
        <v>0</v>
      </c>
      <c r="AD51" s="111">
        <f t="shared" si="68"/>
        <v>0</v>
      </c>
      <c r="AE51" s="111">
        <f t="shared" si="68"/>
        <v>0</v>
      </c>
      <c r="AF51" s="111">
        <f t="shared" si="68"/>
        <v>0</v>
      </c>
      <c r="AG51" s="111">
        <f t="shared" ref="AG51:AY51" si="69">AG50-AG5</f>
        <v>0</v>
      </c>
      <c r="AH51" s="111">
        <f t="shared" si="69"/>
        <v>0</v>
      </c>
      <c r="AI51" s="111">
        <f t="shared" si="69"/>
        <v>0</v>
      </c>
      <c r="AJ51" s="111">
        <f t="shared" si="69"/>
        <v>0</v>
      </c>
      <c r="AK51" s="111">
        <f t="shared" si="69"/>
        <v>0</v>
      </c>
      <c r="AL51" s="111">
        <f t="shared" si="69"/>
        <v>0</v>
      </c>
      <c r="AM51" s="111">
        <f t="shared" si="69"/>
        <v>0</v>
      </c>
      <c r="AN51" s="111">
        <f t="shared" si="69"/>
        <v>0</v>
      </c>
      <c r="AO51" s="111">
        <f t="shared" si="69"/>
        <v>0</v>
      </c>
      <c r="AP51" s="111">
        <f t="shared" si="69"/>
        <v>0</v>
      </c>
      <c r="AQ51" s="111">
        <f t="shared" si="69"/>
        <v>0</v>
      </c>
      <c r="AR51" s="111">
        <f t="shared" si="69"/>
        <v>0</v>
      </c>
      <c r="AS51" s="111">
        <f t="shared" si="69"/>
        <v>0</v>
      </c>
      <c r="AT51" s="111">
        <f t="shared" si="69"/>
        <v>0</v>
      </c>
      <c r="AU51" s="111">
        <f t="shared" si="69"/>
        <v>0</v>
      </c>
      <c r="AV51" s="111">
        <f t="shared" si="69"/>
        <v>0</v>
      </c>
      <c r="AW51" s="111">
        <f t="shared" si="69"/>
        <v>0</v>
      </c>
      <c r="AX51" s="111">
        <f t="shared" si="69"/>
        <v>0</v>
      </c>
      <c r="AY51" s="111">
        <f t="shared" si="69"/>
        <v>0</v>
      </c>
      <c r="BA51" s="188"/>
      <c r="BB51" s="188"/>
      <c r="BC51" s="188"/>
      <c r="BD51" s="188"/>
    </row>
    <row r="52" spans="1:56" x14ac:dyDescent="0.55000000000000004">
      <c r="A52" s="187"/>
      <c r="B52" s="187" t="s">
        <v>453</v>
      </c>
      <c r="C52" s="188"/>
      <c r="D52" s="112">
        <f>SUM(D5:AY5)</f>
        <v>0</v>
      </c>
      <c r="E52" s="113"/>
      <c r="F52" s="113"/>
      <c r="G52" s="113"/>
      <c r="H52" s="113"/>
      <c r="I52" s="113"/>
      <c r="J52" s="113"/>
      <c r="K52" s="113"/>
      <c r="L52" s="113"/>
      <c r="M52" s="113"/>
      <c r="N52" s="113"/>
      <c r="O52" s="113"/>
      <c r="P52" s="113"/>
      <c r="Q52" s="113"/>
      <c r="R52" s="113"/>
      <c r="S52" s="113"/>
      <c r="T52" s="113"/>
      <c r="U52" s="113"/>
      <c r="V52" s="113"/>
      <c r="W52" s="113"/>
      <c r="X52" s="113"/>
      <c r="Y52" s="113"/>
      <c r="Z52" s="113"/>
      <c r="AA52" s="113"/>
      <c r="AB52" s="113"/>
      <c r="AC52" s="113"/>
      <c r="AD52" s="113"/>
      <c r="AE52" s="113"/>
      <c r="AF52" s="113"/>
      <c r="AG52" s="113"/>
      <c r="AH52" s="113"/>
      <c r="AI52" s="113"/>
      <c r="AJ52" s="113"/>
      <c r="AK52" s="113"/>
      <c r="AL52" s="113"/>
      <c r="AM52" s="113"/>
      <c r="AN52" s="113"/>
      <c r="AO52" s="113"/>
      <c r="AP52" s="113"/>
      <c r="AQ52" s="113"/>
      <c r="AR52" s="113"/>
      <c r="AS52" s="113"/>
      <c r="AT52" s="113"/>
      <c r="AU52" s="113"/>
      <c r="AV52" s="113"/>
      <c r="AW52" s="113"/>
      <c r="AX52" s="113"/>
      <c r="AY52" s="113"/>
      <c r="BA52" s="188"/>
      <c r="BB52" s="188"/>
      <c r="BC52" s="188"/>
      <c r="BD52" s="188"/>
    </row>
    <row r="53" spans="1:56" x14ac:dyDescent="0.55000000000000004">
      <c r="A53" s="187"/>
      <c r="B53" s="187" t="s">
        <v>454</v>
      </c>
      <c r="C53" s="188"/>
      <c r="D53" s="112">
        <f>SUM(D29:AY29)</f>
        <v>410756.07415505353</v>
      </c>
      <c r="E53" s="113"/>
      <c r="F53" s="113"/>
      <c r="G53" s="113"/>
      <c r="H53" s="113"/>
      <c r="I53" s="113"/>
      <c r="J53" s="113"/>
      <c r="K53" s="113"/>
      <c r="L53" s="113"/>
      <c r="M53" s="113"/>
      <c r="N53" s="113"/>
      <c r="O53" s="113"/>
      <c r="P53" s="113"/>
      <c r="Q53" s="113"/>
      <c r="R53" s="113"/>
      <c r="S53" s="113"/>
      <c r="T53" s="113"/>
      <c r="U53" s="113"/>
      <c r="V53" s="113"/>
      <c r="W53" s="113"/>
      <c r="X53" s="113"/>
      <c r="Y53" s="113"/>
      <c r="Z53" s="113"/>
      <c r="AA53" s="113"/>
      <c r="AB53" s="113"/>
      <c r="AC53" s="113"/>
      <c r="AD53" s="113"/>
      <c r="AE53" s="113"/>
      <c r="AF53" s="113"/>
      <c r="AG53" s="113"/>
      <c r="AH53" s="113"/>
      <c r="AI53" s="113"/>
      <c r="AJ53" s="113"/>
      <c r="AK53" s="113"/>
      <c r="AL53" s="113"/>
      <c r="AM53" s="113"/>
      <c r="AN53" s="113"/>
      <c r="AO53" s="113"/>
      <c r="AP53" s="113"/>
      <c r="AQ53" s="113"/>
      <c r="AR53" s="113"/>
      <c r="AS53" s="113"/>
      <c r="AT53" s="113"/>
      <c r="AU53" s="113"/>
      <c r="AV53" s="113"/>
      <c r="AW53" s="113"/>
      <c r="AX53" s="113"/>
      <c r="AY53" s="113"/>
      <c r="BA53" s="188"/>
      <c r="BB53" s="188"/>
      <c r="BC53" s="188"/>
      <c r="BD53" s="188"/>
    </row>
    <row r="54" spans="1:56" x14ac:dyDescent="0.55000000000000004">
      <c r="A54" s="187"/>
      <c r="B54" s="187" t="s">
        <v>455</v>
      </c>
      <c r="C54" s="188" t="s">
        <v>456</v>
      </c>
      <c r="D54" s="112">
        <f>SUM(D63:AY63)</f>
        <v>845433.52337476925</v>
      </c>
      <c r="E54" s="113"/>
      <c r="F54" s="113"/>
      <c r="G54" s="113"/>
      <c r="H54" s="113"/>
      <c r="I54" s="113"/>
      <c r="J54" s="113"/>
      <c r="K54" s="113"/>
      <c r="L54" s="113"/>
      <c r="M54" s="113"/>
      <c r="N54" s="113"/>
      <c r="O54" s="113"/>
      <c r="P54" s="113"/>
      <c r="Q54" s="113"/>
      <c r="R54" s="113"/>
      <c r="S54" s="113"/>
      <c r="T54" s="113"/>
      <c r="U54" s="113"/>
      <c r="V54" s="113"/>
      <c r="W54" s="113"/>
      <c r="X54" s="113"/>
      <c r="Y54" s="113"/>
      <c r="Z54" s="113"/>
      <c r="AA54" s="113"/>
      <c r="AB54" s="113"/>
      <c r="AC54" s="113"/>
      <c r="AD54" s="113"/>
      <c r="AE54" s="113"/>
      <c r="AF54" s="113"/>
      <c r="AG54" s="113"/>
      <c r="AH54" s="113"/>
      <c r="AI54" s="113"/>
      <c r="AJ54" s="113"/>
      <c r="AK54" s="113"/>
      <c r="AL54" s="113"/>
      <c r="AM54" s="113"/>
      <c r="AN54" s="113"/>
      <c r="AO54" s="113"/>
      <c r="AP54" s="113"/>
      <c r="AQ54" s="113"/>
      <c r="AR54" s="113"/>
      <c r="AS54" s="113"/>
      <c r="AT54" s="113"/>
      <c r="AU54" s="113"/>
      <c r="AV54" s="113"/>
      <c r="AW54" s="113"/>
      <c r="AX54" s="113"/>
      <c r="AY54" s="113"/>
      <c r="BA54" s="188"/>
      <c r="BB54" s="188"/>
      <c r="BC54" s="188"/>
      <c r="BD54" s="188"/>
    </row>
    <row r="55" spans="1:56" ht="14.7" thickBot="1" x14ac:dyDescent="0.6">
      <c r="A55" s="189"/>
      <c r="B55" s="189" t="s">
        <v>457</v>
      </c>
      <c r="C55" s="190"/>
      <c r="D55" s="114" t="str">
        <f>BB22</f>
        <v>Base</v>
      </c>
      <c r="E55" s="114"/>
      <c r="F55" s="114"/>
      <c r="G55" s="114"/>
      <c r="H55" s="114"/>
      <c r="I55" s="114"/>
      <c r="J55" s="114"/>
      <c r="K55" s="114"/>
      <c r="L55" s="114"/>
      <c r="M55" s="114"/>
      <c r="N55" s="114"/>
      <c r="O55" s="114"/>
      <c r="P55" s="114"/>
      <c r="Q55" s="114"/>
      <c r="R55" s="114"/>
      <c r="S55" s="114"/>
      <c r="T55" s="114"/>
      <c r="U55" s="114"/>
      <c r="V55" s="114"/>
      <c r="W55" s="114"/>
      <c r="X55" s="114"/>
      <c r="Y55" s="114"/>
      <c r="Z55" s="114"/>
      <c r="AA55" s="114"/>
      <c r="AB55" s="114"/>
      <c r="AC55" s="114"/>
      <c r="AD55" s="114"/>
      <c r="AE55" s="114"/>
      <c r="AF55" s="114"/>
      <c r="AG55" s="114"/>
      <c r="AH55" s="114"/>
      <c r="AI55" s="114"/>
      <c r="AJ55" s="114"/>
      <c r="AK55" s="114"/>
      <c r="AL55" s="114"/>
      <c r="AM55" s="114"/>
      <c r="AN55" s="114"/>
      <c r="AO55" s="114"/>
      <c r="AP55" s="114"/>
      <c r="AQ55" s="114"/>
      <c r="AR55" s="114"/>
      <c r="AS55" s="114"/>
      <c r="AT55" s="114"/>
      <c r="AU55" s="114"/>
      <c r="AV55" s="114"/>
      <c r="AW55" s="114"/>
      <c r="AX55" s="114"/>
      <c r="AY55" s="114"/>
      <c r="BA55" s="188"/>
      <c r="BB55" s="188"/>
      <c r="BC55" s="188"/>
      <c r="BD55" s="188"/>
    </row>
    <row r="56" spans="1:56" ht="15.6" x14ac:dyDescent="0.6">
      <c r="A56" s="191" t="s">
        <v>458</v>
      </c>
      <c r="B56" s="191" t="s">
        <v>459</v>
      </c>
      <c r="C56" s="192"/>
      <c r="D56" s="115"/>
      <c r="E56" s="115"/>
      <c r="F56" s="115"/>
      <c r="G56" s="115"/>
      <c r="H56" s="115"/>
      <c r="I56" s="115"/>
      <c r="J56" s="115"/>
      <c r="K56" s="115"/>
      <c r="L56" s="115"/>
      <c r="M56" s="115"/>
      <c r="N56" s="115"/>
      <c r="O56" s="115"/>
      <c r="P56" s="115"/>
      <c r="Q56" s="115"/>
      <c r="R56" s="115"/>
      <c r="S56" s="115"/>
      <c r="T56" s="115"/>
      <c r="U56" s="115"/>
      <c r="V56" s="115"/>
      <c r="W56" s="115"/>
      <c r="X56" s="115"/>
      <c r="Y56" s="115"/>
      <c r="Z56" s="115"/>
      <c r="AA56" s="115"/>
      <c r="AB56" s="115"/>
      <c r="AC56" s="115"/>
      <c r="AD56" s="115"/>
      <c r="AE56" s="115"/>
      <c r="AF56" s="115"/>
      <c r="AG56" s="115"/>
      <c r="AH56" s="115"/>
      <c r="AI56" s="115"/>
      <c r="AJ56" s="115"/>
      <c r="AK56" s="115"/>
      <c r="AL56" s="115"/>
      <c r="AM56" s="115"/>
      <c r="AN56" s="115"/>
      <c r="AO56" s="115"/>
      <c r="AP56" s="115"/>
      <c r="AQ56" s="115"/>
      <c r="AR56" s="115"/>
      <c r="AS56" s="115"/>
      <c r="AT56" s="115"/>
      <c r="AU56" s="115"/>
      <c r="AV56" s="115"/>
      <c r="AW56" s="115"/>
      <c r="AX56" s="115"/>
      <c r="AY56" s="115"/>
      <c r="BA56" s="188"/>
      <c r="BB56" s="188"/>
      <c r="BC56" s="188"/>
      <c r="BD56" s="188"/>
    </row>
    <row r="57" spans="1:56" x14ac:dyDescent="0.55000000000000004">
      <c r="A57" s="193" t="s">
        <v>460</v>
      </c>
      <c r="B57" s="193" t="s">
        <v>461</v>
      </c>
      <c r="C57" s="194" t="s">
        <v>462</v>
      </c>
      <c r="D57" s="116">
        <f>MAX(0,$BB$17*(1+$BB$4)-D10+IF(D11&gt;0,D11-D61,0)+IF(D6&gt;300000,100000,0))</f>
        <v>11141.1618</v>
      </c>
      <c r="E57" s="116">
        <f t="shared" ref="E57:AF57" si="70">MAX(0,D57*(1+$BB$4)-E10+IF(E11&gt;0,E11-E61,0)+IF(E6&gt;300000,100000,0))</f>
        <v>11809.631508</v>
      </c>
      <c r="F57" s="116">
        <f t="shared" si="70"/>
        <v>12518.209398480001</v>
      </c>
      <c r="G57" s="116">
        <f t="shared" si="70"/>
        <v>13269.301962388801</v>
      </c>
      <c r="H57" s="116">
        <f t="shared" si="70"/>
        <v>14065.46008013213</v>
      </c>
      <c r="I57" s="116">
        <f t="shared" si="70"/>
        <v>14909.387684940059</v>
      </c>
      <c r="J57" s="116">
        <f t="shared" si="70"/>
        <v>15803.950946036462</v>
      </c>
      <c r="K57" s="116">
        <f t="shared" si="70"/>
        <v>16752.188002798652</v>
      </c>
      <c r="L57" s="116">
        <f t="shared" si="70"/>
        <v>17757.319282966571</v>
      </c>
      <c r="M57" s="116">
        <f t="shared" si="70"/>
        <v>18822.758439944566</v>
      </c>
      <c r="N57" s="116">
        <f t="shared" si="70"/>
        <v>19952.123946341242</v>
      </c>
      <c r="O57" s="116">
        <f t="shared" si="70"/>
        <v>21149.251383121718</v>
      </c>
      <c r="P57" s="116">
        <f t="shared" si="70"/>
        <v>22418.206466109023</v>
      </c>
      <c r="Q57" s="116">
        <f t="shared" si="70"/>
        <v>23763.298854075565</v>
      </c>
      <c r="R57" s="116">
        <f t="shared" si="70"/>
        <v>25189.0967853201</v>
      </c>
      <c r="S57" s="116">
        <f t="shared" si="70"/>
        <v>26700.442592439307</v>
      </c>
      <c r="T57" s="116">
        <f t="shared" si="70"/>
        <v>28302.469147985666</v>
      </c>
      <c r="U57" s="116">
        <f t="shared" si="70"/>
        <v>30000.61729686481</v>
      </c>
      <c r="V57" s="116">
        <f t="shared" si="70"/>
        <v>31800.654334676699</v>
      </c>
      <c r="W57" s="116">
        <f t="shared" si="70"/>
        <v>33708.6935947573</v>
      </c>
      <c r="X57" s="116">
        <f t="shared" si="70"/>
        <v>35731.215210442737</v>
      </c>
      <c r="Y57" s="116">
        <f t="shared" si="70"/>
        <v>37875.088123069305</v>
      </c>
      <c r="Z57" s="116">
        <f t="shared" si="70"/>
        <v>40147.593410453468</v>
      </c>
      <c r="AA57" s="116">
        <f t="shared" si="70"/>
        <v>7556.4490150806814</v>
      </c>
      <c r="AB57" s="116">
        <f t="shared" si="70"/>
        <v>0</v>
      </c>
      <c r="AC57" s="116">
        <f t="shared" si="70"/>
        <v>0</v>
      </c>
      <c r="AD57" s="116">
        <f t="shared" si="70"/>
        <v>0</v>
      </c>
      <c r="AE57" s="116">
        <f t="shared" si="70"/>
        <v>0</v>
      </c>
      <c r="AF57" s="116">
        <f t="shared" si="70"/>
        <v>0</v>
      </c>
      <c r="AG57" s="116">
        <f t="shared" ref="AG57" si="71">MAX(0,AF57*(1+$BB$4)-AG10+IF(AG11&gt;0,AG11-AG61,0)+IF(AG6&gt;300000,100000,0))</f>
        <v>0</v>
      </c>
      <c r="AH57" s="116">
        <f t="shared" ref="AH57" si="72">MAX(0,AG57*(1+$BB$4)-AH10+IF(AH11&gt;0,AH11-AH61,0)+IF(AH6&gt;300000,100000,0))</f>
        <v>0</v>
      </c>
      <c r="AI57" s="116">
        <f t="shared" ref="AI57" si="73">MAX(0,AH57*(1+$BB$4)-AI10+IF(AI11&gt;0,AI11-AI61,0)+IF(AI6&gt;300000,100000,0))</f>
        <v>0</v>
      </c>
      <c r="AJ57" s="116">
        <f t="shared" ref="AJ57" si="74">MAX(0,AI57*(1+$BB$4)-AJ10+IF(AJ11&gt;0,AJ11-AJ61,0)+IF(AJ6&gt;300000,100000,0))</f>
        <v>0</v>
      </c>
      <c r="AK57" s="116">
        <f t="shared" ref="AK57" si="75">MAX(0,AJ57*(1+$BB$4)-AK10+IF(AK11&gt;0,AK11-AK61,0)+IF(AK6&gt;300000,100000,0))</f>
        <v>0</v>
      </c>
      <c r="AL57" s="116">
        <f t="shared" ref="AL57" si="76">MAX(0,AK57*(1+$BB$4)-AL10+IF(AL11&gt;0,AL11-AL61,0)+IF(AL6&gt;300000,100000,0))</f>
        <v>0</v>
      </c>
      <c r="AM57" s="116">
        <f t="shared" ref="AM57" si="77">MAX(0,AL57*(1+$BB$4)-AM10+IF(AM11&gt;0,AM11-AM61,0)+IF(AM6&gt;300000,100000,0))</f>
        <v>0</v>
      </c>
      <c r="AN57" s="116">
        <f t="shared" ref="AN57" si="78">MAX(0,AM57*(1+$BB$4)-AN10+IF(AN11&gt;0,AN11-AN61,0)+IF(AN6&gt;300000,100000,0))</f>
        <v>0</v>
      </c>
      <c r="AO57" s="116">
        <f t="shared" ref="AO57" si="79">MAX(0,AN57*(1+$BB$4)-AO10+IF(AO11&gt;0,AO11-AO61,0)+IF(AO6&gt;300000,100000,0))</f>
        <v>0</v>
      </c>
      <c r="AP57" s="116">
        <f t="shared" ref="AP57" si="80">MAX(0,AO57*(1+$BB$4)-AP10+IF(AP11&gt;0,AP11-AP61,0)+IF(AP6&gt;300000,100000,0))</f>
        <v>0</v>
      </c>
      <c r="AQ57" s="116">
        <f t="shared" ref="AQ57" si="81">MAX(0,AP57*(1+$BB$4)-AQ10+IF(AQ11&gt;0,AQ11-AQ61,0)+IF(AQ6&gt;300000,100000,0))</f>
        <v>0</v>
      </c>
      <c r="AR57" s="116">
        <f t="shared" ref="AR57" si="82">MAX(0,AQ57*(1+$BB$4)-AR10+IF(AR11&gt;0,AR11-AR61,0)+IF(AR6&gt;300000,100000,0))</f>
        <v>0</v>
      </c>
      <c r="AS57" s="116">
        <f t="shared" ref="AS57" si="83">MAX(0,AR57*(1+$BB$4)-AS10+IF(AS11&gt;0,AS11-AS61,0)+IF(AS6&gt;300000,100000,0))</f>
        <v>0</v>
      </c>
      <c r="AT57" s="116">
        <f t="shared" ref="AT57" si="84">MAX(0,AS57*(1+$BB$4)-AT10+IF(AT11&gt;0,AT11-AT61,0)+IF(AT6&gt;300000,100000,0))</f>
        <v>0</v>
      </c>
      <c r="AU57" s="116">
        <f t="shared" ref="AU57" si="85">MAX(0,AT57*(1+$BB$4)-AU10+IF(AU11&gt;0,AU11-AU61,0)+IF(AU6&gt;300000,100000,0))</f>
        <v>0</v>
      </c>
      <c r="AV57" s="116">
        <f t="shared" ref="AV57" si="86">MAX(0,AU57*(1+$BB$4)-AV10+IF(AV11&gt;0,AV11-AV61,0)+IF(AV6&gt;300000,100000,0))</f>
        <v>0</v>
      </c>
      <c r="AW57" s="116">
        <f t="shared" ref="AW57" si="87">MAX(0,AV57*(1+$BB$4)-AW10+IF(AW11&gt;0,AW11-AW61,0)+IF(AW6&gt;300000,100000,0))</f>
        <v>0</v>
      </c>
      <c r="AX57" s="116">
        <f t="shared" ref="AX57" si="88">MAX(0,AW57*(1+$BB$4)-AX10+IF(AX11&gt;0,AX11-AX61,0)+IF(AX6&gt;300000,100000,0))</f>
        <v>0</v>
      </c>
      <c r="AY57" s="116">
        <f t="shared" ref="AY57" si="89">MAX(0,AX57*(1+$BB$4)-AY10+IF(AY11&gt;0,AY11-AY61,0)+IF(AY6&gt;300000,100000,0))</f>
        <v>0</v>
      </c>
      <c r="BA57" s="188"/>
      <c r="BB57" s="188"/>
      <c r="BC57" s="188"/>
      <c r="BD57" s="188"/>
    </row>
    <row r="58" spans="1:56" ht="28.8" x14ac:dyDescent="0.55000000000000004">
      <c r="A58" s="193" t="s">
        <v>460</v>
      </c>
      <c r="B58" s="193" t="s">
        <v>463</v>
      </c>
      <c r="C58" s="194" t="s">
        <v>682</v>
      </c>
      <c r="D58" s="116">
        <f>MAX(0,$BB$18*(1+$BB$4)+D48-D5-D96)</f>
        <v>214248.13640000002</v>
      </c>
      <c r="E58" s="116">
        <f>MAX(0,D58*(1+$BB$4)+E48-E5-E96)</f>
        <v>227103.02458400003</v>
      </c>
      <c r="F58" s="116">
        <f t="shared" ref="F58:AY58" si="90">MAX(0,E58*(1+$BB$4)+F48-F5-F96)</f>
        <v>240729.20605904004</v>
      </c>
      <c r="G58" s="116">
        <f t="shared" si="90"/>
        <v>255172.95842258245</v>
      </c>
      <c r="H58" s="116">
        <f t="shared" si="90"/>
        <v>270483.33592793741</v>
      </c>
      <c r="I58" s="116">
        <f t="shared" si="90"/>
        <v>286712.33608361369</v>
      </c>
      <c r="J58" s="116">
        <f t="shared" si="90"/>
        <v>303915.07624863053</v>
      </c>
      <c r="K58" s="116">
        <f t="shared" si="90"/>
        <v>322149.98082354839</v>
      </c>
      <c r="L58" s="116">
        <f t="shared" si="90"/>
        <v>341478.97967296129</v>
      </c>
      <c r="M58" s="116">
        <f t="shared" si="90"/>
        <v>361967.71845333901</v>
      </c>
      <c r="N58" s="116">
        <f t="shared" si="90"/>
        <v>383685.78156053938</v>
      </c>
      <c r="O58" s="116">
        <f t="shared" si="90"/>
        <v>406706.92845417175</v>
      </c>
      <c r="P58" s="116">
        <f t="shared" si="90"/>
        <v>431109.34416142205</v>
      </c>
      <c r="Q58" s="116">
        <f t="shared" si="90"/>
        <v>456975.90481110738</v>
      </c>
      <c r="R58" s="116">
        <f t="shared" si="90"/>
        <v>484394.45909977384</v>
      </c>
      <c r="S58" s="116">
        <f t="shared" si="90"/>
        <v>513458.12664576032</v>
      </c>
      <c r="T58" s="116">
        <f t="shared" si="90"/>
        <v>544265.614244506</v>
      </c>
      <c r="U58" s="116">
        <f t="shared" si="90"/>
        <v>576921.5510991764</v>
      </c>
      <c r="V58" s="116">
        <f t="shared" si="90"/>
        <v>611536.84416512703</v>
      </c>
      <c r="W58" s="116">
        <f t="shared" si="90"/>
        <v>648229.05481503473</v>
      </c>
      <c r="X58" s="116">
        <f t="shared" si="90"/>
        <v>687122.79810393683</v>
      </c>
      <c r="Y58" s="116">
        <f t="shared" si="90"/>
        <v>728350.16599017312</v>
      </c>
      <c r="Z58" s="116">
        <f t="shared" si="90"/>
        <v>772051.17594958353</v>
      </c>
      <c r="AA58" s="116">
        <f t="shared" si="90"/>
        <v>818374.24650655861</v>
      </c>
      <c r="AB58" s="116">
        <f t="shared" si="90"/>
        <v>867476.7012969522</v>
      </c>
      <c r="AC58" s="116">
        <f t="shared" si="90"/>
        <v>919525.3033747694</v>
      </c>
      <c r="AD58" s="116">
        <f t="shared" si="90"/>
        <v>974696.82157725561</v>
      </c>
      <c r="AE58" s="116">
        <f t="shared" si="90"/>
        <v>1033178.630871891</v>
      </c>
      <c r="AF58" s="116">
        <f t="shared" si="90"/>
        <v>1095169.3487242046</v>
      </c>
      <c r="AG58" s="116">
        <f t="shared" si="90"/>
        <v>1160879.5096476569</v>
      </c>
      <c r="AH58" s="116">
        <f t="shared" si="90"/>
        <v>1230532.2802265163</v>
      </c>
      <c r="AI58" s="116">
        <f t="shared" si="90"/>
        <v>1304364.2170401074</v>
      </c>
      <c r="AJ58" s="116">
        <f t="shared" si="90"/>
        <v>1382626.0700625139</v>
      </c>
      <c r="AK58" s="116">
        <f t="shared" si="90"/>
        <v>1465583.6342662647</v>
      </c>
      <c r="AL58" s="116">
        <f t="shared" si="90"/>
        <v>1553518.6523222406</v>
      </c>
      <c r="AM58" s="116">
        <f t="shared" si="90"/>
        <v>1646729.7714615751</v>
      </c>
      <c r="AN58" s="116">
        <f t="shared" si="90"/>
        <v>1745533.5577492698</v>
      </c>
      <c r="AO58" s="116">
        <f t="shared" si="90"/>
        <v>1779308.9225252313</v>
      </c>
      <c r="AP58" s="116">
        <f t="shared" si="90"/>
        <v>1810991.1320317986</v>
      </c>
      <c r="AQ58" s="116">
        <f t="shared" si="90"/>
        <v>1840568.017768912</v>
      </c>
      <c r="AR58" s="116">
        <f t="shared" si="90"/>
        <v>1867339.9162091871</v>
      </c>
      <c r="AS58" s="116">
        <f t="shared" si="90"/>
        <v>1890880.7890865165</v>
      </c>
      <c r="AT58" s="116">
        <f t="shared" si="90"/>
        <v>1910725.6765759394</v>
      </c>
      <c r="AU58" s="116">
        <f t="shared" si="90"/>
        <v>1926878.202914004</v>
      </c>
      <c r="AV58" s="116">
        <f t="shared" si="90"/>
        <v>1938335.3165529522</v>
      </c>
      <c r="AW58" s="116">
        <f t="shared" si="90"/>
        <v>1945124.9656843808</v>
      </c>
      <c r="AX58" s="116">
        <f t="shared" si="90"/>
        <v>1946051.2156680403</v>
      </c>
      <c r="AY58" s="116">
        <f t="shared" si="90"/>
        <v>1941186.0876288703</v>
      </c>
      <c r="BA58" s="188"/>
      <c r="BB58" s="188"/>
      <c r="BC58" s="188"/>
      <c r="BD58" s="188"/>
    </row>
    <row r="59" spans="1:56" x14ac:dyDescent="0.55000000000000004">
      <c r="A59" s="193" t="s">
        <v>460</v>
      </c>
      <c r="B59" s="193" t="s">
        <v>464</v>
      </c>
      <c r="C59" s="194"/>
      <c r="D59" s="116">
        <f>MAX(0,$BB$19*(1+$BB$4)+D5-D12+D14)</f>
        <v>2385</v>
      </c>
      <c r="E59" s="116">
        <f>MAX(0,D59*(1+$BB$4)+E5-E12+E14)</f>
        <v>2528.1</v>
      </c>
      <c r="F59" s="116">
        <f t="shared" ref="F59:AY59" si="91">MAX(0,E59*(1+$BB$4)+F5-F12+F14)</f>
        <v>2679.7860000000001</v>
      </c>
      <c r="G59" s="116">
        <f t="shared" si="91"/>
        <v>2840.5731600000004</v>
      </c>
      <c r="H59" s="116">
        <f t="shared" si="91"/>
        <v>3011.0075496000004</v>
      </c>
      <c r="I59" s="116">
        <f t="shared" si="91"/>
        <v>3191.6680025760006</v>
      </c>
      <c r="J59" s="116">
        <f t="shared" si="91"/>
        <v>3383.1680827305609</v>
      </c>
      <c r="K59" s="116">
        <f t="shared" si="91"/>
        <v>3586.1581676943947</v>
      </c>
      <c r="L59" s="116">
        <f t="shared" si="91"/>
        <v>3801.3276577560587</v>
      </c>
      <c r="M59" s="116">
        <f t="shared" si="91"/>
        <v>4029.4073172214225</v>
      </c>
      <c r="N59" s="116">
        <f t="shared" si="91"/>
        <v>4271.1717562547083</v>
      </c>
      <c r="O59" s="116">
        <f t="shared" si="91"/>
        <v>4527.4420616299913</v>
      </c>
      <c r="P59" s="116">
        <f t="shared" si="91"/>
        <v>4799.0885853277914</v>
      </c>
      <c r="Q59" s="116">
        <f t="shared" si="91"/>
        <v>5087.033900447459</v>
      </c>
      <c r="R59" s="116">
        <f t="shared" si="91"/>
        <v>5392.2559344743067</v>
      </c>
      <c r="S59" s="116">
        <f t="shared" si="91"/>
        <v>5715.7912905427656</v>
      </c>
      <c r="T59" s="116">
        <f t="shared" si="91"/>
        <v>6058.7387679753319</v>
      </c>
      <c r="U59" s="116">
        <f t="shared" si="91"/>
        <v>6422.263094053852</v>
      </c>
      <c r="V59" s="116">
        <f t="shared" si="91"/>
        <v>6807.5988796970832</v>
      </c>
      <c r="W59" s="116">
        <f t="shared" si="91"/>
        <v>7216.0548124789084</v>
      </c>
      <c r="X59" s="116">
        <f t="shared" si="91"/>
        <v>7649.0181012276435</v>
      </c>
      <c r="Y59" s="116">
        <f t="shared" si="91"/>
        <v>8107.9591873013023</v>
      </c>
      <c r="Z59" s="116">
        <f t="shared" si="91"/>
        <v>8594.4367385393816</v>
      </c>
      <c r="AA59" s="116">
        <f t="shared" si="91"/>
        <v>9110.102942851745</v>
      </c>
      <c r="AB59" s="116">
        <f t="shared" si="91"/>
        <v>9656.7091194228506</v>
      </c>
      <c r="AC59" s="116">
        <f t="shared" si="91"/>
        <v>10236.111666588222</v>
      </c>
      <c r="AD59" s="116">
        <f t="shared" si="91"/>
        <v>10850.278366583516</v>
      </c>
      <c r="AE59" s="116">
        <f t="shared" si="91"/>
        <v>11501.295068578527</v>
      </c>
      <c r="AF59" s="116">
        <f t="shared" si="91"/>
        <v>12191.372772693239</v>
      </c>
      <c r="AG59" s="116">
        <f t="shared" si="91"/>
        <v>12922.855139054835</v>
      </c>
      <c r="AH59" s="116">
        <f t="shared" si="91"/>
        <v>13698.226447398125</v>
      </c>
      <c r="AI59" s="116">
        <f t="shared" si="91"/>
        <v>14520.120034242012</v>
      </c>
      <c r="AJ59" s="116">
        <f t="shared" si="91"/>
        <v>15391.327236296534</v>
      </c>
      <c r="AK59" s="116">
        <f t="shared" si="91"/>
        <v>16314.806870474327</v>
      </c>
      <c r="AL59" s="116">
        <f t="shared" si="91"/>
        <v>17293.695282702789</v>
      </c>
      <c r="AM59" s="116">
        <f t="shared" si="91"/>
        <v>18331.316999664956</v>
      </c>
      <c r="AN59" s="116">
        <f t="shared" si="91"/>
        <v>19431.196019644853</v>
      </c>
      <c r="AO59" s="116">
        <f t="shared" si="91"/>
        <v>20597.067780823545</v>
      </c>
      <c r="AP59" s="116">
        <f t="shared" si="91"/>
        <v>21832.89184767296</v>
      </c>
      <c r="AQ59" s="116">
        <f t="shared" si="91"/>
        <v>23142.865358533338</v>
      </c>
      <c r="AR59" s="116">
        <f t="shared" si="91"/>
        <v>24531.437280045338</v>
      </c>
      <c r="AS59" s="116">
        <f t="shared" si="91"/>
        <v>26003.323516848061</v>
      </c>
      <c r="AT59" s="116">
        <f t="shared" si="91"/>
        <v>27563.522927858947</v>
      </c>
      <c r="AU59" s="116">
        <f t="shared" si="91"/>
        <v>29217.334303530486</v>
      </c>
      <c r="AV59" s="116">
        <f t="shared" si="91"/>
        <v>30970.374361742317</v>
      </c>
      <c r="AW59" s="116">
        <f t="shared" si="91"/>
        <v>32828.59682344686</v>
      </c>
      <c r="AX59" s="116">
        <f t="shared" si="91"/>
        <v>34798.312632853675</v>
      </c>
      <c r="AY59" s="116">
        <f t="shared" si="91"/>
        <v>36886.211390824894</v>
      </c>
      <c r="BA59" s="188"/>
      <c r="BB59" s="188"/>
      <c r="BC59" s="188"/>
      <c r="BD59" s="188"/>
    </row>
    <row r="60" spans="1:56" ht="14.7" thickBot="1" x14ac:dyDescent="0.6">
      <c r="A60" s="195" t="s">
        <v>460</v>
      </c>
      <c r="B60" s="195" t="s">
        <v>465</v>
      </c>
      <c r="C60" s="196"/>
      <c r="D60" s="117">
        <f>D57+D58+D59</f>
        <v>227774.29820000002</v>
      </c>
      <c r="E60" s="117">
        <f t="shared" ref="E60:AF60" si="92">E57+E58+E59</f>
        <v>241440.75609200003</v>
      </c>
      <c r="F60" s="117">
        <f t="shared" si="92"/>
        <v>255927.20145752004</v>
      </c>
      <c r="G60" s="117">
        <f t="shared" si="92"/>
        <v>271282.8335449713</v>
      </c>
      <c r="H60" s="117">
        <f t="shared" si="92"/>
        <v>287559.80355766951</v>
      </c>
      <c r="I60" s="117">
        <f t="shared" si="92"/>
        <v>304813.39177112974</v>
      </c>
      <c r="J60" s="117">
        <f t="shared" si="92"/>
        <v>323102.19527739752</v>
      </c>
      <c r="K60" s="117">
        <f t="shared" si="92"/>
        <v>342488.32699404145</v>
      </c>
      <c r="L60" s="117">
        <f t="shared" si="92"/>
        <v>363037.62661368388</v>
      </c>
      <c r="M60" s="117">
        <f t="shared" si="92"/>
        <v>384819.884210505</v>
      </c>
      <c r="N60" s="117">
        <f t="shared" si="92"/>
        <v>407909.07726313529</v>
      </c>
      <c r="O60" s="117">
        <f t="shared" si="92"/>
        <v>432383.62189892348</v>
      </c>
      <c r="P60" s="117">
        <f t="shared" si="92"/>
        <v>458326.63921285886</v>
      </c>
      <c r="Q60" s="117">
        <f t="shared" si="92"/>
        <v>485826.23756563041</v>
      </c>
      <c r="R60" s="117">
        <f t="shared" si="92"/>
        <v>514975.81181956822</v>
      </c>
      <c r="S60" s="117">
        <f t="shared" si="92"/>
        <v>545874.36052874243</v>
      </c>
      <c r="T60" s="117">
        <f t="shared" si="92"/>
        <v>578626.82216046704</v>
      </c>
      <c r="U60" s="117">
        <f t="shared" si="92"/>
        <v>613344.4314900951</v>
      </c>
      <c r="V60" s="117">
        <f t="shared" si="92"/>
        <v>650145.09737950074</v>
      </c>
      <c r="W60" s="117">
        <f t="shared" si="92"/>
        <v>689153.80322227103</v>
      </c>
      <c r="X60" s="117">
        <f t="shared" si="92"/>
        <v>730503.0314156072</v>
      </c>
      <c r="Y60" s="117">
        <f t="shared" si="92"/>
        <v>774333.21330054372</v>
      </c>
      <c r="Z60" s="117">
        <f t="shared" si="92"/>
        <v>820793.20609857643</v>
      </c>
      <c r="AA60" s="117">
        <f t="shared" si="92"/>
        <v>835040.79846449103</v>
      </c>
      <c r="AB60" s="117">
        <f t="shared" si="92"/>
        <v>877133.41041637503</v>
      </c>
      <c r="AC60" s="117">
        <f t="shared" si="92"/>
        <v>929761.41504135763</v>
      </c>
      <c r="AD60" s="117">
        <f t="shared" si="92"/>
        <v>985547.09994383913</v>
      </c>
      <c r="AE60" s="117">
        <f t="shared" si="92"/>
        <v>1044679.9259404696</v>
      </c>
      <c r="AF60" s="117">
        <f t="shared" si="92"/>
        <v>1107360.7214968977</v>
      </c>
      <c r="AG60" s="117">
        <f t="shared" ref="AG60:AY60" si="93">AG57+AG58+AG59</f>
        <v>1173802.3647867118</v>
      </c>
      <c r="AH60" s="117">
        <f t="shared" si="93"/>
        <v>1244230.5066739144</v>
      </c>
      <c r="AI60" s="117">
        <f t="shared" si="93"/>
        <v>1318884.3370743494</v>
      </c>
      <c r="AJ60" s="117">
        <f t="shared" si="93"/>
        <v>1398017.3972988105</v>
      </c>
      <c r="AK60" s="117">
        <f t="shared" si="93"/>
        <v>1481898.441136739</v>
      </c>
      <c r="AL60" s="117">
        <f t="shared" si="93"/>
        <v>1570812.3476049434</v>
      </c>
      <c r="AM60" s="117">
        <f t="shared" si="93"/>
        <v>1665061.0884612401</v>
      </c>
      <c r="AN60" s="117">
        <f t="shared" si="93"/>
        <v>1764964.7537689146</v>
      </c>
      <c r="AO60" s="117">
        <f t="shared" si="93"/>
        <v>1799905.9903060547</v>
      </c>
      <c r="AP60" s="117">
        <f t="shared" si="93"/>
        <v>1832824.0238794715</v>
      </c>
      <c r="AQ60" s="117">
        <f t="shared" si="93"/>
        <v>1863710.8831274454</v>
      </c>
      <c r="AR60" s="117">
        <f t="shared" si="93"/>
        <v>1891871.3534892325</v>
      </c>
      <c r="AS60" s="117">
        <f t="shared" si="93"/>
        <v>1916884.1126033645</v>
      </c>
      <c r="AT60" s="117">
        <f t="shared" si="93"/>
        <v>1938289.1995037983</v>
      </c>
      <c r="AU60" s="117">
        <f t="shared" si="93"/>
        <v>1956095.5372175344</v>
      </c>
      <c r="AV60" s="117">
        <f t="shared" si="93"/>
        <v>1969305.6909146945</v>
      </c>
      <c r="AW60" s="117">
        <f t="shared" si="93"/>
        <v>1977953.5625078278</v>
      </c>
      <c r="AX60" s="117">
        <f t="shared" si="93"/>
        <v>1980849.528300894</v>
      </c>
      <c r="AY60" s="117">
        <f t="shared" si="93"/>
        <v>1978072.2990196953</v>
      </c>
      <c r="BA60" s="188"/>
      <c r="BB60" s="188"/>
      <c r="BC60" s="188"/>
      <c r="BD60" s="188"/>
    </row>
    <row r="61" spans="1:56" ht="14.7" thickBot="1" x14ac:dyDescent="0.6">
      <c r="A61" s="193" t="s">
        <v>460</v>
      </c>
      <c r="B61" s="193" t="s">
        <v>466</v>
      </c>
      <c r="C61" s="194" t="s">
        <v>467</v>
      </c>
      <c r="D61" s="116">
        <f>_xlfn.LET(_xlpm.Ordinary,_xlfn.LET(_xlpm.o,D5+D6+D7+D96,_xlpm.prov,_xlpm.o+D8*0.5,_xlpm.tSS,D8*IF(AND($BB$38&lt;=0,$BB$39&lt;=0),IF(D8&gt;0,0.85,0),IF(_xlpm.prov&lt;$BB$38,0,IF(_xlpm.prov&lt;$BB$39,0.5,0.85))),_xlpm.o+_xlpm.tSS),_xlpm.LTCG,D21,_xlpm.StdDed,$BB$7,_xlpm.TaxableOrd,MAX(0,_xlpm.Ordinary-_xlpm.StdDed),_xlpm.OrdTax,MAX(0,MIN(_xlpm.TaxableOrd,$BB$35))*0.1+MAX(0,MIN(_xlpm.TaxableOrd,$BB$10)-$BB$35)*0.12+MAX(0,MIN(_xlpm.TaxableOrd,$BB$11)-$BB$10)*0.22+MAX(0,MIN(_xlpm.TaxableOrd,$BB$12)-$BB$11)*0.24+MAX(0,MIN(_xlpm.TaxableOrd,$BB$36)-$BB$12)*0.32+MAX(0,MIN(_xlpm.TaxableOrd,$BB$37)-$BB$36)*0.35+MAX(0,_xlpm.TaxableOrd-$BB$37)*0.37,_xlpm.lo,_xlpm.TaxableOrd,_xlpm.hi,_xlpm.TaxableOrd+_xlpm.LTCG,_xlpm.CGTax,MAX(0,MIN(_xlpm.hi,$BB$15)-_xlpm.lo)*0+MAX(0,MIN(_xlpm.hi,$BB$16)-MAX(_xlpm.lo,$BB$15))*0.15+MAX(0,_xlpm.hi-MAX(_xlpm.lo,$BB$16))*0.2,_xlpm.NIIT,MAX(0,(_xlpm.Ordinary+_xlpm.LTCG-$BB$14))*0.038,_xlpm.OrdTax+_xlpm.CGTax+_xlpm.NIIT)</f>
        <v>23260</v>
      </c>
      <c r="E61" s="116">
        <f t="shared" ref="E61:AY61" si="94">_xlfn.LET(_xlpm.Ordinary,_xlfn.LET(_xlpm.o,E5+E6+E7+E96,_xlpm.prov,_xlpm.o+E8*0.5,_xlpm.tSS,E8*IF(AND($BB$38&lt;=0,$BB$39&lt;=0),IF(E8&gt;0,0.85,0),IF(_xlpm.prov&lt;$BB$38,0,IF(_xlpm.prov&lt;$BB$39,0.5,0.85))),_xlpm.o+_xlpm.tSS),_xlpm.LTCG,E21,_xlpm.StdDed,$BB$7,_xlpm.TaxableOrd,MAX(0,_xlpm.Ordinary-_xlpm.StdDed),_xlpm.OrdTax,MAX(0,MIN(_xlpm.TaxableOrd,$BB$35))*0.1+MAX(0,MIN(_xlpm.TaxableOrd,$BB$10)-$BB$35)*0.12+MAX(0,MIN(_xlpm.TaxableOrd,$BB$11)-$BB$10)*0.22+MAX(0,MIN(_xlpm.TaxableOrd,$BB$12)-$BB$11)*0.24+MAX(0,MIN(_xlpm.TaxableOrd,$BB$36)-$BB$12)*0.32+MAX(0,MIN(_xlpm.TaxableOrd,$BB$37)-$BB$36)*0.35+MAX(0,_xlpm.TaxableOrd-$BB$37)*0.37,_xlpm.lo,_xlpm.TaxableOrd,_xlpm.hi,_xlpm.TaxableOrd+_xlpm.LTCG,_xlpm.CGTax,MAX(0,MIN(_xlpm.hi,$BB$15)-_xlpm.lo)*0+MAX(0,MIN(_xlpm.hi,$BB$16)-MAX(_xlpm.lo,$BB$15))*0.15+MAX(0,_xlpm.hi-MAX(_xlpm.lo,$BB$16))*0.2,_xlpm.NIIT,MAX(0,(_xlpm.Ordinary+_xlpm.LTCG-$BB$14))*0.038,_xlpm.OrdTax+_xlpm.CGTax+_xlpm.NIIT)</f>
        <v>23260</v>
      </c>
      <c r="F61" s="116">
        <f t="shared" si="94"/>
        <v>23260</v>
      </c>
      <c r="G61" s="116">
        <f t="shared" si="94"/>
        <v>23260</v>
      </c>
      <c r="H61" s="116">
        <f t="shared" si="94"/>
        <v>23260</v>
      </c>
      <c r="I61" s="116">
        <f t="shared" si="94"/>
        <v>23260</v>
      </c>
      <c r="J61" s="116">
        <f t="shared" si="94"/>
        <v>23260</v>
      </c>
      <c r="K61" s="116">
        <f t="shared" si="94"/>
        <v>23260</v>
      </c>
      <c r="L61" s="116">
        <f t="shared" si="94"/>
        <v>23260</v>
      </c>
      <c r="M61" s="116">
        <f t="shared" si="94"/>
        <v>23260</v>
      </c>
      <c r="N61" s="116">
        <f t="shared" si="94"/>
        <v>23260</v>
      </c>
      <c r="O61" s="116">
        <f t="shared" si="94"/>
        <v>23260</v>
      </c>
      <c r="P61" s="116">
        <f t="shared" si="94"/>
        <v>23260</v>
      </c>
      <c r="Q61" s="116">
        <f t="shared" si="94"/>
        <v>23260</v>
      </c>
      <c r="R61" s="116">
        <f t="shared" si="94"/>
        <v>23260</v>
      </c>
      <c r="S61" s="116">
        <f t="shared" si="94"/>
        <v>23260</v>
      </c>
      <c r="T61" s="116">
        <f t="shared" si="94"/>
        <v>23260</v>
      </c>
      <c r="U61" s="116">
        <f t="shared" si="94"/>
        <v>23260</v>
      </c>
      <c r="V61" s="116">
        <f t="shared" si="94"/>
        <v>23260</v>
      </c>
      <c r="W61" s="116">
        <f t="shared" si="94"/>
        <v>23260</v>
      </c>
      <c r="X61" s="116">
        <f t="shared" si="94"/>
        <v>23260</v>
      </c>
      <c r="Y61" s="116">
        <f t="shared" si="94"/>
        <v>23260</v>
      </c>
      <c r="Z61" s="116">
        <f t="shared" si="94"/>
        <v>23260</v>
      </c>
      <c r="AA61" s="116">
        <f t="shared" si="94"/>
        <v>0</v>
      </c>
      <c r="AB61" s="116">
        <f t="shared" si="94"/>
        <v>0</v>
      </c>
      <c r="AC61" s="116">
        <f t="shared" si="94"/>
        <v>0</v>
      </c>
      <c r="AD61" s="116">
        <f t="shared" si="94"/>
        <v>0</v>
      </c>
      <c r="AE61" s="116">
        <f t="shared" si="94"/>
        <v>0</v>
      </c>
      <c r="AF61" s="116">
        <f t="shared" si="94"/>
        <v>0</v>
      </c>
      <c r="AG61" s="116">
        <f t="shared" si="94"/>
        <v>0</v>
      </c>
      <c r="AH61" s="116">
        <f t="shared" si="94"/>
        <v>0</v>
      </c>
      <c r="AI61" s="116">
        <f t="shared" si="94"/>
        <v>0</v>
      </c>
      <c r="AJ61" s="116">
        <f t="shared" si="94"/>
        <v>0</v>
      </c>
      <c r="AK61" s="116">
        <f t="shared" si="94"/>
        <v>0</v>
      </c>
      <c r="AL61" s="116">
        <f t="shared" si="94"/>
        <v>0</v>
      </c>
      <c r="AM61" s="116">
        <f t="shared" si="94"/>
        <v>0</v>
      </c>
      <c r="AN61" s="116">
        <f t="shared" si="94"/>
        <v>0</v>
      </c>
      <c r="AO61" s="116">
        <f t="shared" si="94"/>
        <v>10198.909842679364</v>
      </c>
      <c r="AP61" s="116">
        <f t="shared" si="94"/>
        <v>10693.271101393577</v>
      </c>
      <c r="AQ61" s="116">
        <f t="shared" si="94"/>
        <v>11174.021862175365</v>
      </c>
      <c r="AR61" s="116">
        <f t="shared" si="94"/>
        <v>11826.552177689118</v>
      </c>
      <c r="AS61" s="116">
        <f t="shared" si="94"/>
        <v>12890.766860948866</v>
      </c>
      <c r="AT61" s="116">
        <f t="shared" si="94"/>
        <v>14014.62316826899</v>
      </c>
      <c r="AU61" s="116">
        <f t="shared" si="94"/>
        <v>15088.895136428182</v>
      </c>
      <c r="AV61" s="116">
        <f t="shared" si="94"/>
        <v>16335.099277896263</v>
      </c>
      <c r="AW61" s="116">
        <f t="shared" si="94"/>
        <v>17513.175369584718</v>
      </c>
      <c r="AX61" s="116">
        <f t="shared" si="94"/>
        <v>18892.746550628792</v>
      </c>
      <c r="AY61" s="116">
        <f t="shared" si="94"/>
        <v>20179.076215435554</v>
      </c>
      <c r="BA61" s="188"/>
      <c r="BB61" s="188"/>
      <c r="BC61" s="188"/>
      <c r="BD61" s="188"/>
    </row>
    <row r="62" spans="1:56" ht="15.9" thickTop="1" x14ac:dyDescent="0.6">
      <c r="A62" s="197" t="s">
        <v>458</v>
      </c>
      <c r="B62" s="197" t="s">
        <v>468</v>
      </c>
      <c r="C62" s="198"/>
      <c r="D62" s="118"/>
      <c r="E62" s="118"/>
      <c r="F62" s="118"/>
      <c r="G62" s="118"/>
      <c r="H62" s="118"/>
      <c r="I62" s="118"/>
      <c r="J62" s="118"/>
      <c r="K62" s="118"/>
      <c r="L62" s="118"/>
      <c r="M62" s="118"/>
      <c r="N62" s="118"/>
      <c r="O62" s="118"/>
      <c r="P62" s="118"/>
      <c r="Q62" s="118"/>
      <c r="R62" s="118"/>
      <c r="S62" s="118"/>
      <c r="T62" s="118"/>
      <c r="U62" s="118"/>
      <c r="V62" s="118"/>
      <c r="W62" s="118"/>
      <c r="X62" s="118"/>
      <c r="Y62" s="118"/>
      <c r="Z62" s="118"/>
      <c r="AA62" s="118"/>
      <c r="AB62" s="118"/>
      <c r="AC62" s="118"/>
      <c r="AD62" s="118"/>
      <c r="AE62" s="118"/>
      <c r="AF62" s="118"/>
      <c r="AG62" s="118"/>
      <c r="AH62" s="118"/>
      <c r="AI62" s="118"/>
      <c r="AJ62" s="118"/>
      <c r="AK62" s="118"/>
      <c r="AL62" s="118"/>
      <c r="AM62" s="118"/>
      <c r="AN62" s="118"/>
      <c r="AO62" s="118"/>
      <c r="AP62" s="118"/>
      <c r="AQ62" s="118"/>
      <c r="AR62" s="118"/>
      <c r="AS62" s="118"/>
      <c r="AT62" s="118"/>
      <c r="AU62" s="118"/>
      <c r="AV62" s="118"/>
      <c r="AW62" s="118"/>
      <c r="AX62" s="118"/>
      <c r="AY62" s="118"/>
      <c r="BA62" s="188"/>
      <c r="BB62" s="188"/>
      <c r="BC62" s="188"/>
      <c r="BD62" s="188"/>
    </row>
    <row r="63" spans="1:56" ht="28.8" x14ac:dyDescent="0.55000000000000004">
      <c r="A63" s="199" t="s">
        <v>469</v>
      </c>
      <c r="B63" s="199" t="s">
        <v>470</v>
      </c>
      <c r="C63" s="200" t="s">
        <v>683</v>
      </c>
      <c r="D63" s="119">
        <f>IF(D80=0,0,_xlfn.LET(_xlpm.o,D6+D7+D97,_xlpm.prov,_xlpm.o+D8*0.5,_xlpm.tSS,D8*IF(AND($BB$38&lt;=0,$BB$39&lt;=0),IF(D8&gt;0,0.85,0),IF(_xlpm.prov&lt;$BB$38,0,IF(_xlpm.prov&lt;$BB$39,0.5,0.85))),_xlpm.baseTaxable,MAX(0,_xlpm.o+_xlpm.tSS-$BB$7),_xlpm.avail,MAX(0,$BB$18*(1+$BB$4)+D48-D97),MIN(_xlpm.avail,MAX(0,$BB$24-_xlpm.baseTaxable))))</f>
        <v>0</v>
      </c>
      <c r="E63" s="119">
        <f>IF(E80=0,0,_xlfn.LET(_xlpm.o,E6+E7+E97,_xlpm.prov,_xlpm.o+E8*0.5,_xlpm.tSS,E8*IF(AND($BB$38&lt;=0,$BB$39&lt;=0),IF(E8&gt;0,0.85,0),IF(_xlpm.prov&lt;$BB$38,0,IF(_xlpm.prov&lt;$BB$39,0.5,0.85))),_xlpm.baseTaxable,MAX(0,_xlpm.o+_xlpm.tSS-$BB$7),_xlpm.avail,MAX(0,D65*(1+$BB$4)+E48-E97),MIN(_xlpm.avail,MAX(0,$BB$24-_xlpm.baseTaxable))))</f>
        <v>0</v>
      </c>
      <c r="F63" s="119">
        <f t="shared" ref="F63:AY63" si="95">IF(F80=0,0,_xlfn.LET(_xlpm.o,F6+F7+F97,_xlpm.prov,_xlpm.o+F8*0.5,_xlpm.tSS,F8*IF(AND($BB$38&lt;=0,$BB$39&lt;=0),IF(F8&gt;0,0.85,0),IF(_xlpm.prov&lt;$BB$38,0,IF(_xlpm.prov&lt;$BB$39,0.5,0.85))),_xlpm.baseTaxable,MAX(0,_xlpm.o+_xlpm.tSS-$BB$7),_xlpm.avail,MAX(0,E65*(1+$BB$4)+F48-F97),MIN(_xlpm.avail,MAX(0,$BB$24-_xlpm.baseTaxable))))</f>
        <v>0</v>
      </c>
      <c r="G63" s="119">
        <f t="shared" si="95"/>
        <v>0</v>
      </c>
      <c r="H63" s="119">
        <f t="shared" si="95"/>
        <v>0</v>
      </c>
      <c r="I63" s="119">
        <f t="shared" si="95"/>
        <v>0</v>
      </c>
      <c r="J63" s="119">
        <f t="shared" si="95"/>
        <v>0</v>
      </c>
      <c r="K63" s="119">
        <f t="shared" si="95"/>
        <v>0</v>
      </c>
      <c r="L63" s="119">
        <f t="shared" si="95"/>
        <v>0</v>
      </c>
      <c r="M63" s="119">
        <f t="shared" si="95"/>
        <v>0</v>
      </c>
      <c r="N63" s="119">
        <f t="shared" si="95"/>
        <v>0</v>
      </c>
      <c r="O63" s="119">
        <f t="shared" si="95"/>
        <v>0</v>
      </c>
      <c r="P63" s="119">
        <f t="shared" si="95"/>
        <v>0</v>
      </c>
      <c r="Q63" s="119">
        <f t="shared" si="95"/>
        <v>0</v>
      </c>
      <c r="R63" s="119">
        <f t="shared" si="95"/>
        <v>0</v>
      </c>
      <c r="S63" s="119">
        <f t="shared" si="95"/>
        <v>0</v>
      </c>
      <c r="T63" s="119">
        <f t="shared" si="95"/>
        <v>0</v>
      </c>
      <c r="U63" s="119">
        <f t="shared" si="95"/>
        <v>0</v>
      </c>
      <c r="V63" s="119">
        <f t="shared" si="95"/>
        <v>0</v>
      </c>
      <c r="W63" s="119">
        <f t="shared" si="95"/>
        <v>0</v>
      </c>
      <c r="X63" s="119">
        <f t="shared" si="95"/>
        <v>0</v>
      </c>
      <c r="Y63" s="119">
        <f t="shared" si="95"/>
        <v>0</v>
      </c>
      <c r="Z63" s="119">
        <f t="shared" si="95"/>
        <v>0</v>
      </c>
      <c r="AA63" s="119">
        <f t="shared" si="95"/>
        <v>403550</v>
      </c>
      <c r="AB63" s="119">
        <f t="shared" si="95"/>
        <v>403550</v>
      </c>
      <c r="AC63" s="119">
        <f t="shared" si="95"/>
        <v>38333.523374769276</v>
      </c>
      <c r="AD63" s="119">
        <f t="shared" si="95"/>
        <v>0</v>
      </c>
      <c r="AE63" s="119">
        <f t="shared" si="95"/>
        <v>0</v>
      </c>
      <c r="AF63" s="119">
        <f t="shared" si="95"/>
        <v>0</v>
      </c>
      <c r="AG63" s="119">
        <f t="shared" si="95"/>
        <v>0</v>
      </c>
      <c r="AH63" s="119">
        <f t="shared" si="95"/>
        <v>0</v>
      </c>
      <c r="AI63" s="119">
        <f t="shared" si="95"/>
        <v>0</v>
      </c>
      <c r="AJ63" s="119">
        <f t="shared" si="95"/>
        <v>0</v>
      </c>
      <c r="AK63" s="119">
        <f t="shared" si="95"/>
        <v>0</v>
      </c>
      <c r="AL63" s="119">
        <f t="shared" si="95"/>
        <v>0</v>
      </c>
      <c r="AM63" s="119">
        <f t="shared" si="95"/>
        <v>0</v>
      </c>
      <c r="AN63" s="119">
        <f t="shared" si="95"/>
        <v>0</v>
      </c>
      <c r="AO63" s="119">
        <f t="shared" si="95"/>
        <v>0</v>
      </c>
      <c r="AP63" s="119">
        <f t="shared" si="95"/>
        <v>0</v>
      </c>
      <c r="AQ63" s="119">
        <f t="shared" si="95"/>
        <v>0</v>
      </c>
      <c r="AR63" s="119">
        <f t="shared" si="95"/>
        <v>0</v>
      </c>
      <c r="AS63" s="119">
        <f t="shared" si="95"/>
        <v>0</v>
      </c>
      <c r="AT63" s="119">
        <f t="shared" si="95"/>
        <v>0</v>
      </c>
      <c r="AU63" s="119">
        <f t="shared" si="95"/>
        <v>0</v>
      </c>
      <c r="AV63" s="119">
        <f t="shared" si="95"/>
        <v>0</v>
      </c>
      <c r="AW63" s="119">
        <f t="shared" si="95"/>
        <v>0</v>
      </c>
      <c r="AX63" s="119">
        <f t="shared" si="95"/>
        <v>0</v>
      </c>
      <c r="AY63" s="119">
        <f t="shared" si="95"/>
        <v>0</v>
      </c>
      <c r="BA63" s="188"/>
      <c r="BB63" s="188"/>
      <c r="BC63" s="188"/>
      <c r="BD63" s="188"/>
    </row>
    <row r="64" spans="1:56" x14ac:dyDescent="0.55000000000000004">
      <c r="A64" s="201" t="s">
        <v>469</v>
      </c>
      <c r="B64" s="202" t="s">
        <v>471</v>
      </c>
      <c r="C64" s="203"/>
      <c r="D64" s="120">
        <f>MAX(0,$BB$17*(1+$BB$4)-D10+IF(D11&gt;0,D11-D68,0)+IF(D6&gt;300000,100000,0))</f>
        <v>11141.1618</v>
      </c>
      <c r="E64" s="121">
        <f t="shared" ref="E64:AF64" si="96">MAX(0,D64*(1+$BB$4)-E10+IF(E11&gt;0,E11-E68,0)+IF(E6&gt;300000,100000,0))</f>
        <v>11809.631508</v>
      </c>
      <c r="F64" s="122">
        <f t="shared" si="96"/>
        <v>12518.209398480001</v>
      </c>
      <c r="G64" s="123">
        <f t="shared" si="96"/>
        <v>13269.301962388801</v>
      </c>
      <c r="H64" s="119">
        <f t="shared" si="96"/>
        <v>14065.46008013213</v>
      </c>
      <c r="I64" s="119">
        <f t="shared" si="96"/>
        <v>14909.387684940059</v>
      </c>
      <c r="J64" s="119">
        <f t="shared" si="96"/>
        <v>15803.950946036462</v>
      </c>
      <c r="K64" s="119">
        <f t="shared" si="96"/>
        <v>16752.188002798652</v>
      </c>
      <c r="L64" s="119">
        <f t="shared" si="96"/>
        <v>17757.319282966571</v>
      </c>
      <c r="M64" s="119">
        <f t="shared" si="96"/>
        <v>18822.758439944566</v>
      </c>
      <c r="N64" s="119">
        <f t="shared" si="96"/>
        <v>19952.123946341242</v>
      </c>
      <c r="O64" s="119">
        <f t="shared" si="96"/>
        <v>21149.251383121718</v>
      </c>
      <c r="P64" s="119">
        <f t="shared" si="96"/>
        <v>22418.206466109023</v>
      </c>
      <c r="Q64" s="119">
        <f t="shared" si="96"/>
        <v>23763.298854075565</v>
      </c>
      <c r="R64" s="119">
        <f t="shared" si="96"/>
        <v>25189.0967853201</v>
      </c>
      <c r="S64" s="119">
        <f t="shared" si="96"/>
        <v>26700.442592439307</v>
      </c>
      <c r="T64" s="119">
        <f t="shared" si="96"/>
        <v>28302.469147985666</v>
      </c>
      <c r="U64" s="119">
        <f t="shared" si="96"/>
        <v>30000.61729686481</v>
      </c>
      <c r="V64" s="119">
        <f t="shared" si="96"/>
        <v>31800.654334676699</v>
      </c>
      <c r="W64" s="119">
        <f t="shared" si="96"/>
        <v>33708.6935947573</v>
      </c>
      <c r="X64" s="119">
        <f t="shared" si="96"/>
        <v>35731.215210442737</v>
      </c>
      <c r="Y64" s="119">
        <f t="shared" si="96"/>
        <v>37875.088123069305</v>
      </c>
      <c r="Z64" s="119">
        <f t="shared" si="96"/>
        <v>40147.593410453468</v>
      </c>
      <c r="AA64" s="119">
        <f t="shared" si="96"/>
        <v>7556.4490150806814</v>
      </c>
      <c r="AB64" s="119">
        <f t="shared" si="96"/>
        <v>0</v>
      </c>
      <c r="AC64" s="119">
        <f t="shared" si="96"/>
        <v>0</v>
      </c>
      <c r="AD64" s="119">
        <f t="shared" si="96"/>
        <v>0</v>
      </c>
      <c r="AE64" s="119">
        <f t="shared" si="96"/>
        <v>0</v>
      </c>
      <c r="AF64" s="119">
        <f t="shared" si="96"/>
        <v>0</v>
      </c>
      <c r="AG64" s="119">
        <f t="shared" ref="AG64" si="97">MAX(0,AF64*(1+$BB$4)-AG10+IF(AG11&gt;0,AG11-AG68,0)+IF(AG6&gt;300000,100000,0))</f>
        <v>0</v>
      </c>
      <c r="AH64" s="119">
        <f t="shared" ref="AH64" si="98">MAX(0,AG64*(1+$BB$4)-AH10+IF(AH11&gt;0,AH11-AH68,0)+IF(AH6&gt;300000,100000,0))</f>
        <v>0</v>
      </c>
      <c r="AI64" s="119">
        <f t="shared" ref="AI64" si="99">MAX(0,AH64*(1+$BB$4)-AI10+IF(AI11&gt;0,AI11-AI68,0)+IF(AI6&gt;300000,100000,0))</f>
        <v>0</v>
      </c>
      <c r="AJ64" s="119">
        <f t="shared" ref="AJ64" si="100">MAX(0,AI64*(1+$BB$4)-AJ10+IF(AJ11&gt;0,AJ11-AJ68,0)+IF(AJ6&gt;300000,100000,0))</f>
        <v>0</v>
      </c>
      <c r="AK64" s="119">
        <f t="shared" ref="AK64" si="101">MAX(0,AJ64*(1+$BB$4)-AK10+IF(AK11&gt;0,AK11-AK68,0)+IF(AK6&gt;300000,100000,0))</f>
        <v>0</v>
      </c>
      <c r="AL64" s="119">
        <f t="shared" ref="AL64" si="102">MAX(0,AK64*(1+$BB$4)-AL10+IF(AL11&gt;0,AL11-AL68,0)+IF(AL6&gt;300000,100000,0))</f>
        <v>0</v>
      </c>
      <c r="AM64" s="119">
        <f t="shared" ref="AM64" si="103">MAX(0,AL64*(1+$BB$4)-AM10+IF(AM11&gt;0,AM11-AM68,0)+IF(AM6&gt;300000,100000,0))</f>
        <v>0</v>
      </c>
      <c r="AN64" s="119">
        <f t="shared" ref="AN64" si="104">MAX(0,AM64*(1+$BB$4)-AN10+IF(AN11&gt;0,AN11-AN68,0)+IF(AN6&gt;300000,100000,0))</f>
        <v>0</v>
      </c>
      <c r="AO64" s="119">
        <f t="shared" ref="AO64" si="105">MAX(0,AN64*(1+$BB$4)-AO10+IF(AO11&gt;0,AO11-AO68,0)+IF(AO6&gt;300000,100000,0))</f>
        <v>0</v>
      </c>
      <c r="AP64" s="119">
        <f t="shared" ref="AP64" si="106">MAX(0,AO64*(1+$BB$4)-AP10+IF(AP11&gt;0,AP11-AP68,0)+IF(AP6&gt;300000,100000,0))</f>
        <v>0</v>
      </c>
      <c r="AQ64" s="119">
        <f t="shared" ref="AQ64" si="107">MAX(0,AP64*(1+$BB$4)-AQ10+IF(AQ11&gt;0,AQ11-AQ68,0)+IF(AQ6&gt;300000,100000,0))</f>
        <v>0</v>
      </c>
      <c r="AR64" s="119">
        <f t="shared" ref="AR64" si="108">MAX(0,AQ64*(1+$BB$4)-AR10+IF(AR11&gt;0,AR11-AR68,0)+IF(AR6&gt;300000,100000,0))</f>
        <v>0</v>
      </c>
      <c r="AS64" s="119">
        <f t="shared" ref="AS64" si="109">MAX(0,AR64*(1+$BB$4)-AS10+IF(AS11&gt;0,AS11-AS68,0)+IF(AS6&gt;300000,100000,0))</f>
        <v>0</v>
      </c>
      <c r="AT64" s="119">
        <f t="shared" ref="AT64" si="110">MAX(0,AS64*(1+$BB$4)-AT10+IF(AT11&gt;0,AT11-AT68,0)+IF(AT6&gt;300000,100000,0))</f>
        <v>0</v>
      </c>
      <c r="AU64" s="119">
        <f t="shared" ref="AU64" si="111">MAX(0,AT64*(1+$BB$4)-AU10+IF(AU11&gt;0,AU11-AU68,0)+IF(AU6&gt;300000,100000,0))</f>
        <v>0</v>
      </c>
      <c r="AV64" s="119">
        <f t="shared" ref="AV64" si="112">MAX(0,AU64*(1+$BB$4)-AV10+IF(AV11&gt;0,AV11-AV68,0)+IF(AV6&gt;300000,100000,0))</f>
        <v>0</v>
      </c>
      <c r="AW64" s="119">
        <f t="shared" ref="AW64" si="113">MAX(0,AV64*(1+$BB$4)-AW10+IF(AW11&gt;0,AW11-AW68,0)+IF(AW6&gt;300000,100000,0))</f>
        <v>0</v>
      </c>
      <c r="AX64" s="119">
        <f t="shared" ref="AX64" si="114">MAX(0,AW64*(1+$BB$4)-AX10+IF(AX11&gt;0,AX11-AX68,0)+IF(AX6&gt;300000,100000,0))</f>
        <v>0</v>
      </c>
      <c r="AY64" s="119">
        <f t="shared" ref="AY64" si="115">MAX(0,AX64*(1+$BB$4)-AY10+IF(AY11&gt;0,AY11-AY68,0)+IF(AY6&gt;300000,100000,0))</f>
        <v>0</v>
      </c>
      <c r="BA64" s="188"/>
      <c r="BB64" s="188"/>
      <c r="BC64" s="188"/>
      <c r="BD64" s="188"/>
    </row>
    <row r="65" spans="1:56" x14ac:dyDescent="0.55000000000000004">
      <c r="A65" s="201" t="s">
        <v>469</v>
      </c>
      <c r="B65" s="202" t="s">
        <v>472</v>
      </c>
      <c r="C65" s="203" t="s">
        <v>684</v>
      </c>
      <c r="D65" s="120">
        <f>MAX(0,$BB$18*(1+$BB$4)+D48-D63-D97)</f>
        <v>214248.13640000002</v>
      </c>
      <c r="E65" s="121">
        <f>MAX(0,D65*(1+$BB$4)+E48-E63-E97)</f>
        <v>227103.02458400003</v>
      </c>
      <c r="F65" s="122">
        <f t="shared" ref="F65:AY65" si="116">MAX(0,E65*(1+$BB$4)+F48-F63-F97)</f>
        <v>240729.20605904004</v>
      </c>
      <c r="G65" s="123">
        <f t="shared" si="116"/>
        <v>255172.95842258245</v>
      </c>
      <c r="H65" s="119">
        <f t="shared" si="116"/>
        <v>270483.33592793741</v>
      </c>
      <c r="I65" s="119">
        <f t="shared" si="116"/>
        <v>286712.33608361369</v>
      </c>
      <c r="J65" s="119">
        <f t="shared" si="116"/>
        <v>303915.07624863053</v>
      </c>
      <c r="K65" s="119">
        <f t="shared" si="116"/>
        <v>322149.98082354839</v>
      </c>
      <c r="L65" s="119">
        <f t="shared" si="116"/>
        <v>341478.97967296129</v>
      </c>
      <c r="M65" s="119">
        <f t="shared" si="116"/>
        <v>361967.71845333901</v>
      </c>
      <c r="N65" s="119">
        <f t="shared" si="116"/>
        <v>383685.78156053938</v>
      </c>
      <c r="O65" s="119">
        <f t="shared" si="116"/>
        <v>406706.92845417175</v>
      </c>
      <c r="P65" s="119">
        <f t="shared" si="116"/>
        <v>431109.34416142205</v>
      </c>
      <c r="Q65" s="119">
        <f t="shared" si="116"/>
        <v>456975.90481110738</v>
      </c>
      <c r="R65" s="119">
        <f t="shared" si="116"/>
        <v>484394.45909977384</v>
      </c>
      <c r="S65" s="119">
        <f t="shared" si="116"/>
        <v>513458.12664576032</v>
      </c>
      <c r="T65" s="119">
        <f t="shared" si="116"/>
        <v>544265.614244506</v>
      </c>
      <c r="U65" s="119">
        <f t="shared" si="116"/>
        <v>576921.5510991764</v>
      </c>
      <c r="V65" s="119">
        <f t="shared" si="116"/>
        <v>611536.84416512703</v>
      </c>
      <c r="W65" s="119">
        <f t="shared" si="116"/>
        <v>648229.05481503473</v>
      </c>
      <c r="X65" s="119">
        <f t="shared" si="116"/>
        <v>687122.79810393683</v>
      </c>
      <c r="Y65" s="119">
        <f t="shared" si="116"/>
        <v>728350.16599017312</v>
      </c>
      <c r="Z65" s="119">
        <f t="shared" si="116"/>
        <v>772051.17594958353</v>
      </c>
      <c r="AA65" s="119">
        <f t="shared" si="116"/>
        <v>414824.24650655861</v>
      </c>
      <c r="AB65" s="119">
        <f t="shared" si="116"/>
        <v>36163.701296952146</v>
      </c>
      <c r="AC65" s="119">
        <f t="shared" si="116"/>
        <v>0</v>
      </c>
      <c r="AD65" s="119">
        <f t="shared" si="116"/>
        <v>0</v>
      </c>
      <c r="AE65" s="119">
        <f t="shared" si="116"/>
        <v>0</v>
      </c>
      <c r="AF65" s="119">
        <f t="shared" si="116"/>
        <v>0</v>
      </c>
      <c r="AG65" s="119">
        <f t="shared" si="116"/>
        <v>0</v>
      </c>
      <c r="AH65" s="119">
        <f t="shared" si="116"/>
        <v>0</v>
      </c>
      <c r="AI65" s="119">
        <f t="shared" si="116"/>
        <v>0</v>
      </c>
      <c r="AJ65" s="119">
        <f t="shared" si="116"/>
        <v>0</v>
      </c>
      <c r="AK65" s="119">
        <f t="shared" si="116"/>
        <v>0</v>
      </c>
      <c r="AL65" s="119">
        <f t="shared" si="116"/>
        <v>0</v>
      </c>
      <c r="AM65" s="119">
        <f t="shared" si="116"/>
        <v>0</v>
      </c>
      <c r="AN65" s="119">
        <f t="shared" si="116"/>
        <v>0</v>
      </c>
      <c r="AO65" s="119">
        <f t="shared" si="116"/>
        <v>0</v>
      </c>
      <c r="AP65" s="119">
        <f t="shared" si="116"/>
        <v>0</v>
      </c>
      <c r="AQ65" s="119">
        <f t="shared" si="116"/>
        <v>0</v>
      </c>
      <c r="AR65" s="119">
        <f t="shared" si="116"/>
        <v>0</v>
      </c>
      <c r="AS65" s="119">
        <f t="shared" si="116"/>
        <v>0</v>
      </c>
      <c r="AT65" s="119">
        <f t="shared" si="116"/>
        <v>0</v>
      </c>
      <c r="AU65" s="119">
        <f t="shared" si="116"/>
        <v>0</v>
      </c>
      <c r="AV65" s="119">
        <f t="shared" si="116"/>
        <v>0</v>
      </c>
      <c r="AW65" s="119">
        <f t="shared" si="116"/>
        <v>0</v>
      </c>
      <c r="AX65" s="119">
        <f t="shared" si="116"/>
        <v>0</v>
      </c>
      <c r="AY65" s="119">
        <f t="shared" si="116"/>
        <v>0</v>
      </c>
      <c r="BA65" s="188"/>
      <c r="BB65" s="188"/>
      <c r="BC65" s="188"/>
      <c r="BD65" s="188"/>
    </row>
    <row r="66" spans="1:56" x14ac:dyDescent="0.55000000000000004">
      <c r="A66" s="201" t="s">
        <v>469</v>
      </c>
      <c r="B66" s="202" t="s">
        <v>473</v>
      </c>
      <c r="C66" s="203"/>
      <c r="D66" s="120">
        <f>MAX(0,$BB$19*(1+$BB$4)+D63-D12+D14)</f>
        <v>2385</v>
      </c>
      <c r="E66" s="121">
        <f>MAX(0,D66*(1+$BB$4)+E63-E12+E14)</f>
        <v>2528.1</v>
      </c>
      <c r="F66" s="122">
        <f t="shared" ref="F66:AY66" si="117">MAX(0,E66*(1+$BB$4)+F63-F12+F14)</f>
        <v>2679.7860000000001</v>
      </c>
      <c r="G66" s="123">
        <f t="shared" si="117"/>
        <v>2840.5731600000004</v>
      </c>
      <c r="H66" s="119">
        <f t="shared" si="117"/>
        <v>3011.0075496000004</v>
      </c>
      <c r="I66" s="119">
        <f t="shared" si="117"/>
        <v>3191.6680025760006</v>
      </c>
      <c r="J66" s="119">
        <f t="shared" si="117"/>
        <v>3383.1680827305609</v>
      </c>
      <c r="K66" s="119">
        <f t="shared" si="117"/>
        <v>3586.1581676943947</v>
      </c>
      <c r="L66" s="119">
        <f t="shared" si="117"/>
        <v>3801.3276577560587</v>
      </c>
      <c r="M66" s="119">
        <f t="shared" si="117"/>
        <v>4029.4073172214225</v>
      </c>
      <c r="N66" s="119">
        <f t="shared" si="117"/>
        <v>4271.1717562547083</v>
      </c>
      <c r="O66" s="119">
        <f t="shared" si="117"/>
        <v>4527.4420616299913</v>
      </c>
      <c r="P66" s="119">
        <f t="shared" si="117"/>
        <v>4799.0885853277914</v>
      </c>
      <c r="Q66" s="119">
        <f t="shared" si="117"/>
        <v>5087.033900447459</v>
      </c>
      <c r="R66" s="119">
        <f t="shared" si="117"/>
        <v>5392.2559344743067</v>
      </c>
      <c r="S66" s="119">
        <f t="shared" si="117"/>
        <v>5715.7912905427656</v>
      </c>
      <c r="T66" s="119">
        <f t="shared" si="117"/>
        <v>6058.7387679753319</v>
      </c>
      <c r="U66" s="119">
        <f t="shared" si="117"/>
        <v>6422.263094053852</v>
      </c>
      <c r="V66" s="119">
        <f t="shared" si="117"/>
        <v>6807.5988796970832</v>
      </c>
      <c r="W66" s="119">
        <f t="shared" si="117"/>
        <v>7216.0548124789084</v>
      </c>
      <c r="X66" s="119">
        <f t="shared" si="117"/>
        <v>7649.0181012276435</v>
      </c>
      <c r="Y66" s="119">
        <f t="shared" si="117"/>
        <v>8107.9591873013023</v>
      </c>
      <c r="Z66" s="119">
        <f t="shared" si="117"/>
        <v>8594.4367385393816</v>
      </c>
      <c r="AA66" s="119">
        <f t="shared" si="117"/>
        <v>412660.10294285172</v>
      </c>
      <c r="AB66" s="119">
        <f t="shared" si="117"/>
        <v>840969.70911942283</v>
      </c>
      <c r="AC66" s="119">
        <f t="shared" si="117"/>
        <v>929761.41504135751</v>
      </c>
      <c r="AD66" s="119">
        <f t="shared" si="117"/>
        <v>985547.09994383901</v>
      </c>
      <c r="AE66" s="119">
        <f t="shared" si="117"/>
        <v>1044679.9259404694</v>
      </c>
      <c r="AF66" s="119">
        <f t="shared" si="117"/>
        <v>1107360.7214968975</v>
      </c>
      <c r="AG66" s="119">
        <f t="shared" si="117"/>
        <v>1173802.3647867115</v>
      </c>
      <c r="AH66" s="119">
        <f t="shared" si="117"/>
        <v>1244230.5066739144</v>
      </c>
      <c r="AI66" s="119">
        <f t="shared" si="117"/>
        <v>1318884.3370743494</v>
      </c>
      <c r="AJ66" s="119">
        <f t="shared" si="117"/>
        <v>1398017.3972988105</v>
      </c>
      <c r="AK66" s="119">
        <f t="shared" si="117"/>
        <v>1481898.4411367392</v>
      </c>
      <c r="AL66" s="119">
        <f t="shared" si="117"/>
        <v>1570812.3476049437</v>
      </c>
      <c r="AM66" s="119">
        <f t="shared" si="117"/>
        <v>1665061.0884612403</v>
      </c>
      <c r="AN66" s="119">
        <f t="shared" si="117"/>
        <v>1764964.7537689148</v>
      </c>
      <c r="AO66" s="119">
        <f t="shared" si="117"/>
        <v>1870862.6389950498</v>
      </c>
      <c r="AP66" s="119">
        <f t="shared" si="117"/>
        <v>1983114.3973347528</v>
      </c>
      <c r="AQ66" s="119">
        <f t="shared" si="117"/>
        <v>2102101.2611748381</v>
      </c>
      <c r="AR66" s="119">
        <f t="shared" si="117"/>
        <v>2228227.3368453286</v>
      </c>
      <c r="AS66" s="119">
        <f t="shared" si="117"/>
        <v>2361920.9770560483</v>
      </c>
      <c r="AT66" s="119">
        <f t="shared" si="117"/>
        <v>2503636.2356794113</v>
      </c>
      <c r="AU66" s="119">
        <f t="shared" si="117"/>
        <v>2653854.4098201762</v>
      </c>
      <c r="AV66" s="119">
        <f t="shared" si="117"/>
        <v>2813085.6744093867</v>
      </c>
      <c r="AW66" s="119">
        <f t="shared" si="117"/>
        <v>2981870.8148739501</v>
      </c>
      <c r="AX66" s="119">
        <f t="shared" si="117"/>
        <v>3160783.0637663873</v>
      </c>
      <c r="AY66" s="119">
        <f t="shared" si="117"/>
        <v>3350430.0475923708</v>
      </c>
      <c r="BA66" s="188"/>
      <c r="BB66" s="188"/>
      <c r="BC66" s="188"/>
      <c r="BD66" s="188"/>
    </row>
    <row r="67" spans="1:56" ht="14.7" thickBot="1" x14ac:dyDescent="0.6">
      <c r="A67" s="204" t="s">
        <v>469</v>
      </c>
      <c r="B67" s="205" t="s">
        <v>474</v>
      </c>
      <c r="C67" s="206"/>
      <c r="D67" s="124">
        <f>D64+D65+D66</f>
        <v>227774.29820000002</v>
      </c>
      <c r="E67" s="125">
        <f t="shared" ref="E67:AF67" si="118">E64+E65+E66</f>
        <v>241440.75609200003</v>
      </c>
      <c r="F67" s="126">
        <f t="shared" si="118"/>
        <v>255927.20145752004</v>
      </c>
      <c r="G67" s="127">
        <f t="shared" si="118"/>
        <v>271282.8335449713</v>
      </c>
      <c r="H67" s="110">
        <f t="shared" si="118"/>
        <v>287559.80355766951</v>
      </c>
      <c r="I67" s="110">
        <f t="shared" si="118"/>
        <v>304813.39177112974</v>
      </c>
      <c r="J67" s="110">
        <f t="shared" si="118"/>
        <v>323102.19527739752</v>
      </c>
      <c r="K67" s="110">
        <f t="shared" si="118"/>
        <v>342488.32699404145</v>
      </c>
      <c r="L67" s="110">
        <f t="shared" si="118"/>
        <v>363037.62661368388</v>
      </c>
      <c r="M67" s="110">
        <f t="shared" si="118"/>
        <v>384819.884210505</v>
      </c>
      <c r="N67" s="110">
        <f t="shared" si="118"/>
        <v>407909.07726313529</v>
      </c>
      <c r="O67" s="110">
        <f t="shared" si="118"/>
        <v>432383.62189892348</v>
      </c>
      <c r="P67" s="110">
        <f t="shared" si="118"/>
        <v>458326.63921285886</v>
      </c>
      <c r="Q67" s="110">
        <f t="shared" si="118"/>
        <v>485826.23756563041</v>
      </c>
      <c r="R67" s="110">
        <f t="shared" si="118"/>
        <v>514975.81181956822</v>
      </c>
      <c r="S67" s="110">
        <f t="shared" si="118"/>
        <v>545874.36052874243</v>
      </c>
      <c r="T67" s="110">
        <f t="shared" si="118"/>
        <v>578626.82216046704</v>
      </c>
      <c r="U67" s="110">
        <f t="shared" si="118"/>
        <v>613344.4314900951</v>
      </c>
      <c r="V67" s="110">
        <f t="shared" si="118"/>
        <v>650145.09737950074</v>
      </c>
      <c r="W67" s="110">
        <f t="shared" si="118"/>
        <v>689153.80322227103</v>
      </c>
      <c r="X67" s="110">
        <f t="shared" si="118"/>
        <v>730503.0314156072</v>
      </c>
      <c r="Y67" s="110">
        <f t="shared" si="118"/>
        <v>774333.21330054372</v>
      </c>
      <c r="Z67" s="110">
        <f t="shared" si="118"/>
        <v>820793.20609857643</v>
      </c>
      <c r="AA67" s="110">
        <f t="shared" si="118"/>
        <v>835040.79846449103</v>
      </c>
      <c r="AB67" s="110">
        <f t="shared" si="118"/>
        <v>877133.41041637491</v>
      </c>
      <c r="AC67" s="110">
        <f t="shared" si="118"/>
        <v>929761.41504135751</v>
      </c>
      <c r="AD67" s="110">
        <f t="shared" si="118"/>
        <v>985547.09994383901</v>
      </c>
      <c r="AE67" s="110">
        <f t="shared" si="118"/>
        <v>1044679.9259404694</v>
      </c>
      <c r="AF67" s="110">
        <f t="shared" si="118"/>
        <v>1107360.7214968975</v>
      </c>
      <c r="AG67" s="110">
        <f t="shared" ref="AG67:AY67" si="119">AG64+AG65+AG66</f>
        <v>1173802.3647867115</v>
      </c>
      <c r="AH67" s="110">
        <f t="shared" si="119"/>
        <v>1244230.5066739144</v>
      </c>
      <c r="AI67" s="110">
        <f t="shared" si="119"/>
        <v>1318884.3370743494</v>
      </c>
      <c r="AJ67" s="110">
        <f t="shared" si="119"/>
        <v>1398017.3972988105</v>
      </c>
      <c r="AK67" s="110">
        <f t="shared" si="119"/>
        <v>1481898.4411367392</v>
      </c>
      <c r="AL67" s="110">
        <f t="shared" si="119"/>
        <v>1570812.3476049437</v>
      </c>
      <c r="AM67" s="110">
        <f t="shared" si="119"/>
        <v>1665061.0884612403</v>
      </c>
      <c r="AN67" s="110">
        <f t="shared" si="119"/>
        <v>1764964.7537689148</v>
      </c>
      <c r="AO67" s="110">
        <f t="shared" si="119"/>
        <v>1870862.6389950498</v>
      </c>
      <c r="AP67" s="110">
        <f t="shared" si="119"/>
        <v>1983114.3973347528</v>
      </c>
      <c r="AQ67" s="110">
        <f t="shared" si="119"/>
        <v>2102101.2611748381</v>
      </c>
      <c r="AR67" s="110">
        <f t="shared" si="119"/>
        <v>2228227.3368453286</v>
      </c>
      <c r="AS67" s="110">
        <f t="shared" si="119"/>
        <v>2361920.9770560483</v>
      </c>
      <c r="AT67" s="110">
        <f t="shared" si="119"/>
        <v>2503636.2356794113</v>
      </c>
      <c r="AU67" s="110">
        <f t="shared" si="119"/>
        <v>2653854.4098201762</v>
      </c>
      <c r="AV67" s="110">
        <f t="shared" si="119"/>
        <v>2813085.6744093867</v>
      </c>
      <c r="AW67" s="110">
        <f t="shared" si="119"/>
        <v>2981870.8148739501</v>
      </c>
      <c r="AX67" s="110">
        <f t="shared" si="119"/>
        <v>3160783.0637663873</v>
      </c>
      <c r="AY67" s="110">
        <f t="shared" si="119"/>
        <v>3350430.0475923708</v>
      </c>
      <c r="BA67" s="188"/>
      <c r="BB67" s="188"/>
      <c r="BC67" s="188"/>
      <c r="BD67" s="188"/>
    </row>
    <row r="68" spans="1:56" x14ac:dyDescent="0.55000000000000004">
      <c r="A68" s="201" t="s">
        <v>469</v>
      </c>
      <c r="B68" s="202" t="s">
        <v>475</v>
      </c>
      <c r="C68" s="203" t="s">
        <v>476</v>
      </c>
      <c r="D68" s="120">
        <f>_xlfn.LET(_xlpm.Ordinary,_xlfn.LET(_xlpm.o,D63+D6+D7+D97,_xlpm.prov,_xlpm.o+D8*0.5,_xlpm.tSS,D8*IF(AND($BB$38&lt;=0,$BB$39&lt;=0),IF(D8&gt;0,0.85,0),IF(_xlpm.prov&lt;$BB$38,0,IF(_xlpm.prov&lt;$BB$39,0.5,0.85))),_xlpm.o+_xlpm.tSS),_xlpm.LTCG,D21,_xlpm.StdDed,$BB$7,_xlpm.TaxableOrd,MAX(0,_xlpm.Ordinary-_xlpm.StdDed),_xlpm.OrdTax,MAX(0,MIN(_xlpm.TaxableOrd,$BB$35))*0.1+MAX(0,MIN(_xlpm.TaxableOrd,$BB$10)-$BB$35)*0.12+MAX(0,MIN(_xlpm.TaxableOrd,$BB$11)-$BB$10)*0.22+MAX(0,MIN(_xlpm.TaxableOrd,$BB$12)-$BB$11)*0.24+MAX(0,MIN(_xlpm.TaxableOrd,$BB$36)-$BB$12)*0.32+MAX(0,MIN(_xlpm.TaxableOrd,$BB$37)-$BB$36)*0.35+MAX(0,_xlpm.TaxableOrd-$BB$37)*0.37,_xlpm.lo,_xlpm.TaxableOrd,_xlpm.hi,_xlpm.TaxableOrd+_xlpm.LTCG,_xlpm.CGTax,MAX(0,MIN(_xlpm.hi,$BB$15)-_xlpm.lo)*0+MAX(0,MIN(_xlpm.hi,$BB$16)-MAX(_xlpm.lo,$BB$15))*0.15+MAX(0,_xlpm.hi-MAX(_xlpm.lo,$BB$16))*0.2,_xlpm.NIIT,MAX(0,(_xlpm.Ordinary+_xlpm.LTCG-$BB$14))*0.038,_xlpm.OrdTax+_xlpm.CGTax+_xlpm.NIIT)</f>
        <v>23260</v>
      </c>
      <c r="E68" s="121">
        <f t="shared" ref="E68:AY68" si="120">_xlfn.LET(_xlpm.Ordinary,_xlfn.LET(_xlpm.o,E63+E6+E7+E97,_xlpm.prov,_xlpm.o+E8*0.5,_xlpm.tSS,E8*IF(AND($BB$38&lt;=0,$BB$39&lt;=0),IF(E8&gt;0,0.85,0),IF(_xlpm.prov&lt;$BB$38,0,IF(_xlpm.prov&lt;$BB$39,0.5,0.85))),_xlpm.o+_xlpm.tSS),_xlpm.LTCG,E21,_xlpm.StdDed,$BB$7,_xlpm.TaxableOrd,MAX(0,_xlpm.Ordinary-_xlpm.StdDed),_xlpm.OrdTax,MAX(0,MIN(_xlpm.TaxableOrd,$BB$35))*0.1+MAX(0,MIN(_xlpm.TaxableOrd,$BB$10)-$BB$35)*0.12+MAX(0,MIN(_xlpm.TaxableOrd,$BB$11)-$BB$10)*0.22+MAX(0,MIN(_xlpm.TaxableOrd,$BB$12)-$BB$11)*0.24+MAX(0,MIN(_xlpm.TaxableOrd,$BB$36)-$BB$12)*0.32+MAX(0,MIN(_xlpm.TaxableOrd,$BB$37)-$BB$36)*0.35+MAX(0,_xlpm.TaxableOrd-$BB$37)*0.37,_xlpm.lo,_xlpm.TaxableOrd,_xlpm.hi,_xlpm.TaxableOrd+_xlpm.LTCG,_xlpm.CGTax,MAX(0,MIN(_xlpm.hi,$BB$15)-_xlpm.lo)*0+MAX(0,MIN(_xlpm.hi,$BB$16)-MAX(_xlpm.lo,$BB$15))*0.15+MAX(0,_xlpm.hi-MAX(_xlpm.lo,$BB$16))*0.2,_xlpm.NIIT,MAX(0,(_xlpm.Ordinary+_xlpm.LTCG-$BB$14))*0.038,_xlpm.OrdTax+_xlpm.CGTax+_xlpm.NIIT)</f>
        <v>23260</v>
      </c>
      <c r="F68" s="122">
        <f t="shared" si="120"/>
        <v>23260</v>
      </c>
      <c r="G68" s="123">
        <f t="shared" si="120"/>
        <v>23260</v>
      </c>
      <c r="H68" s="119">
        <f t="shared" si="120"/>
        <v>23260</v>
      </c>
      <c r="I68" s="119">
        <f t="shared" si="120"/>
        <v>23260</v>
      </c>
      <c r="J68" s="119">
        <f t="shared" si="120"/>
        <v>23260</v>
      </c>
      <c r="K68" s="119">
        <f t="shared" si="120"/>
        <v>23260</v>
      </c>
      <c r="L68" s="119">
        <f t="shared" si="120"/>
        <v>23260</v>
      </c>
      <c r="M68" s="119">
        <f t="shared" si="120"/>
        <v>23260</v>
      </c>
      <c r="N68" s="119">
        <f t="shared" si="120"/>
        <v>23260</v>
      </c>
      <c r="O68" s="119">
        <f t="shared" si="120"/>
        <v>23260</v>
      </c>
      <c r="P68" s="119">
        <f t="shared" si="120"/>
        <v>23260</v>
      </c>
      <c r="Q68" s="119">
        <f t="shared" si="120"/>
        <v>23260</v>
      </c>
      <c r="R68" s="119">
        <f t="shared" si="120"/>
        <v>23260</v>
      </c>
      <c r="S68" s="119">
        <f t="shared" si="120"/>
        <v>23260</v>
      </c>
      <c r="T68" s="119">
        <f t="shared" si="120"/>
        <v>23260</v>
      </c>
      <c r="U68" s="119">
        <f t="shared" si="120"/>
        <v>23260</v>
      </c>
      <c r="V68" s="119">
        <f t="shared" si="120"/>
        <v>23260</v>
      </c>
      <c r="W68" s="119">
        <f t="shared" si="120"/>
        <v>23260</v>
      </c>
      <c r="X68" s="119">
        <f t="shared" si="120"/>
        <v>23260</v>
      </c>
      <c r="Y68" s="119">
        <f t="shared" si="120"/>
        <v>23260</v>
      </c>
      <c r="Z68" s="119">
        <f t="shared" si="120"/>
        <v>23260</v>
      </c>
      <c r="AA68" s="119">
        <f t="shared" si="120"/>
        <v>86734.9</v>
      </c>
      <c r="AB68" s="119">
        <f t="shared" si="120"/>
        <v>86734.9</v>
      </c>
      <c r="AC68" s="119">
        <f t="shared" si="120"/>
        <v>613.35233747692769</v>
      </c>
      <c r="AD68" s="119">
        <f t="shared" si="120"/>
        <v>0</v>
      </c>
      <c r="AE68" s="119">
        <f t="shared" si="120"/>
        <v>0</v>
      </c>
      <c r="AF68" s="119">
        <f t="shared" si="120"/>
        <v>0</v>
      </c>
      <c r="AG68" s="119">
        <f t="shared" si="120"/>
        <v>0</v>
      </c>
      <c r="AH68" s="119">
        <f t="shared" si="120"/>
        <v>0</v>
      </c>
      <c r="AI68" s="119">
        <f t="shared" si="120"/>
        <v>0</v>
      </c>
      <c r="AJ68" s="119">
        <f t="shared" si="120"/>
        <v>0</v>
      </c>
      <c r="AK68" s="119">
        <f t="shared" si="120"/>
        <v>0</v>
      </c>
      <c r="AL68" s="119">
        <f t="shared" si="120"/>
        <v>0</v>
      </c>
      <c r="AM68" s="119">
        <f t="shared" si="120"/>
        <v>0</v>
      </c>
      <c r="AN68" s="119">
        <f t="shared" si="120"/>
        <v>0</v>
      </c>
      <c r="AO68" s="119">
        <f t="shared" si="120"/>
        <v>0</v>
      </c>
      <c r="AP68" s="119">
        <f t="shared" si="120"/>
        <v>0</v>
      </c>
      <c r="AQ68" s="119">
        <f t="shared" si="120"/>
        <v>0</v>
      </c>
      <c r="AR68" s="119">
        <f t="shared" si="120"/>
        <v>0</v>
      </c>
      <c r="AS68" s="119">
        <f t="shared" si="120"/>
        <v>0</v>
      </c>
      <c r="AT68" s="119">
        <f t="shared" si="120"/>
        <v>0</v>
      </c>
      <c r="AU68" s="119">
        <f t="shared" si="120"/>
        <v>0</v>
      </c>
      <c r="AV68" s="119">
        <f t="shared" si="120"/>
        <v>0</v>
      </c>
      <c r="AW68" s="119">
        <f t="shared" si="120"/>
        <v>0</v>
      </c>
      <c r="AX68" s="119">
        <f t="shared" si="120"/>
        <v>0</v>
      </c>
      <c r="AY68" s="119">
        <f t="shared" si="120"/>
        <v>0</v>
      </c>
      <c r="BA68" s="188"/>
      <c r="BB68" s="188"/>
      <c r="BC68" s="188"/>
      <c r="BD68" s="188"/>
    </row>
    <row r="69" spans="1:56" ht="15.9" thickBot="1" x14ac:dyDescent="0.65">
      <c r="A69" s="272" t="s">
        <v>698</v>
      </c>
      <c r="B69" s="272"/>
      <c r="C69" s="273"/>
      <c r="D69" s="274"/>
      <c r="E69" s="274"/>
      <c r="F69" s="274"/>
      <c r="G69" s="274"/>
      <c r="H69" s="274"/>
      <c r="I69" s="274"/>
      <c r="J69" s="274"/>
      <c r="K69" s="274"/>
      <c r="L69" s="274"/>
      <c r="M69" s="274"/>
      <c r="N69" s="274"/>
      <c r="O69" s="274"/>
      <c r="P69" s="274"/>
      <c r="Q69" s="274"/>
      <c r="R69" s="274"/>
      <c r="S69" s="274"/>
      <c r="T69" s="274"/>
      <c r="U69" s="274"/>
      <c r="V69" s="274"/>
      <c r="W69" s="274"/>
      <c r="X69" s="274"/>
      <c r="Y69" s="274"/>
      <c r="Z69" s="274"/>
      <c r="AA69" s="274"/>
      <c r="AB69" s="274"/>
      <c r="AC69" s="274"/>
      <c r="AD69" s="274"/>
      <c r="AE69" s="274"/>
      <c r="AF69" s="274"/>
      <c r="AG69" s="274"/>
      <c r="AH69" s="274"/>
      <c r="AI69" s="274"/>
      <c r="AJ69" s="274"/>
      <c r="AK69" s="274"/>
      <c r="AL69" s="274"/>
      <c r="AM69" s="274"/>
      <c r="AN69" s="274"/>
      <c r="AO69" s="274"/>
      <c r="AP69" s="274"/>
      <c r="AQ69" s="274"/>
      <c r="AR69" s="274"/>
      <c r="AS69" s="274"/>
      <c r="AT69" s="274"/>
      <c r="AU69" s="274"/>
      <c r="AV69" s="274"/>
      <c r="AW69" s="274"/>
      <c r="AX69" s="274"/>
      <c r="AY69" s="274"/>
      <c r="BA69" s="188"/>
      <c r="BB69" s="188"/>
      <c r="BC69" s="188"/>
      <c r="BD69" s="188"/>
    </row>
    <row r="70" spans="1:56" ht="15" thickTop="1" thickBot="1" x14ac:dyDescent="0.6">
      <c r="A70" s="207"/>
      <c r="B70" s="208" t="s">
        <v>477</v>
      </c>
      <c r="C70" s="209"/>
      <c r="D70" s="128">
        <f>SUM(D61:AY61)</f>
        <v>693787.13756312872</v>
      </c>
      <c r="E70" s="129"/>
      <c r="F70" s="130"/>
      <c r="G70" s="131"/>
      <c r="H70" s="104"/>
      <c r="I70" s="104"/>
      <c r="J70" s="104"/>
      <c r="K70" s="104"/>
      <c r="L70" s="104"/>
      <c r="M70" s="104"/>
      <c r="N70" s="104"/>
      <c r="O70" s="104"/>
      <c r="P70" s="104"/>
      <c r="Q70" s="104"/>
      <c r="R70" s="104"/>
      <c r="S70" s="104"/>
      <c r="T70" s="104"/>
      <c r="U70" s="104"/>
      <c r="V70" s="104"/>
      <c r="W70" s="104"/>
      <c r="X70" s="104"/>
      <c r="Y70" s="104"/>
      <c r="Z70" s="104"/>
      <c r="AA70" s="104"/>
      <c r="AB70" s="104"/>
      <c r="AC70" s="104"/>
      <c r="AD70" s="104"/>
      <c r="AE70" s="104"/>
      <c r="AF70" s="104"/>
      <c r="AG70" s="104"/>
      <c r="AH70" s="104"/>
      <c r="AI70" s="104"/>
      <c r="AJ70" s="104"/>
      <c r="AK70" s="104"/>
      <c r="AL70" s="104"/>
      <c r="AM70" s="104"/>
      <c r="AN70" s="104"/>
      <c r="AO70" s="104"/>
      <c r="AP70" s="104"/>
      <c r="AQ70" s="104"/>
      <c r="AR70" s="104"/>
      <c r="AS70" s="104"/>
      <c r="AT70" s="104"/>
      <c r="AU70" s="104"/>
      <c r="AV70" s="104"/>
      <c r="AW70" s="104"/>
      <c r="AX70" s="104"/>
      <c r="AY70" s="104"/>
      <c r="BA70" s="188"/>
      <c r="BB70" s="188"/>
      <c r="BC70" s="188"/>
      <c r="BD70" s="188"/>
    </row>
    <row r="71" spans="1:56" ht="14.7" thickBot="1" x14ac:dyDescent="0.6">
      <c r="A71" s="210"/>
      <c r="B71" s="211" t="s">
        <v>478</v>
      </c>
      <c r="C71" s="212"/>
      <c r="D71" s="132">
        <f>SUM(D68:AY68)</f>
        <v>709063.15233747696</v>
      </c>
      <c r="E71" s="133"/>
      <c r="F71" s="134"/>
      <c r="G71" s="135"/>
      <c r="H71" s="106"/>
      <c r="I71" s="106"/>
      <c r="J71" s="106"/>
      <c r="K71" s="106"/>
      <c r="L71" s="106"/>
      <c r="M71" s="106"/>
      <c r="N71" s="106"/>
      <c r="O71" s="106"/>
      <c r="P71" s="106"/>
      <c r="Q71" s="106"/>
      <c r="R71" s="106"/>
      <c r="S71" s="106"/>
      <c r="T71" s="106"/>
      <c r="U71" s="106"/>
      <c r="V71" s="106"/>
      <c r="W71" s="106"/>
      <c r="X71" s="106"/>
      <c r="Y71" s="106"/>
      <c r="Z71" s="106"/>
      <c r="AA71" s="106"/>
      <c r="AB71" s="106"/>
      <c r="AC71" s="106"/>
      <c r="AD71" s="106"/>
      <c r="AE71" s="106"/>
      <c r="AF71" s="106"/>
      <c r="AG71" s="106"/>
      <c r="AH71" s="106"/>
      <c r="AI71" s="106"/>
      <c r="AJ71" s="106"/>
      <c r="AK71" s="106"/>
      <c r="AL71" s="106"/>
      <c r="AM71" s="106"/>
      <c r="AN71" s="106"/>
      <c r="AO71" s="106"/>
      <c r="AP71" s="106"/>
      <c r="AQ71" s="106"/>
      <c r="AR71" s="106"/>
      <c r="AS71" s="106"/>
      <c r="AT71" s="106"/>
      <c r="AU71" s="106"/>
      <c r="AV71" s="106"/>
      <c r="AW71" s="106"/>
      <c r="AX71" s="106"/>
      <c r="AY71" s="106"/>
      <c r="BA71" s="188"/>
      <c r="BB71" s="188"/>
      <c r="BC71" s="188"/>
      <c r="BD71" s="188"/>
    </row>
    <row r="72" spans="1:56" ht="14.7" thickBot="1" x14ac:dyDescent="0.6">
      <c r="A72" s="210"/>
      <c r="B72" s="211" t="s">
        <v>479</v>
      </c>
      <c r="C72" s="212"/>
      <c r="D72" s="132">
        <f>AY60</f>
        <v>1978072.2990196953</v>
      </c>
      <c r="E72" s="133"/>
      <c r="F72" s="134"/>
      <c r="G72" s="135"/>
      <c r="H72" s="106"/>
      <c r="I72" s="106"/>
      <c r="J72" s="106"/>
      <c r="K72" s="106"/>
      <c r="L72" s="106"/>
      <c r="M72" s="106"/>
      <c r="N72" s="106"/>
      <c r="O72" s="106"/>
      <c r="P72" s="106"/>
      <c r="Q72" s="106"/>
      <c r="R72" s="106"/>
      <c r="S72" s="106"/>
      <c r="T72" s="106"/>
      <c r="U72" s="106"/>
      <c r="V72" s="106"/>
      <c r="W72" s="106"/>
      <c r="X72" s="106"/>
      <c r="Y72" s="106"/>
      <c r="Z72" s="106"/>
      <c r="AA72" s="106"/>
      <c r="AB72" s="106"/>
      <c r="AC72" s="106"/>
      <c r="AD72" s="106"/>
      <c r="AE72" s="106"/>
      <c r="AF72" s="106"/>
      <c r="AG72" s="106"/>
      <c r="AH72" s="106"/>
      <c r="AI72" s="106"/>
      <c r="AJ72" s="106"/>
      <c r="AK72" s="106"/>
      <c r="AL72" s="106"/>
      <c r="AM72" s="106"/>
      <c r="AN72" s="106"/>
      <c r="AO72" s="106"/>
      <c r="AP72" s="106"/>
      <c r="AQ72" s="106"/>
      <c r="AR72" s="106"/>
      <c r="AS72" s="106"/>
      <c r="AT72" s="106"/>
      <c r="AU72" s="106"/>
      <c r="AV72" s="106"/>
      <c r="AW72" s="106"/>
      <c r="AX72" s="106"/>
      <c r="AY72" s="106"/>
      <c r="BA72" s="188"/>
      <c r="BB72" s="188"/>
      <c r="BC72" s="188"/>
      <c r="BD72" s="188"/>
    </row>
    <row r="73" spans="1:56" ht="14.7" thickBot="1" x14ac:dyDescent="0.6">
      <c r="A73" s="210"/>
      <c r="B73" s="211" t="s">
        <v>480</v>
      </c>
      <c r="C73" s="212"/>
      <c r="D73" s="132">
        <f>AY67</f>
        <v>3350430.0475923708</v>
      </c>
      <c r="E73" s="133"/>
      <c r="F73" s="134"/>
      <c r="G73" s="135"/>
      <c r="H73" s="106"/>
      <c r="I73" s="106"/>
      <c r="J73" s="106"/>
      <c r="K73" s="106"/>
      <c r="L73" s="106"/>
      <c r="M73" s="106"/>
      <c r="N73" s="106"/>
      <c r="O73" s="106"/>
      <c r="P73" s="106"/>
      <c r="Q73" s="106"/>
      <c r="R73" s="106"/>
      <c r="S73" s="106"/>
      <c r="T73" s="106"/>
      <c r="U73" s="106"/>
      <c r="V73" s="106"/>
      <c r="W73" s="106"/>
      <c r="X73" s="106"/>
      <c r="Y73" s="106"/>
      <c r="Z73" s="106"/>
      <c r="AA73" s="106"/>
      <c r="AB73" s="106"/>
      <c r="AC73" s="106"/>
      <c r="AD73" s="106"/>
      <c r="AE73" s="106"/>
      <c r="AF73" s="106"/>
      <c r="AG73" s="106"/>
      <c r="AH73" s="106"/>
      <c r="AI73" s="106"/>
      <c r="AJ73" s="106"/>
      <c r="AK73" s="106"/>
      <c r="AL73" s="106"/>
      <c r="AM73" s="106"/>
      <c r="AN73" s="106"/>
      <c r="AO73" s="106"/>
      <c r="AP73" s="106"/>
      <c r="AQ73" s="106"/>
      <c r="AR73" s="106"/>
      <c r="AS73" s="106"/>
      <c r="AT73" s="106"/>
      <c r="AU73" s="106"/>
      <c r="AV73" s="106"/>
      <c r="AW73" s="106"/>
      <c r="AX73" s="106"/>
      <c r="AY73" s="106"/>
      <c r="BA73" s="188"/>
      <c r="BB73" s="188"/>
      <c r="BC73" s="188"/>
      <c r="BD73" s="188"/>
    </row>
    <row r="74" spans="1:56" ht="14.7" thickBot="1" x14ac:dyDescent="0.6">
      <c r="A74" s="210"/>
      <c r="B74" s="211" t="s">
        <v>481</v>
      </c>
      <c r="C74" s="212"/>
      <c r="D74" s="132">
        <f>AY59</f>
        <v>36886.211390824894</v>
      </c>
      <c r="E74" s="133"/>
      <c r="F74" s="134"/>
      <c r="G74" s="135"/>
      <c r="H74" s="106"/>
      <c r="I74" s="106"/>
      <c r="J74" s="106"/>
      <c r="K74" s="106"/>
      <c r="L74" s="106"/>
      <c r="M74" s="106"/>
      <c r="N74" s="106"/>
      <c r="O74" s="106"/>
      <c r="P74" s="106"/>
      <c r="Q74" s="106"/>
      <c r="R74" s="106"/>
      <c r="S74" s="106"/>
      <c r="T74" s="106"/>
      <c r="U74" s="106"/>
      <c r="V74" s="106"/>
      <c r="W74" s="106"/>
      <c r="X74" s="106"/>
      <c r="Y74" s="106"/>
      <c r="Z74" s="106"/>
      <c r="AA74" s="106"/>
      <c r="AB74" s="106"/>
      <c r="AC74" s="106"/>
      <c r="AD74" s="106"/>
      <c r="AE74" s="106"/>
      <c r="AF74" s="106"/>
      <c r="AG74" s="106"/>
      <c r="AH74" s="106"/>
      <c r="AI74" s="106"/>
      <c r="AJ74" s="106"/>
      <c r="AK74" s="106"/>
      <c r="AL74" s="106"/>
      <c r="AM74" s="106"/>
      <c r="AN74" s="106"/>
      <c r="AO74" s="106"/>
      <c r="AP74" s="106"/>
      <c r="AQ74" s="106"/>
      <c r="AR74" s="106"/>
      <c r="AS74" s="106"/>
      <c r="AT74" s="106"/>
      <c r="AU74" s="106"/>
      <c r="AV74" s="106"/>
      <c r="AW74" s="106"/>
      <c r="AX74" s="106"/>
      <c r="AY74" s="106"/>
      <c r="BA74" s="188"/>
      <c r="BB74" s="188"/>
      <c r="BC74" s="188"/>
      <c r="BD74" s="188"/>
    </row>
    <row r="75" spans="1:56" ht="14.7" thickBot="1" x14ac:dyDescent="0.6">
      <c r="A75" s="210"/>
      <c r="B75" s="211" t="s">
        <v>482</v>
      </c>
      <c r="C75" s="212"/>
      <c r="D75" s="132">
        <f>AY66</f>
        <v>3350430.0475923708</v>
      </c>
      <c r="E75" s="133"/>
      <c r="F75" s="134"/>
      <c r="G75" s="135"/>
      <c r="H75" s="106"/>
      <c r="I75" s="106"/>
      <c r="J75" s="106"/>
      <c r="K75" s="106"/>
      <c r="L75" s="106"/>
      <c r="M75" s="106"/>
      <c r="N75" s="106"/>
      <c r="O75" s="106"/>
      <c r="P75" s="106"/>
      <c r="Q75" s="106"/>
      <c r="R75" s="106"/>
      <c r="S75" s="106"/>
      <c r="T75" s="106"/>
      <c r="U75" s="106"/>
      <c r="V75" s="106"/>
      <c r="W75" s="106"/>
      <c r="X75" s="106"/>
      <c r="Y75" s="106"/>
      <c r="Z75" s="106"/>
      <c r="AA75" s="106"/>
      <c r="AB75" s="106"/>
      <c r="AC75" s="106"/>
      <c r="AD75" s="106"/>
      <c r="AE75" s="106"/>
      <c r="AF75" s="106"/>
      <c r="AG75" s="106"/>
      <c r="AH75" s="106"/>
      <c r="AI75" s="106"/>
      <c r="AJ75" s="106"/>
      <c r="AK75" s="106"/>
      <c r="AL75" s="106"/>
      <c r="AM75" s="106"/>
      <c r="AN75" s="106"/>
      <c r="AO75" s="106"/>
      <c r="AP75" s="106"/>
      <c r="AQ75" s="106"/>
      <c r="AR75" s="106"/>
      <c r="AS75" s="106"/>
      <c r="AT75" s="106"/>
      <c r="AU75" s="106"/>
      <c r="AV75" s="106"/>
      <c r="AW75" s="106"/>
      <c r="AX75" s="106"/>
      <c r="AY75" s="106"/>
      <c r="BA75" s="188"/>
      <c r="BB75" s="188"/>
      <c r="BC75" s="188"/>
      <c r="BD75" s="188"/>
    </row>
    <row r="76" spans="1:56" ht="14.7" thickBot="1" x14ac:dyDescent="0.6">
      <c r="A76" s="210"/>
      <c r="B76" s="211" t="s">
        <v>483</v>
      </c>
      <c r="C76" s="212"/>
      <c r="D76" s="132">
        <f>AY58</f>
        <v>1941186.0876288703</v>
      </c>
      <c r="E76" s="133"/>
      <c r="F76" s="134"/>
      <c r="G76" s="135"/>
      <c r="H76" s="106"/>
      <c r="I76" s="106"/>
      <c r="J76" s="106"/>
      <c r="K76" s="106"/>
      <c r="L76" s="106"/>
      <c r="M76" s="106"/>
      <c r="N76" s="106"/>
      <c r="O76" s="106"/>
      <c r="P76" s="106"/>
      <c r="Q76" s="106"/>
      <c r="R76" s="106"/>
      <c r="S76" s="106"/>
      <c r="T76" s="106"/>
      <c r="U76" s="106"/>
      <c r="V76" s="106"/>
      <c r="W76" s="106"/>
      <c r="X76" s="106"/>
      <c r="Y76" s="106"/>
      <c r="Z76" s="106"/>
      <c r="AA76" s="106"/>
      <c r="AB76" s="106"/>
      <c r="AC76" s="106"/>
      <c r="AD76" s="106"/>
      <c r="AE76" s="106"/>
      <c r="AF76" s="106"/>
      <c r="AG76" s="106"/>
      <c r="AH76" s="106"/>
      <c r="AI76" s="106"/>
      <c r="AJ76" s="106"/>
      <c r="AK76" s="106"/>
      <c r="AL76" s="106"/>
      <c r="AM76" s="106"/>
      <c r="AN76" s="106"/>
      <c r="AO76" s="106"/>
      <c r="AP76" s="106"/>
      <c r="AQ76" s="106"/>
      <c r="AR76" s="106"/>
      <c r="AS76" s="106"/>
      <c r="AT76" s="106"/>
      <c r="AU76" s="106"/>
      <c r="AV76" s="106"/>
      <c r="AW76" s="106"/>
      <c r="AX76" s="106"/>
      <c r="AY76" s="106"/>
      <c r="BA76" s="188"/>
      <c r="BB76" s="188"/>
      <c r="BC76" s="188"/>
      <c r="BD76" s="188"/>
    </row>
    <row r="77" spans="1:56" ht="14.7" thickBot="1" x14ac:dyDescent="0.6">
      <c r="A77" s="210"/>
      <c r="B77" s="211" t="s">
        <v>484</v>
      </c>
      <c r="C77" s="212"/>
      <c r="D77" s="132">
        <f>AY65</f>
        <v>0</v>
      </c>
      <c r="E77" s="133"/>
      <c r="F77" s="134"/>
      <c r="G77" s="135"/>
      <c r="H77" s="106"/>
      <c r="I77" s="106"/>
      <c r="J77" s="106"/>
      <c r="K77" s="106"/>
      <c r="L77" s="106"/>
      <c r="M77" s="106"/>
      <c r="N77" s="106"/>
      <c r="O77" s="106"/>
      <c r="P77" s="106"/>
      <c r="Q77" s="106"/>
      <c r="R77" s="106"/>
      <c r="S77" s="106"/>
      <c r="T77" s="106"/>
      <c r="U77" s="106"/>
      <c r="V77" s="106"/>
      <c r="W77" s="106"/>
      <c r="X77" s="106"/>
      <c r="Y77" s="106"/>
      <c r="Z77" s="106"/>
      <c r="AA77" s="106"/>
      <c r="AB77" s="106"/>
      <c r="AC77" s="106"/>
      <c r="AD77" s="106"/>
      <c r="AE77" s="106"/>
      <c r="AF77" s="106"/>
      <c r="AG77" s="106"/>
      <c r="AH77" s="106"/>
      <c r="AI77" s="106"/>
      <c r="AJ77" s="106"/>
      <c r="AK77" s="106"/>
      <c r="AL77" s="106"/>
      <c r="AM77" s="106"/>
      <c r="AN77" s="106"/>
      <c r="AO77" s="106"/>
      <c r="AP77" s="106"/>
      <c r="AQ77" s="106"/>
      <c r="AR77" s="106"/>
      <c r="AS77" s="106"/>
      <c r="AT77" s="106"/>
      <c r="AU77" s="106"/>
      <c r="AV77" s="106"/>
      <c r="AW77" s="106"/>
      <c r="AX77" s="106"/>
      <c r="AY77" s="106"/>
      <c r="BA77" s="188"/>
      <c r="BB77" s="188"/>
      <c r="BC77" s="188"/>
      <c r="BD77" s="188"/>
    </row>
    <row r="78" spans="1:56" ht="14.7" thickBot="1" x14ac:dyDescent="0.6">
      <c r="A78" s="213"/>
      <c r="B78" s="214" t="s">
        <v>485</v>
      </c>
      <c r="C78" s="215"/>
      <c r="D78" s="136">
        <f>D70-D71</f>
        <v>-15276.014774348238</v>
      </c>
      <c r="E78" s="137"/>
      <c r="F78" s="138"/>
      <c r="G78" s="139"/>
      <c r="H78" s="108"/>
      <c r="I78" s="108"/>
      <c r="J78" s="108"/>
      <c r="K78" s="108"/>
      <c r="L78" s="108"/>
      <c r="M78" s="108"/>
      <c r="N78" s="108"/>
      <c r="O78" s="108"/>
      <c r="P78" s="108"/>
      <c r="Q78" s="108"/>
      <c r="R78" s="108"/>
      <c r="S78" s="108"/>
      <c r="T78" s="108"/>
      <c r="U78" s="108"/>
      <c r="V78" s="108"/>
      <c r="W78" s="108"/>
      <c r="X78" s="108"/>
      <c r="Y78" s="108"/>
      <c r="Z78" s="108"/>
      <c r="AA78" s="108"/>
      <c r="AB78" s="108"/>
      <c r="AC78" s="108"/>
      <c r="AD78" s="108"/>
      <c r="AE78" s="108"/>
      <c r="AF78" s="108"/>
      <c r="AG78" s="108"/>
      <c r="AH78" s="108"/>
      <c r="AI78" s="108"/>
      <c r="AJ78" s="108"/>
      <c r="AK78" s="108"/>
      <c r="AL78" s="108"/>
      <c r="AM78" s="108"/>
      <c r="AN78" s="108"/>
      <c r="AO78" s="108"/>
      <c r="AP78" s="108"/>
      <c r="AQ78" s="108"/>
      <c r="AR78" s="108"/>
      <c r="AS78" s="108"/>
      <c r="AT78" s="108"/>
      <c r="AU78" s="108"/>
      <c r="AV78" s="108"/>
      <c r="AW78" s="108"/>
      <c r="AX78" s="108"/>
      <c r="AY78" s="108"/>
      <c r="BA78" s="188"/>
      <c r="BB78" s="188"/>
      <c r="BC78" s="188"/>
      <c r="BD78" s="188"/>
    </row>
    <row r="79" spans="1:56" ht="31.2" hidden="1" x14ac:dyDescent="0.6">
      <c r="A79" s="216" t="s">
        <v>623</v>
      </c>
      <c r="B79" s="216" t="s">
        <v>624</v>
      </c>
      <c r="C79" s="217" t="s">
        <v>625</v>
      </c>
      <c r="D79" s="140"/>
      <c r="E79" s="140"/>
      <c r="F79" s="140"/>
      <c r="G79" s="140"/>
      <c r="H79" s="140"/>
      <c r="I79" s="140"/>
      <c r="J79" s="140"/>
      <c r="K79" s="140"/>
      <c r="L79" s="140"/>
      <c r="M79" s="140"/>
      <c r="N79" s="140"/>
      <c r="O79" s="140"/>
      <c r="P79" s="140"/>
      <c r="Q79" s="140"/>
      <c r="R79" s="140"/>
      <c r="S79" s="140"/>
      <c r="T79" s="140"/>
      <c r="U79" s="140"/>
      <c r="V79" s="140"/>
      <c r="W79" s="140"/>
      <c r="X79" s="140"/>
      <c r="Y79" s="140"/>
      <c r="Z79" s="140"/>
      <c r="AA79" s="140"/>
      <c r="AB79" s="140"/>
      <c r="AC79" s="140"/>
      <c r="AD79" s="140"/>
      <c r="AE79" s="140"/>
      <c r="AF79" s="140"/>
      <c r="AG79" s="140"/>
      <c r="AH79" s="140"/>
      <c r="AI79" s="140"/>
      <c r="AJ79" s="140"/>
      <c r="AK79" s="140"/>
      <c r="AL79" s="140"/>
      <c r="AM79" s="140"/>
      <c r="AN79" s="140"/>
      <c r="AO79" s="140"/>
      <c r="AP79" s="140"/>
      <c r="AQ79" s="140"/>
      <c r="AR79" s="140"/>
      <c r="AS79" s="140"/>
      <c r="AT79" s="140"/>
      <c r="AU79" s="140"/>
      <c r="AV79" s="140"/>
      <c r="AW79" s="140"/>
      <c r="AX79" s="140"/>
      <c r="AY79" s="140"/>
      <c r="BA79" s="188"/>
      <c r="BB79" s="188"/>
      <c r="BC79" s="188"/>
      <c r="BD79" s="188"/>
    </row>
    <row r="80" spans="1:56" ht="28.8" hidden="1" x14ac:dyDescent="0.55000000000000004">
      <c r="A80" s="161" t="s">
        <v>347</v>
      </c>
      <c r="B80" s="161" t="s">
        <v>626</v>
      </c>
      <c r="C80" s="162" t="s">
        <v>627</v>
      </c>
      <c r="D80" s="141">
        <f>--OR(D6=0,D81=1)</f>
        <v>0</v>
      </c>
      <c r="E80" s="141">
        <f t="shared" ref="E80:AY80" si="121">--OR(E6=0,E81=1)</f>
        <v>0</v>
      </c>
      <c r="F80" s="141">
        <f t="shared" si="121"/>
        <v>0</v>
      </c>
      <c r="G80" s="141">
        <f t="shared" si="121"/>
        <v>0</v>
      </c>
      <c r="H80" s="141">
        <f t="shared" si="121"/>
        <v>0</v>
      </c>
      <c r="I80" s="141">
        <f t="shared" si="121"/>
        <v>0</v>
      </c>
      <c r="J80" s="141">
        <f t="shared" si="121"/>
        <v>0</v>
      </c>
      <c r="K80" s="141">
        <f t="shared" si="121"/>
        <v>0</v>
      </c>
      <c r="L80" s="141">
        <f t="shared" si="121"/>
        <v>0</v>
      </c>
      <c r="M80" s="141">
        <f t="shared" si="121"/>
        <v>0</v>
      </c>
      <c r="N80" s="141">
        <f t="shared" si="121"/>
        <v>0</v>
      </c>
      <c r="O80" s="141">
        <f t="shared" si="121"/>
        <v>0</v>
      </c>
      <c r="P80" s="141">
        <f t="shared" si="121"/>
        <v>0</v>
      </c>
      <c r="Q80" s="141">
        <f t="shared" si="121"/>
        <v>0</v>
      </c>
      <c r="R80" s="141">
        <f t="shared" si="121"/>
        <v>0</v>
      </c>
      <c r="S80" s="141">
        <f t="shared" si="121"/>
        <v>0</v>
      </c>
      <c r="T80" s="141">
        <f t="shared" si="121"/>
        <v>0</v>
      </c>
      <c r="U80" s="141">
        <f t="shared" si="121"/>
        <v>0</v>
      </c>
      <c r="V80" s="141">
        <f t="shared" si="121"/>
        <v>0</v>
      </c>
      <c r="W80" s="141">
        <f t="shared" si="121"/>
        <v>0</v>
      </c>
      <c r="X80" s="141">
        <f t="shared" si="121"/>
        <v>0</v>
      </c>
      <c r="Y80" s="141">
        <f t="shared" si="121"/>
        <v>0</v>
      </c>
      <c r="Z80" s="141">
        <f t="shared" si="121"/>
        <v>0</v>
      </c>
      <c r="AA80" s="141">
        <f t="shared" si="121"/>
        <v>1</v>
      </c>
      <c r="AB80" s="141">
        <f t="shared" si="121"/>
        <v>1</v>
      </c>
      <c r="AC80" s="141">
        <f t="shared" si="121"/>
        <v>1</v>
      </c>
      <c r="AD80" s="141">
        <f t="shared" si="121"/>
        <v>1</v>
      </c>
      <c r="AE80" s="141">
        <f t="shared" si="121"/>
        <v>1</v>
      </c>
      <c r="AF80" s="141">
        <f t="shared" si="121"/>
        <v>1</v>
      </c>
      <c r="AG80" s="141">
        <f t="shared" si="121"/>
        <v>1</v>
      </c>
      <c r="AH80" s="141">
        <f t="shared" si="121"/>
        <v>1</v>
      </c>
      <c r="AI80" s="141">
        <f t="shared" si="121"/>
        <v>1</v>
      </c>
      <c r="AJ80" s="141">
        <f t="shared" si="121"/>
        <v>1</v>
      </c>
      <c r="AK80" s="141">
        <f t="shared" si="121"/>
        <v>1</v>
      </c>
      <c r="AL80" s="141">
        <f t="shared" si="121"/>
        <v>1</v>
      </c>
      <c r="AM80" s="141">
        <f t="shared" si="121"/>
        <v>1</v>
      </c>
      <c r="AN80" s="141">
        <f t="shared" si="121"/>
        <v>1</v>
      </c>
      <c r="AO80" s="141">
        <f t="shared" si="121"/>
        <v>1</v>
      </c>
      <c r="AP80" s="141">
        <f t="shared" si="121"/>
        <v>1</v>
      </c>
      <c r="AQ80" s="141">
        <f t="shared" si="121"/>
        <v>1</v>
      </c>
      <c r="AR80" s="141">
        <f t="shared" si="121"/>
        <v>1</v>
      </c>
      <c r="AS80" s="141">
        <f t="shared" si="121"/>
        <v>1</v>
      </c>
      <c r="AT80" s="141">
        <f t="shared" si="121"/>
        <v>1</v>
      </c>
      <c r="AU80" s="141">
        <f t="shared" si="121"/>
        <v>1</v>
      </c>
      <c r="AV80" s="141">
        <f t="shared" si="121"/>
        <v>1</v>
      </c>
      <c r="AW80" s="141">
        <f t="shared" si="121"/>
        <v>1</v>
      </c>
      <c r="AX80" s="141">
        <f t="shared" si="121"/>
        <v>1</v>
      </c>
      <c r="AY80" s="141">
        <f t="shared" si="121"/>
        <v>1</v>
      </c>
      <c r="BA80" s="188" t="s">
        <v>661</v>
      </c>
      <c r="BB80" s="235" cm="1">
        <f t="array" ref="BB80">_xlfn.LET(_xlpm.o,AO6+AO7+AO96,_xlpm.prov,_xlpm.o+AO8*0.5,_xlpm.tSS,AO8*IF(AND($BB$38&lt;=0,$BB$39&lt;=0),IF(AO8&gt;0,0.85,0),IF(_xlpm.prov&lt;$BB$38,0,IF(_xlpm.prov&lt;$BB$39,0.5,0.85))),_xlpm.taxable,MAX(0,_xlpm.o+_xlpm.tSS-$BB$7),_xlfn.IFS(_xlpm.taxable&lt;=$BB$35,10%,_xlpm.taxable&lt;=$BB$10,12%,_xlpm.taxable&lt;=$BB$11,22%,_xlpm.taxable&lt;=$BB$12,24%,_xlpm.taxable&lt;=$BB$36,32%,_xlpm.taxable&lt;=$BB$37,35%,TRUE,37%))</f>
        <v>0.12</v>
      </c>
      <c r="BC80" s="188"/>
      <c r="BD80" s="188"/>
    </row>
    <row r="81" spans="1:56" ht="28.8" hidden="1" x14ac:dyDescent="0.55000000000000004">
      <c r="A81" s="147" t="s">
        <v>335</v>
      </c>
      <c r="B81" s="147" t="s">
        <v>628</v>
      </c>
      <c r="C81" s="148" t="s">
        <v>629</v>
      </c>
      <c r="D81" s="142">
        <v>0</v>
      </c>
      <c r="E81" s="142">
        <v>0</v>
      </c>
      <c r="F81" s="142">
        <v>0</v>
      </c>
      <c r="G81" s="142">
        <v>0</v>
      </c>
      <c r="H81" s="142">
        <v>0</v>
      </c>
      <c r="I81" s="142">
        <v>0</v>
      </c>
      <c r="J81" s="142">
        <v>0</v>
      </c>
      <c r="K81" s="142">
        <v>0</v>
      </c>
      <c r="L81" s="142">
        <v>0</v>
      </c>
      <c r="M81" s="142">
        <v>0</v>
      </c>
      <c r="N81" s="142">
        <v>0</v>
      </c>
      <c r="O81" s="142">
        <v>0</v>
      </c>
      <c r="P81" s="142">
        <v>0</v>
      </c>
      <c r="Q81" s="142">
        <v>0</v>
      </c>
      <c r="R81" s="142">
        <v>0</v>
      </c>
      <c r="S81" s="142">
        <v>0</v>
      </c>
      <c r="T81" s="142">
        <v>0</v>
      </c>
      <c r="U81" s="142">
        <v>0</v>
      </c>
      <c r="V81" s="142">
        <v>0</v>
      </c>
      <c r="W81" s="142">
        <v>0</v>
      </c>
      <c r="X81" s="142">
        <v>0</v>
      </c>
      <c r="Y81" s="142">
        <v>0</v>
      </c>
      <c r="Z81" s="142">
        <v>0</v>
      </c>
      <c r="AA81" s="142">
        <v>0</v>
      </c>
      <c r="AB81" s="142">
        <v>0</v>
      </c>
      <c r="AC81" s="142">
        <v>0</v>
      </c>
      <c r="AD81" s="142">
        <v>0</v>
      </c>
      <c r="AE81" s="142">
        <v>0</v>
      </c>
      <c r="AF81" s="142">
        <v>0</v>
      </c>
      <c r="AG81" s="142">
        <v>0</v>
      </c>
      <c r="AH81" s="142">
        <v>0</v>
      </c>
      <c r="AI81" s="142">
        <v>0</v>
      </c>
      <c r="AJ81" s="142">
        <v>0</v>
      </c>
      <c r="AK81" s="142">
        <v>0</v>
      </c>
      <c r="AL81" s="142">
        <v>0</v>
      </c>
      <c r="AM81" s="142">
        <v>0</v>
      </c>
      <c r="AN81" s="142">
        <v>0</v>
      </c>
      <c r="AO81" s="142">
        <v>0</v>
      </c>
      <c r="AP81" s="142">
        <v>0</v>
      </c>
      <c r="AQ81" s="142">
        <v>0</v>
      </c>
      <c r="AR81" s="142">
        <v>0</v>
      </c>
      <c r="AS81" s="142">
        <v>0</v>
      </c>
      <c r="AT81" s="142">
        <v>0</v>
      </c>
      <c r="AU81" s="142">
        <v>0</v>
      </c>
      <c r="AV81" s="142">
        <v>0</v>
      </c>
      <c r="AW81" s="142">
        <v>0</v>
      </c>
      <c r="AX81" s="142">
        <v>0</v>
      </c>
      <c r="AY81" s="142">
        <v>0</v>
      </c>
      <c r="BA81" s="188" t="s">
        <v>662</v>
      </c>
      <c r="BB81" s="188" t="s">
        <v>663</v>
      </c>
      <c r="BC81" s="188"/>
      <c r="BD81" s="188"/>
    </row>
    <row r="82" spans="1:56" ht="28.8" hidden="1" x14ac:dyDescent="0.55000000000000004">
      <c r="A82" s="161" t="s">
        <v>347</v>
      </c>
      <c r="B82" s="161" t="s">
        <v>630</v>
      </c>
      <c r="C82" s="162" t="s">
        <v>631</v>
      </c>
      <c r="D82" s="96">
        <f>MAX(0,$BB$18*(1+$BB$4)+D48-D15)</f>
        <v>214248.13640000002</v>
      </c>
      <c r="E82" s="96">
        <f>MAX(0,D37*(1+$BB$4)+E48-E15)</f>
        <v>227103.02458400003</v>
      </c>
      <c r="F82" s="96">
        <f t="shared" ref="F82:AY82" si="122">MAX(0,E37*(1+$BB$4)+F48-F15)</f>
        <v>240729.20605904004</v>
      </c>
      <c r="G82" s="96">
        <f t="shared" si="122"/>
        <v>255172.95842258245</v>
      </c>
      <c r="H82" s="96">
        <f t="shared" si="122"/>
        <v>270483.33592793741</v>
      </c>
      <c r="I82" s="96">
        <f t="shared" si="122"/>
        <v>286712.33608361369</v>
      </c>
      <c r="J82" s="96">
        <f t="shared" si="122"/>
        <v>303915.07624863053</v>
      </c>
      <c r="K82" s="96">
        <f t="shared" si="122"/>
        <v>322149.98082354839</v>
      </c>
      <c r="L82" s="96">
        <f t="shared" si="122"/>
        <v>341478.97967296129</v>
      </c>
      <c r="M82" s="96">
        <f t="shared" si="122"/>
        <v>361967.71845333901</v>
      </c>
      <c r="N82" s="96">
        <f t="shared" si="122"/>
        <v>383685.78156053938</v>
      </c>
      <c r="O82" s="96">
        <f t="shared" si="122"/>
        <v>406706.92845417175</v>
      </c>
      <c r="P82" s="96">
        <f t="shared" si="122"/>
        <v>431109.34416142205</v>
      </c>
      <c r="Q82" s="96">
        <f t="shared" si="122"/>
        <v>456975.90481110738</v>
      </c>
      <c r="R82" s="96">
        <f t="shared" si="122"/>
        <v>484394.45909977384</v>
      </c>
      <c r="S82" s="96">
        <f t="shared" si="122"/>
        <v>513458.12664576032</v>
      </c>
      <c r="T82" s="96">
        <f t="shared" si="122"/>
        <v>544265.614244506</v>
      </c>
      <c r="U82" s="96">
        <f t="shared" si="122"/>
        <v>576921.5510991764</v>
      </c>
      <c r="V82" s="96">
        <f t="shared" si="122"/>
        <v>611536.84416512703</v>
      </c>
      <c r="W82" s="96">
        <f t="shared" si="122"/>
        <v>648229.05481503473</v>
      </c>
      <c r="X82" s="96">
        <f t="shared" si="122"/>
        <v>687122.79810393683</v>
      </c>
      <c r="Y82" s="96">
        <f t="shared" si="122"/>
        <v>728350.16599017312</v>
      </c>
      <c r="Z82" s="96">
        <f t="shared" si="122"/>
        <v>772051.17594958353</v>
      </c>
      <c r="AA82" s="96">
        <f t="shared" si="122"/>
        <v>818374.24650655861</v>
      </c>
      <c r="AB82" s="96">
        <f t="shared" si="122"/>
        <v>867476.7012969522</v>
      </c>
      <c r="AC82" s="96">
        <f t="shared" si="122"/>
        <v>919525.3033747694</v>
      </c>
      <c r="AD82" s="96">
        <f t="shared" si="122"/>
        <v>974696.82157725561</v>
      </c>
      <c r="AE82" s="96">
        <f t="shared" si="122"/>
        <v>1033178.630871891</v>
      </c>
      <c r="AF82" s="96">
        <f t="shared" si="122"/>
        <v>1095169.3487242046</v>
      </c>
      <c r="AG82" s="96">
        <f t="shared" si="122"/>
        <v>1160879.5096476569</v>
      </c>
      <c r="AH82" s="96">
        <f t="shared" si="122"/>
        <v>1230532.2802265163</v>
      </c>
      <c r="AI82" s="96">
        <f t="shared" si="122"/>
        <v>1304364.2170401074</v>
      </c>
      <c r="AJ82" s="96">
        <f t="shared" si="122"/>
        <v>1382626.0700625139</v>
      </c>
      <c r="AK82" s="96">
        <f t="shared" si="122"/>
        <v>1465583.6342662647</v>
      </c>
      <c r="AL82" s="96">
        <f t="shared" si="122"/>
        <v>1553518.6523222406</v>
      </c>
      <c r="AM82" s="96">
        <f t="shared" si="122"/>
        <v>1646729.7714615751</v>
      </c>
      <c r="AN82" s="96">
        <f t="shared" si="122"/>
        <v>1745533.5577492698</v>
      </c>
      <c r="AO82" s="96">
        <f t="shared" si="122"/>
        <v>1779308.9225252313</v>
      </c>
      <c r="AP82" s="96">
        <f t="shared" si="122"/>
        <v>1810991.1320317986</v>
      </c>
      <c r="AQ82" s="96">
        <f t="shared" si="122"/>
        <v>1840568.017768912</v>
      </c>
      <c r="AR82" s="96">
        <f t="shared" si="122"/>
        <v>1867339.9162091871</v>
      </c>
      <c r="AS82" s="96">
        <f t="shared" si="122"/>
        <v>1890880.7890865165</v>
      </c>
      <c r="AT82" s="96">
        <f t="shared" si="122"/>
        <v>1910725.6765759394</v>
      </c>
      <c r="AU82" s="96">
        <f t="shared" si="122"/>
        <v>1926878.202914004</v>
      </c>
      <c r="AV82" s="96">
        <f t="shared" si="122"/>
        <v>1938335.3165529522</v>
      </c>
      <c r="AW82" s="96">
        <f t="shared" si="122"/>
        <v>1945124.9656843808</v>
      </c>
      <c r="AX82" s="96">
        <f t="shared" si="122"/>
        <v>1946051.2156680403</v>
      </c>
      <c r="AY82" s="96">
        <f t="shared" si="122"/>
        <v>1941186.0876288703</v>
      </c>
      <c r="BA82" s="188" t="s">
        <v>664</v>
      </c>
      <c r="BB82" s="188">
        <v>63</v>
      </c>
      <c r="BC82" s="188"/>
      <c r="BD82" s="188"/>
    </row>
    <row r="83" spans="1:56" ht="28.8" hidden="1" x14ac:dyDescent="0.55000000000000004">
      <c r="A83" s="161" t="s">
        <v>347</v>
      </c>
      <c r="B83" s="161" t="s">
        <v>632</v>
      </c>
      <c r="C83" s="162" t="s">
        <v>633</v>
      </c>
      <c r="D83" s="143" cm="1">
        <f t="array" ref="D83">_xlfn.LET(_xlpm.o,D6+D7+D15,_xlpm.prov,_xlpm.o+D8*0.5,_xlpm.tSS,D8*IF(AND($BB$38&lt;=0,$BB$39&lt;=0),IF(D8&gt;0,0.85,0),IF(_xlpm.prov&lt;$BB$38,0,IF(_xlpm.prov&lt;$BB$39,0.5,0.85))),_xlpm.taxable,MAX(0,_xlpm.o+_xlpm.tSS-$BB$7),_xlfn.IFS(_xlpm.taxable&lt;=$BB$35,10%,_xlpm.taxable&lt;=$BB$10,12%,_xlpm.taxable&lt;=$BB$11,22%,_xlpm.taxable&lt;=$BB$12,24%,_xlpm.taxable&lt;=$BB$36,32%,_xlpm.taxable&lt;=$BB$37,35%,TRUE,37%))</f>
        <v>0.22</v>
      </c>
      <c r="E83" s="143" cm="1">
        <f t="array" ref="E83">_xlfn.LET(_xlpm.o,E6+E7+E15,_xlpm.prov,_xlpm.o+E8*0.5,_xlpm.tSS,E8*IF(AND($BB$38&lt;=0,$BB$39&lt;=0),IF(E8&gt;0,0.85,0),IF(_xlpm.prov&lt;$BB$38,0,IF(_xlpm.prov&lt;$BB$39,0.5,0.85))),_xlpm.taxable,MAX(0,_xlpm.o+_xlpm.tSS-$BB$7),_xlfn.IFS(_xlpm.taxable&lt;=$BB$35,10%,_xlpm.taxable&lt;=$BB$10,12%,_xlpm.taxable&lt;=$BB$11,22%,_xlpm.taxable&lt;=$BB$12,24%,_xlpm.taxable&lt;=$BB$36,32%,_xlpm.taxable&lt;=$BB$37,35%,TRUE,37%))</f>
        <v>0.22</v>
      </c>
      <c r="F83" s="143" cm="1">
        <f t="array" ref="F83">_xlfn.LET(_xlpm.o,F6+F7+F15,_xlpm.prov,_xlpm.o+F8*0.5,_xlpm.tSS,F8*IF(AND($BB$38&lt;=0,$BB$39&lt;=0),IF(F8&gt;0,0.85,0),IF(_xlpm.prov&lt;$BB$38,0,IF(_xlpm.prov&lt;$BB$39,0.5,0.85))),_xlpm.taxable,MAX(0,_xlpm.o+_xlpm.tSS-$BB$7),_xlfn.IFS(_xlpm.taxable&lt;=$BB$35,10%,_xlpm.taxable&lt;=$BB$10,12%,_xlpm.taxable&lt;=$BB$11,22%,_xlpm.taxable&lt;=$BB$12,24%,_xlpm.taxable&lt;=$BB$36,32%,_xlpm.taxable&lt;=$BB$37,35%,TRUE,37%))</f>
        <v>0.22</v>
      </c>
      <c r="G83" s="143" cm="1">
        <f t="array" ref="G83">_xlfn.LET(_xlpm.o,G6+G7+G15,_xlpm.prov,_xlpm.o+G8*0.5,_xlpm.tSS,G8*IF(AND($BB$38&lt;=0,$BB$39&lt;=0),IF(G8&gt;0,0.85,0),IF(_xlpm.prov&lt;$BB$38,0,IF(_xlpm.prov&lt;$BB$39,0.5,0.85))),_xlpm.taxable,MAX(0,_xlpm.o+_xlpm.tSS-$BB$7),_xlfn.IFS(_xlpm.taxable&lt;=$BB$35,10%,_xlpm.taxable&lt;=$BB$10,12%,_xlpm.taxable&lt;=$BB$11,22%,_xlpm.taxable&lt;=$BB$12,24%,_xlpm.taxable&lt;=$BB$36,32%,_xlpm.taxable&lt;=$BB$37,35%,TRUE,37%))</f>
        <v>0.22</v>
      </c>
      <c r="H83" s="143" cm="1">
        <f t="array" ref="H83">_xlfn.LET(_xlpm.o,H6+H7+H15,_xlpm.prov,_xlpm.o+H8*0.5,_xlpm.tSS,H8*IF(AND($BB$38&lt;=0,$BB$39&lt;=0),IF(H8&gt;0,0.85,0),IF(_xlpm.prov&lt;$BB$38,0,IF(_xlpm.prov&lt;$BB$39,0.5,0.85))),_xlpm.taxable,MAX(0,_xlpm.o+_xlpm.tSS-$BB$7),_xlfn.IFS(_xlpm.taxable&lt;=$BB$35,10%,_xlpm.taxable&lt;=$BB$10,12%,_xlpm.taxable&lt;=$BB$11,22%,_xlpm.taxable&lt;=$BB$12,24%,_xlpm.taxable&lt;=$BB$36,32%,_xlpm.taxable&lt;=$BB$37,35%,TRUE,37%))</f>
        <v>0.22</v>
      </c>
      <c r="I83" s="143" cm="1">
        <f t="array" ref="I83">_xlfn.LET(_xlpm.o,I6+I7+I15,_xlpm.prov,_xlpm.o+I8*0.5,_xlpm.tSS,I8*IF(AND($BB$38&lt;=0,$BB$39&lt;=0),IF(I8&gt;0,0.85,0),IF(_xlpm.prov&lt;$BB$38,0,IF(_xlpm.prov&lt;$BB$39,0.5,0.85))),_xlpm.taxable,MAX(0,_xlpm.o+_xlpm.tSS-$BB$7),_xlfn.IFS(_xlpm.taxable&lt;=$BB$35,10%,_xlpm.taxable&lt;=$BB$10,12%,_xlpm.taxable&lt;=$BB$11,22%,_xlpm.taxable&lt;=$BB$12,24%,_xlpm.taxable&lt;=$BB$36,32%,_xlpm.taxable&lt;=$BB$37,35%,TRUE,37%))</f>
        <v>0.22</v>
      </c>
      <c r="J83" s="143" cm="1">
        <f t="array" ref="J83">_xlfn.LET(_xlpm.o,J6+J7+J15,_xlpm.prov,_xlpm.o+J8*0.5,_xlpm.tSS,J8*IF(AND($BB$38&lt;=0,$BB$39&lt;=0),IF(J8&gt;0,0.85,0),IF(_xlpm.prov&lt;$BB$38,0,IF(_xlpm.prov&lt;$BB$39,0.5,0.85))),_xlpm.taxable,MAX(0,_xlpm.o+_xlpm.tSS-$BB$7),_xlfn.IFS(_xlpm.taxable&lt;=$BB$35,10%,_xlpm.taxable&lt;=$BB$10,12%,_xlpm.taxable&lt;=$BB$11,22%,_xlpm.taxable&lt;=$BB$12,24%,_xlpm.taxable&lt;=$BB$36,32%,_xlpm.taxable&lt;=$BB$37,35%,TRUE,37%))</f>
        <v>0.22</v>
      </c>
      <c r="K83" s="143" cm="1">
        <f t="array" ref="K83">_xlfn.LET(_xlpm.o,K6+K7+K15,_xlpm.prov,_xlpm.o+K8*0.5,_xlpm.tSS,K8*IF(AND($BB$38&lt;=0,$BB$39&lt;=0),IF(K8&gt;0,0.85,0),IF(_xlpm.prov&lt;$BB$38,0,IF(_xlpm.prov&lt;$BB$39,0.5,0.85))),_xlpm.taxable,MAX(0,_xlpm.o+_xlpm.tSS-$BB$7),_xlfn.IFS(_xlpm.taxable&lt;=$BB$35,10%,_xlpm.taxable&lt;=$BB$10,12%,_xlpm.taxable&lt;=$BB$11,22%,_xlpm.taxable&lt;=$BB$12,24%,_xlpm.taxable&lt;=$BB$36,32%,_xlpm.taxable&lt;=$BB$37,35%,TRUE,37%))</f>
        <v>0.22</v>
      </c>
      <c r="L83" s="143" cm="1">
        <f t="array" ref="L83">_xlfn.LET(_xlpm.o,L6+L7+L15,_xlpm.prov,_xlpm.o+L8*0.5,_xlpm.tSS,L8*IF(AND($BB$38&lt;=0,$BB$39&lt;=0),IF(L8&gt;0,0.85,0),IF(_xlpm.prov&lt;$BB$38,0,IF(_xlpm.prov&lt;$BB$39,0.5,0.85))),_xlpm.taxable,MAX(0,_xlpm.o+_xlpm.tSS-$BB$7),_xlfn.IFS(_xlpm.taxable&lt;=$BB$35,10%,_xlpm.taxable&lt;=$BB$10,12%,_xlpm.taxable&lt;=$BB$11,22%,_xlpm.taxable&lt;=$BB$12,24%,_xlpm.taxable&lt;=$BB$36,32%,_xlpm.taxable&lt;=$BB$37,35%,TRUE,37%))</f>
        <v>0.22</v>
      </c>
      <c r="M83" s="143" cm="1">
        <f t="array" ref="M83">_xlfn.LET(_xlpm.o,M6+M7+M15,_xlpm.prov,_xlpm.o+M8*0.5,_xlpm.tSS,M8*IF(AND($BB$38&lt;=0,$BB$39&lt;=0),IF(M8&gt;0,0.85,0),IF(_xlpm.prov&lt;$BB$38,0,IF(_xlpm.prov&lt;$BB$39,0.5,0.85))),_xlpm.taxable,MAX(0,_xlpm.o+_xlpm.tSS-$BB$7),_xlfn.IFS(_xlpm.taxable&lt;=$BB$35,10%,_xlpm.taxable&lt;=$BB$10,12%,_xlpm.taxable&lt;=$BB$11,22%,_xlpm.taxable&lt;=$BB$12,24%,_xlpm.taxable&lt;=$BB$36,32%,_xlpm.taxable&lt;=$BB$37,35%,TRUE,37%))</f>
        <v>0.22</v>
      </c>
      <c r="N83" s="143" cm="1">
        <f t="array" ref="N83">_xlfn.LET(_xlpm.o,N6+N7+N15,_xlpm.prov,_xlpm.o+N8*0.5,_xlpm.tSS,N8*IF(AND($BB$38&lt;=0,$BB$39&lt;=0),IF(N8&gt;0,0.85,0),IF(_xlpm.prov&lt;$BB$38,0,IF(_xlpm.prov&lt;$BB$39,0.5,0.85))),_xlpm.taxable,MAX(0,_xlpm.o+_xlpm.tSS-$BB$7),_xlfn.IFS(_xlpm.taxable&lt;=$BB$35,10%,_xlpm.taxable&lt;=$BB$10,12%,_xlpm.taxable&lt;=$BB$11,22%,_xlpm.taxable&lt;=$BB$12,24%,_xlpm.taxable&lt;=$BB$36,32%,_xlpm.taxable&lt;=$BB$37,35%,TRUE,37%))</f>
        <v>0.22</v>
      </c>
      <c r="O83" s="143" cm="1">
        <f t="array" ref="O83">_xlfn.LET(_xlpm.o,O6+O7+O15,_xlpm.prov,_xlpm.o+O8*0.5,_xlpm.tSS,O8*IF(AND($BB$38&lt;=0,$BB$39&lt;=0),IF(O8&gt;0,0.85,0),IF(_xlpm.prov&lt;$BB$38,0,IF(_xlpm.prov&lt;$BB$39,0.5,0.85))),_xlpm.taxable,MAX(0,_xlpm.o+_xlpm.tSS-$BB$7),_xlfn.IFS(_xlpm.taxable&lt;=$BB$35,10%,_xlpm.taxable&lt;=$BB$10,12%,_xlpm.taxable&lt;=$BB$11,22%,_xlpm.taxable&lt;=$BB$12,24%,_xlpm.taxable&lt;=$BB$36,32%,_xlpm.taxable&lt;=$BB$37,35%,TRUE,37%))</f>
        <v>0.22</v>
      </c>
      <c r="P83" s="143" cm="1">
        <f t="array" ref="P83">_xlfn.LET(_xlpm.o,P6+P7+P15,_xlpm.prov,_xlpm.o+P8*0.5,_xlpm.tSS,P8*IF(AND($BB$38&lt;=0,$BB$39&lt;=0),IF(P8&gt;0,0.85,0),IF(_xlpm.prov&lt;$BB$38,0,IF(_xlpm.prov&lt;$BB$39,0.5,0.85))),_xlpm.taxable,MAX(0,_xlpm.o+_xlpm.tSS-$BB$7),_xlfn.IFS(_xlpm.taxable&lt;=$BB$35,10%,_xlpm.taxable&lt;=$BB$10,12%,_xlpm.taxable&lt;=$BB$11,22%,_xlpm.taxable&lt;=$BB$12,24%,_xlpm.taxable&lt;=$BB$36,32%,_xlpm.taxable&lt;=$BB$37,35%,TRUE,37%))</f>
        <v>0.22</v>
      </c>
      <c r="Q83" s="143" cm="1">
        <f t="array" ref="Q83">_xlfn.LET(_xlpm.o,Q6+Q7+Q15,_xlpm.prov,_xlpm.o+Q8*0.5,_xlpm.tSS,Q8*IF(AND($BB$38&lt;=0,$BB$39&lt;=0),IF(Q8&gt;0,0.85,0),IF(_xlpm.prov&lt;$BB$38,0,IF(_xlpm.prov&lt;$BB$39,0.5,0.85))),_xlpm.taxable,MAX(0,_xlpm.o+_xlpm.tSS-$BB$7),_xlfn.IFS(_xlpm.taxable&lt;=$BB$35,10%,_xlpm.taxable&lt;=$BB$10,12%,_xlpm.taxable&lt;=$BB$11,22%,_xlpm.taxable&lt;=$BB$12,24%,_xlpm.taxable&lt;=$BB$36,32%,_xlpm.taxable&lt;=$BB$37,35%,TRUE,37%))</f>
        <v>0.22</v>
      </c>
      <c r="R83" s="143" cm="1">
        <f t="array" ref="R83">_xlfn.LET(_xlpm.o,R6+R7+R15,_xlpm.prov,_xlpm.o+R8*0.5,_xlpm.tSS,R8*IF(AND($BB$38&lt;=0,$BB$39&lt;=0),IF(R8&gt;0,0.85,0),IF(_xlpm.prov&lt;$BB$38,0,IF(_xlpm.prov&lt;$BB$39,0.5,0.85))),_xlpm.taxable,MAX(0,_xlpm.o+_xlpm.tSS-$BB$7),_xlfn.IFS(_xlpm.taxable&lt;=$BB$35,10%,_xlpm.taxable&lt;=$BB$10,12%,_xlpm.taxable&lt;=$BB$11,22%,_xlpm.taxable&lt;=$BB$12,24%,_xlpm.taxable&lt;=$BB$36,32%,_xlpm.taxable&lt;=$BB$37,35%,TRUE,37%))</f>
        <v>0.22</v>
      </c>
      <c r="S83" s="143" cm="1">
        <f t="array" ref="S83">_xlfn.LET(_xlpm.o,S6+S7+S15,_xlpm.prov,_xlpm.o+S8*0.5,_xlpm.tSS,S8*IF(AND($BB$38&lt;=0,$BB$39&lt;=0),IF(S8&gt;0,0.85,0),IF(_xlpm.prov&lt;$BB$38,0,IF(_xlpm.prov&lt;$BB$39,0.5,0.85))),_xlpm.taxable,MAX(0,_xlpm.o+_xlpm.tSS-$BB$7),_xlfn.IFS(_xlpm.taxable&lt;=$BB$35,10%,_xlpm.taxable&lt;=$BB$10,12%,_xlpm.taxable&lt;=$BB$11,22%,_xlpm.taxable&lt;=$BB$12,24%,_xlpm.taxable&lt;=$BB$36,32%,_xlpm.taxable&lt;=$BB$37,35%,TRUE,37%))</f>
        <v>0.22</v>
      </c>
      <c r="T83" s="143" cm="1">
        <f t="array" ref="T83">_xlfn.LET(_xlpm.o,T6+T7+T15,_xlpm.prov,_xlpm.o+T8*0.5,_xlpm.tSS,T8*IF(AND($BB$38&lt;=0,$BB$39&lt;=0),IF(T8&gt;0,0.85,0),IF(_xlpm.prov&lt;$BB$38,0,IF(_xlpm.prov&lt;$BB$39,0.5,0.85))),_xlpm.taxable,MAX(0,_xlpm.o+_xlpm.tSS-$BB$7),_xlfn.IFS(_xlpm.taxable&lt;=$BB$35,10%,_xlpm.taxable&lt;=$BB$10,12%,_xlpm.taxable&lt;=$BB$11,22%,_xlpm.taxable&lt;=$BB$12,24%,_xlpm.taxable&lt;=$BB$36,32%,_xlpm.taxable&lt;=$BB$37,35%,TRUE,37%))</f>
        <v>0.22</v>
      </c>
      <c r="U83" s="143" cm="1">
        <f t="array" ref="U83">_xlfn.LET(_xlpm.o,U6+U7+U15,_xlpm.prov,_xlpm.o+U8*0.5,_xlpm.tSS,U8*IF(AND($BB$38&lt;=0,$BB$39&lt;=0),IF(U8&gt;0,0.85,0),IF(_xlpm.prov&lt;$BB$38,0,IF(_xlpm.prov&lt;$BB$39,0.5,0.85))),_xlpm.taxable,MAX(0,_xlpm.o+_xlpm.tSS-$BB$7),_xlfn.IFS(_xlpm.taxable&lt;=$BB$35,10%,_xlpm.taxable&lt;=$BB$10,12%,_xlpm.taxable&lt;=$BB$11,22%,_xlpm.taxable&lt;=$BB$12,24%,_xlpm.taxable&lt;=$BB$36,32%,_xlpm.taxable&lt;=$BB$37,35%,TRUE,37%))</f>
        <v>0.22</v>
      </c>
      <c r="V83" s="143" cm="1">
        <f t="array" ref="V83">_xlfn.LET(_xlpm.o,V6+V7+V15,_xlpm.prov,_xlpm.o+V8*0.5,_xlpm.tSS,V8*IF(AND($BB$38&lt;=0,$BB$39&lt;=0),IF(V8&gt;0,0.85,0),IF(_xlpm.prov&lt;$BB$38,0,IF(_xlpm.prov&lt;$BB$39,0.5,0.85))),_xlpm.taxable,MAX(0,_xlpm.o+_xlpm.tSS-$BB$7),_xlfn.IFS(_xlpm.taxable&lt;=$BB$35,10%,_xlpm.taxable&lt;=$BB$10,12%,_xlpm.taxable&lt;=$BB$11,22%,_xlpm.taxable&lt;=$BB$12,24%,_xlpm.taxable&lt;=$BB$36,32%,_xlpm.taxable&lt;=$BB$37,35%,TRUE,37%))</f>
        <v>0.22</v>
      </c>
      <c r="W83" s="143" cm="1">
        <f t="array" ref="W83">_xlfn.LET(_xlpm.o,W6+W7+W15,_xlpm.prov,_xlpm.o+W8*0.5,_xlpm.tSS,W8*IF(AND($BB$38&lt;=0,$BB$39&lt;=0),IF(W8&gt;0,0.85,0),IF(_xlpm.prov&lt;$BB$38,0,IF(_xlpm.prov&lt;$BB$39,0.5,0.85))),_xlpm.taxable,MAX(0,_xlpm.o+_xlpm.tSS-$BB$7),_xlfn.IFS(_xlpm.taxable&lt;=$BB$35,10%,_xlpm.taxable&lt;=$BB$10,12%,_xlpm.taxable&lt;=$BB$11,22%,_xlpm.taxable&lt;=$BB$12,24%,_xlpm.taxable&lt;=$BB$36,32%,_xlpm.taxable&lt;=$BB$37,35%,TRUE,37%))</f>
        <v>0.22</v>
      </c>
      <c r="X83" s="143" cm="1">
        <f t="array" ref="X83">_xlfn.LET(_xlpm.o,X6+X7+X15,_xlpm.prov,_xlpm.o+X8*0.5,_xlpm.tSS,X8*IF(AND($BB$38&lt;=0,$BB$39&lt;=0),IF(X8&gt;0,0.85,0),IF(_xlpm.prov&lt;$BB$38,0,IF(_xlpm.prov&lt;$BB$39,0.5,0.85))),_xlpm.taxable,MAX(0,_xlpm.o+_xlpm.tSS-$BB$7),_xlfn.IFS(_xlpm.taxable&lt;=$BB$35,10%,_xlpm.taxable&lt;=$BB$10,12%,_xlpm.taxable&lt;=$BB$11,22%,_xlpm.taxable&lt;=$BB$12,24%,_xlpm.taxable&lt;=$BB$36,32%,_xlpm.taxable&lt;=$BB$37,35%,TRUE,37%))</f>
        <v>0.22</v>
      </c>
      <c r="Y83" s="143" cm="1">
        <f t="array" ref="Y83">_xlfn.LET(_xlpm.o,Y6+Y7+Y15,_xlpm.prov,_xlpm.o+Y8*0.5,_xlpm.tSS,Y8*IF(AND($BB$38&lt;=0,$BB$39&lt;=0),IF(Y8&gt;0,0.85,0),IF(_xlpm.prov&lt;$BB$38,0,IF(_xlpm.prov&lt;$BB$39,0.5,0.85))),_xlpm.taxable,MAX(0,_xlpm.o+_xlpm.tSS-$BB$7),_xlfn.IFS(_xlpm.taxable&lt;=$BB$35,10%,_xlpm.taxable&lt;=$BB$10,12%,_xlpm.taxable&lt;=$BB$11,22%,_xlpm.taxable&lt;=$BB$12,24%,_xlpm.taxable&lt;=$BB$36,32%,_xlpm.taxable&lt;=$BB$37,35%,TRUE,37%))</f>
        <v>0.22</v>
      </c>
      <c r="Z83" s="143" cm="1">
        <f t="array" ref="Z83">_xlfn.LET(_xlpm.o,Z6+Z7+Z15,_xlpm.prov,_xlpm.o+Z8*0.5,_xlpm.tSS,Z8*IF(AND($BB$38&lt;=0,$BB$39&lt;=0),IF(Z8&gt;0,0.85,0),IF(_xlpm.prov&lt;$BB$38,0,IF(_xlpm.prov&lt;$BB$39,0.5,0.85))),_xlpm.taxable,MAX(0,_xlpm.o+_xlpm.tSS-$BB$7),_xlfn.IFS(_xlpm.taxable&lt;=$BB$35,10%,_xlpm.taxable&lt;=$BB$10,12%,_xlpm.taxable&lt;=$BB$11,22%,_xlpm.taxable&lt;=$BB$12,24%,_xlpm.taxable&lt;=$BB$36,32%,_xlpm.taxable&lt;=$BB$37,35%,TRUE,37%))</f>
        <v>0.22</v>
      </c>
      <c r="AA83" s="143" cm="1">
        <f t="array" ref="AA83">_xlfn.LET(_xlpm.o,AA6+AA7+AA15,_xlpm.prov,_xlpm.o+AA8*0.5,_xlpm.tSS,AA8*IF(AND($BB$38&lt;=0,$BB$39&lt;=0),IF(AA8&gt;0,0.85,0),IF(_xlpm.prov&lt;$BB$38,0,IF(_xlpm.prov&lt;$BB$39,0.5,0.85))),_xlpm.taxable,MAX(0,_xlpm.o+_xlpm.tSS-$BB$7),_xlfn.IFS(_xlpm.taxable&lt;=$BB$35,10%,_xlpm.taxable&lt;=$BB$10,12%,_xlpm.taxable&lt;=$BB$11,22%,_xlpm.taxable&lt;=$BB$12,24%,_xlpm.taxable&lt;=$BB$36,32%,_xlpm.taxable&lt;=$BB$37,35%,TRUE,37%))</f>
        <v>0.1</v>
      </c>
      <c r="AB83" s="143" cm="1">
        <f t="array" ref="AB83">_xlfn.LET(_xlpm.o,AB6+AB7+AB15,_xlpm.prov,_xlpm.o+AB8*0.5,_xlpm.tSS,AB8*IF(AND($BB$38&lt;=0,$BB$39&lt;=0),IF(AB8&gt;0,0.85,0),IF(_xlpm.prov&lt;$BB$38,0,IF(_xlpm.prov&lt;$BB$39,0.5,0.85))),_xlpm.taxable,MAX(0,_xlpm.o+_xlpm.tSS-$BB$7),_xlfn.IFS(_xlpm.taxable&lt;=$BB$35,10%,_xlpm.taxable&lt;=$BB$10,12%,_xlpm.taxable&lt;=$BB$11,22%,_xlpm.taxable&lt;=$BB$12,24%,_xlpm.taxable&lt;=$BB$36,32%,_xlpm.taxable&lt;=$BB$37,35%,TRUE,37%))</f>
        <v>0.1</v>
      </c>
      <c r="AC83" s="143" cm="1">
        <f t="array" ref="AC83">_xlfn.LET(_xlpm.o,AC6+AC7+AC15,_xlpm.prov,_xlpm.o+AC8*0.5,_xlpm.tSS,AC8*IF(AND($BB$38&lt;=0,$BB$39&lt;=0),IF(AC8&gt;0,0.85,0),IF(_xlpm.prov&lt;$BB$38,0,IF(_xlpm.prov&lt;$BB$39,0.5,0.85))),_xlpm.taxable,MAX(0,_xlpm.o+_xlpm.tSS-$BB$7),_xlfn.IFS(_xlpm.taxable&lt;=$BB$35,10%,_xlpm.taxable&lt;=$BB$10,12%,_xlpm.taxable&lt;=$BB$11,22%,_xlpm.taxable&lt;=$BB$12,24%,_xlpm.taxable&lt;=$BB$36,32%,_xlpm.taxable&lt;=$BB$37,35%,TRUE,37%))</f>
        <v>0.1</v>
      </c>
      <c r="AD83" s="143" cm="1">
        <f t="array" ref="AD83">_xlfn.LET(_xlpm.o,AD6+AD7+AD15,_xlpm.prov,_xlpm.o+AD8*0.5,_xlpm.tSS,AD8*IF(AND($BB$38&lt;=0,$BB$39&lt;=0),IF(AD8&gt;0,0.85,0),IF(_xlpm.prov&lt;$BB$38,0,IF(_xlpm.prov&lt;$BB$39,0.5,0.85))),_xlpm.taxable,MAX(0,_xlpm.o+_xlpm.tSS-$BB$7),_xlfn.IFS(_xlpm.taxable&lt;=$BB$35,10%,_xlpm.taxable&lt;=$BB$10,12%,_xlpm.taxable&lt;=$BB$11,22%,_xlpm.taxable&lt;=$BB$12,24%,_xlpm.taxable&lt;=$BB$36,32%,_xlpm.taxable&lt;=$BB$37,35%,TRUE,37%))</f>
        <v>0.1</v>
      </c>
      <c r="AE83" s="143" cm="1">
        <f t="array" ref="AE83">_xlfn.LET(_xlpm.o,AE6+AE7+AE15,_xlpm.prov,_xlpm.o+AE8*0.5,_xlpm.tSS,AE8*IF(AND($BB$38&lt;=0,$BB$39&lt;=0),IF(AE8&gt;0,0.85,0),IF(_xlpm.prov&lt;$BB$38,0,IF(_xlpm.prov&lt;$BB$39,0.5,0.85))),_xlpm.taxable,MAX(0,_xlpm.o+_xlpm.tSS-$BB$7),_xlfn.IFS(_xlpm.taxable&lt;=$BB$35,10%,_xlpm.taxable&lt;=$BB$10,12%,_xlpm.taxable&lt;=$BB$11,22%,_xlpm.taxable&lt;=$BB$12,24%,_xlpm.taxable&lt;=$BB$36,32%,_xlpm.taxable&lt;=$BB$37,35%,TRUE,37%))</f>
        <v>0.1</v>
      </c>
      <c r="AF83" s="143" cm="1">
        <f t="array" ref="AF83">_xlfn.LET(_xlpm.o,AF6+AF7+AF15,_xlpm.prov,_xlpm.o+AF8*0.5,_xlpm.tSS,AF8*IF(AND($BB$38&lt;=0,$BB$39&lt;=0),IF(AF8&gt;0,0.85,0),IF(_xlpm.prov&lt;$BB$38,0,IF(_xlpm.prov&lt;$BB$39,0.5,0.85))),_xlpm.taxable,MAX(0,_xlpm.o+_xlpm.tSS-$BB$7),_xlfn.IFS(_xlpm.taxable&lt;=$BB$35,10%,_xlpm.taxable&lt;=$BB$10,12%,_xlpm.taxable&lt;=$BB$11,22%,_xlpm.taxable&lt;=$BB$12,24%,_xlpm.taxable&lt;=$BB$36,32%,_xlpm.taxable&lt;=$BB$37,35%,TRUE,37%))</f>
        <v>0.1</v>
      </c>
      <c r="AG83" s="143" cm="1">
        <f t="array" ref="AG83">_xlfn.LET(_xlpm.o,AG6+AG7+AG15,_xlpm.prov,_xlpm.o+AG8*0.5,_xlpm.tSS,AG8*IF(AND($BB$38&lt;=0,$BB$39&lt;=0),IF(AG8&gt;0,0.85,0),IF(_xlpm.prov&lt;$BB$38,0,IF(_xlpm.prov&lt;$BB$39,0.5,0.85))),_xlpm.taxable,MAX(0,_xlpm.o+_xlpm.tSS-$BB$7),_xlfn.IFS(_xlpm.taxable&lt;=$BB$35,10%,_xlpm.taxable&lt;=$BB$10,12%,_xlpm.taxable&lt;=$BB$11,22%,_xlpm.taxable&lt;=$BB$12,24%,_xlpm.taxable&lt;=$BB$36,32%,_xlpm.taxable&lt;=$BB$37,35%,TRUE,37%))</f>
        <v>0.1</v>
      </c>
      <c r="AH83" s="143" cm="1">
        <f t="array" ref="AH83">_xlfn.LET(_xlpm.o,AH6+AH7+AH15,_xlpm.prov,_xlpm.o+AH8*0.5,_xlpm.tSS,AH8*IF(AND($BB$38&lt;=0,$BB$39&lt;=0),IF(AH8&gt;0,0.85,0),IF(_xlpm.prov&lt;$BB$38,0,IF(_xlpm.prov&lt;$BB$39,0.5,0.85))),_xlpm.taxable,MAX(0,_xlpm.o+_xlpm.tSS-$BB$7),_xlfn.IFS(_xlpm.taxable&lt;=$BB$35,10%,_xlpm.taxable&lt;=$BB$10,12%,_xlpm.taxable&lt;=$BB$11,22%,_xlpm.taxable&lt;=$BB$12,24%,_xlpm.taxable&lt;=$BB$36,32%,_xlpm.taxable&lt;=$BB$37,35%,TRUE,37%))</f>
        <v>0.1</v>
      </c>
      <c r="AI83" s="143" cm="1">
        <f t="array" ref="AI83">_xlfn.LET(_xlpm.o,AI6+AI7+AI15,_xlpm.prov,_xlpm.o+AI8*0.5,_xlpm.tSS,AI8*IF(AND($BB$38&lt;=0,$BB$39&lt;=0),IF(AI8&gt;0,0.85,0),IF(_xlpm.prov&lt;$BB$38,0,IF(_xlpm.prov&lt;$BB$39,0.5,0.85))),_xlpm.taxable,MAX(0,_xlpm.o+_xlpm.tSS-$BB$7),_xlfn.IFS(_xlpm.taxable&lt;=$BB$35,10%,_xlpm.taxable&lt;=$BB$10,12%,_xlpm.taxable&lt;=$BB$11,22%,_xlpm.taxable&lt;=$BB$12,24%,_xlpm.taxable&lt;=$BB$36,32%,_xlpm.taxable&lt;=$BB$37,35%,TRUE,37%))</f>
        <v>0.1</v>
      </c>
      <c r="AJ83" s="143" cm="1">
        <f t="array" ref="AJ83">_xlfn.LET(_xlpm.o,AJ6+AJ7+AJ15,_xlpm.prov,_xlpm.o+AJ8*0.5,_xlpm.tSS,AJ8*IF(AND($BB$38&lt;=0,$BB$39&lt;=0),IF(AJ8&gt;0,0.85,0),IF(_xlpm.prov&lt;$BB$38,0,IF(_xlpm.prov&lt;$BB$39,0.5,0.85))),_xlpm.taxable,MAX(0,_xlpm.o+_xlpm.tSS-$BB$7),_xlfn.IFS(_xlpm.taxable&lt;=$BB$35,10%,_xlpm.taxable&lt;=$BB$10,12%,_xlpm.taxable&lt;=$BB$11,22%,_xlpm.taxable&lt;=$BB$12,24%,_xlpm.taxable&lt;=$BB$36,32%,_xlpm.taxable&lt;=$BB$37,35%,TRUE,37%))</f>
        <v>0.1</v>
      </c>
      <c r="AK83" s="143" cm="1">
        <f t="array" ref="AK83">_xlfn.LET(_xlpm.o,AK6+AK7+AK15,_xlpm.prov,_xlpm.o+AK8*0.5,_xlpm.tSS,AK8*IF(AND($BB$38&lt;=0,$BB$39&lt;=0),IF(AK8&gt;0,0.85,0),IF(_xlpm.prov&lt;$BB$38,0,IF(_xlpm.prov&lt;$BB$39,0.5,0.85))),_xlpm.taxable,MAX(0,_xlpm.o+_xlpm.tSS-$BB$7),_xlfn.IFS(_xlpm.taxable&lt;=$BB$35,10%,_xlpm.taxable&lt;=$BB$10,12%,_xlpm.taxable&lt;=$BB$11,22%,_xlpm.taxable&lt;=$BB$12,24%,_xlpm.taxable&lt;=$BB$36,32%,_xlpm.taxable&lt;=$BB$37,35%,TRUE,37%))</f>
        <v>0.1</v>
      </c>
      <c r="AL83" s="143" cm="1">
        <f t="array" ref="AL83">_xlfn.LET(_xlpm.o,AL6+AL7+AL15,_xlpm.prov,_xlpm.o+AL8*0.5,_xlpm.tSS,AL8*IF(AND($BB$38&lt;=0,$BB$39&lt;=0),IF(AL8&gt;0,0.85,0),IF(_xlpm.prov&lt;$BB$38,0,IF(_xlpm.prov&lt;$BB$39,0.5,0.85))),_xlpm.taxable,MAX(0,_xlpm.o+_xlpm.tSS-$BB$7),_xlfn.IFS(_xlpm.taxable&lt;=$BB$35,10%,_xlpm.taxable&lt;=$BB$10,12%,_xlpm.taxable&lt;=$BB$11,22%,_xlpm.taxable&lt;=$BB$12,24%,_xlpm.taxable&lt;=$BB$36,32%,_xlpm.taxable&lt;=$BB$37,35%,TRUE,37%))</f>
        <v>0.1</v>
      </c>
      <c r="AM83" s="143" cm="1">
        <f t="array" ref="AM83">_xlfn.LET(_xlpm.o,AM6+AM7+AM15,_xlpm.prov,_xlpm.o+AM8*0.5,_xlpm.tSS,AM8*IF(AND($BB$38&lt;=0,$BB$39&lt;=0),IF(AM8&gt;0,0.85,0),IF(_xlpm.prov&lt;$BB$38,0,IF(_xlpm.prov&lt;$BB$39,0.5,0.85))),_xlpm.taxable,MAX(0,_xlpm.o+_xlpm.tSS-$BB$7),_xlfn.IFS(_xlpm.taxable&lt;=$BB$35,10%,_xlpm.taxable&lt;=$BB$10,12%,_xlpm.taxable&lt;=$BB$11,22%,_xlpm.taxable&lt;=$BB$12,24%,_xlpm.taxable&lt;=$BB$36,32%,_xlpm.taxable&lt;=$BB$37,35%,TRUE,37%))</f>
        <v>0.1</v>
      </c>
      <c r="AN83" s="143" cm="1">
        <f t="array" ref="AN83">_xlfn.LET(_xlpm.o,AN6+AN7+AN15,_xlpm.prov,_xlpm.o+AN8*0.5,_xlpm.tSS,AN8*IF(AND($BB$38&lt;=0,$BB$39&lt;=0),IF(AN8&gt;0,0.85,0),IF(_xlpm.prov&lt;$BB$38,0,IF(_xlpm.prov&lt;$BB$39,0.5,0.85))),_xlpm.taxable,MAX(0,_xlpm.o+_xlpm.tSS-$BB$7),_xlfn.IFS(_xlpm.taxable&lt;=$BB$35,10%,_xlpm.taxable&lt;=$BB$10,12%,_xlpm.taxable&lt;=$BB$11,22%,_xlpm.taxable&lt;=$BB$12,24%,_xlpm.taxable&lt;=$BB$36,32%,_xlpm.taxable&lt;=$BB$37,35%,TRUE,37%))</f>
        <v>0.1</v>
      </c>
      <c r="AO83" s="143" cm="1">
        <f t="array" ref="AO83">_xlfn.LET(_xlpm.o,AO6+AO7+AO15,_xlpm.prov,_xlpm.o+AO8*0.5,_xlpm.tSS,AO8*IF(AND($BB$38&lt;=0,$BB$39&lt;=0),IF(AO8&gt;0,0.85,0),IF(_xlpm.prov&lt;$BB$38,0,IF(_xlpm.prov&lt;$BB$39,0.5,0.85))),_xlpm.taxable,MAX(0,_xlpm.o+_xlpm.tSS-$BB$7),_xlfn.IFS(_xlpm.taxable&lt;=$BB$35,10%,_xlpm.taxable&lt;=$BB$10,12%,_xlpm.taxable&lt;=$BB$11,22%,_xlpm.taxable&lt;=$BB$12,24%,_xlpm.taxable&lt;=$BB$36,32%,_xlpm.taxable&lt;=$BB$37,35%,TRUE,37%))</f>
        <v>0.12</v>
      </c>
      <c r="AP83" s="143" cm="1">
        <f t="array" ref="AP83">_xlfn.LET(_xlpm.o,AP6+AP7+AP15,_xlpm.prov,_xlpm.o+AP8*0.5,_xlpm.tSS,AP8*IF(AND($BB$38&lt;=0,$BB$39&lt;=0),IF(AP8&gt;0,0.85,0),IF(_xlpm.prov&lt;$BB$38,0,IF(_xlpm.prov&lt;$BB$39,0.5,0.85))),_xlpm.taxable,MAX(0,_xlpm.o+_xlpm.tSS-$BB$7),_xlfn.IFS(_xlpm.taxable&lt;=$BB$35,10%,_xlpm.taxable&lt;=$BB$10,12%,_xlpm.taxable&lt;=$BB$11,22%,_xlpm.taxable&lt;=$BB$12,24%,_xlpm.taxable&lt;=$BB$36,32%,_xlpm.taxable&lt;=$BB$37,35%,TRUE,37%))</f>
        <v>0.12</v>
      </c>
      <c r="AQ83" s="143" cm="1">
        <f t="array" ref="AQ83">_xlfn.LET(_xlpm.o,AQ6+AQ7+AQ15,_xlpm.prov,_xlpm.o+AQ8*0.5,_xlpm.tSS,AQ8*IF(AND($BB$38&lt;=0,$BB$39&lt;=0),IF(AQ8&gt;0,0.85,0),IF(_xlpm.prov&lt;$BB$38,0,IF(_xlpm.prov&lt;$BB$39,0.5,0.85))),_xlpm.taxable,MAX(0,_xlpm.o+_xlpm.tSS-$BB$7),_xlfn.IFS(_xlpm.taxable&lt;=$BB$35,10%,_xlpm.taxable&lt;=$BB$10,12%,_xlpm.taxable&lt;=$BB$11,22%,_xlpm.taxable&lt;=$BB$12,24%,_xlpm.taxable&lt;=$BB$36,32%,_xlpm.taxable&lt;=$BB$37,35%,TRUE,37%))</f>
        <v>0.12</v>
      </c>
      <c r="AR83" s="143" cm="1">
        <f t="array" ref="AR83">_xlfn.LET(_xlpm.o,AR6+AR7+AR15,_xlpm.prov,_xlpm.o+AR8*0.5,_xlpm.tSS,AR8*IF(AND($BB$38&lt;=0,$BB$39&lt;=0),IF(AR8&gt;0,0.85,0),IF(_xlpm.prov&lt;$BB$38,0,IF(_xlpm.prov&lt;$BB$39,0.5,0.85))),_xlpm.taxable,MAX(0,_xlpm.o+_xlpm.tSS-$BB$7),_xlfn.IFS(_xlpm.taxable&lt;=$BB$35,10%,_xlpm.taxable&lt;=$BB$10,12%,_xlpm.taxable&lt;=$BB$11,22%,_xlpm.taxable&lt;=$BB$12,24%,_xlpm.taxable&lt;=$BB$36,32%,_xlpm.taxable&lt;=$BB$37,35%,TRUE,37%))</f>
        <v>0.22</v>
      </c>
      <c r="AS83" s="143" cm="1">
        <f t="array" ref="AS83">_xlfn.LET(_xlpm.o,AS6+AS7+AS15,_xlpm.prov,_xlpm.o+AS8*0.5,_xlpm.tSS,AS8*IF(AND($BB$38&lt;=0,$BB$39&lt;=0),IF(AS8&gt;0,0.85,0),IF(_xlpm.prov&lt;$BB$38,0,IF(_xlpm.prov&lt;$BB$39,0.5,0.85))),_xlpm.taxable,MAX(0,_xlpm.o+_xlpm.tSS-$BB$7),_xlfn.IFS(_xlpm.taxable&lt;=$BB$35,10%,_xlpm.taxable&lt;=$BB$10,12%,_xlpm.taxable&lt;=$BB$11,22%,_xlpm.taxable&lt;=$BB$12,24%,_xlpm.taxable&lt;=$BB$36,32%,_xlpm.taxable&lt;=$BB$37,35%,TRUE,37%))</f>
        <v>0.22</v>
      </c>
      <c r="AT83" s="143" cm="1">
        <f t="array" ref="AT83">_xlfn.LET(_xlpm.o,AT6+AT7+AT15,_xlpm.prov,_xlpm.o+AT8*0.5,_xlpm.tSS,AT8*IF(AND($BB$38&lt;=0,$BB$39&lt;=0),IF(AT8&gt;0,0.85,0),IF(_xlpm.prov&lt;$BB$38,0,IF(_xlpm.prov&lt;$BB$39,0.5,0.85))),_xlpm.taxable,MAX(0,_xlpm.o+_xlpm.tSS-$BB$7),_xlfn.IFS(_xlpm.taxable&lt;=$BB$35,10%,_xlpm.taxable&lt;=$BB$10,12%,_xlpm.taxable&lt;=$BB$11,22%,_xlpm.taxable&lt;=$BB$12,24%,_xlpm.taxable&lt;=$BB$36,32%,_xlpm.taxable&lt;=$BB$37,35%,TRUE,37%))</f>
        <v>0.22</v>
      </c>
      <c r="AU83" s="143" cm="1">
        <f t="array" ref="AU83">_xlfn.LET(_xlpm.o,AU6+AU7+AU15,_xlpm.prov,_xlpm.o+AU8*0.5,_xlpm.tSS,AU8*IF(AND($BB$38&lt;=0,$BB$39&lt;=0),IF(AU8&gt;0,0.85,0),IF(_xlpm.prov&lt;$BB$38,0,IF(_xlpm.prov&lt;$BB$39,0.5,0.85))),_xlpm.taxable,MAX(0,_xlpm.o+_xlpm.tSS-$BB$7),_xlfn.IFS(_xlpm.taxable&lt;=$BB$35,10%,_xlpm.taxable&lt;=$BB$10,12%,_xlpm.taxable&lt;=$BB$11,22%,_xlpm.taxable&lt;=$BB$12,24%,_xlpm.taxable&lt;=$BB$36,32%,_xlpm.taxable&lt;=$BB$37,35%,TRUE,37%))</f>
        <v>0.22</v>
      </c>
      <c r="AV83" s="143" cm="1">
        <f t="array" ref="AV83">_xlfn.LET(_xlpm.o,AV6+AV7+AV15,_xlpm.prov,_xlpm.o+AV8*0.5,_xlpm.tSS,AV8*IF(AND($BB$38&lt;=0,$BB$39&lt;=0),IF(AV8&gt;0,0.85,0),IF(_xlpm.prov&lt;$BB$38,0,IF(_xlpm.prov&lt;$BB$39,0.5,0.85))),_xlpm.taxable,MAX(0,_xlpm.o+_xlpm.tSS-$BB$7),_xlfn.IFS(_xlpm.taxable&lt;=$BB$35,10%,_xlpm.taxable&lt;=$BB$10,12%,_xlpm.taxable&lt;=$BB$11,22%,_xlpm.taxable&lt;=$BB$12,24%,_xlpm.taxable&lt;=$BB$36,32%,_xlpm.taxable&lt;=$BB$37,35%,TRUE,37%))</f>
        <v>0.22</v>
      </c>
      <c r="AW83" s="143" cm="1">
        <f t="array" ref="AW83">_xlfn.LET(_xlpm.o,AW6+AW7+AW15,_xlpm.prov,_xlpm.o+AW8*0.5,_xlpm.tSS,AW8*IF(AND($BB$38&lt;=0,$BB$39&lt;=0),IF(AW8&gt;0,0.85,0),IF(_xlpm.prov&lt;$BB$38,0,IF(_xlpm.prov&lt;$BB$39,0.5,0.85))),_xlpm.taxable,MAX(0,_xlpm.o+_xlpm.tSS-$BB$7),_xlfn.IFS(_xlpm.taxable&lt;=$BB$35,10%,_xlpm.taxable&lt;=$BB$10,12%,_xlpm.taxable&lt;=$BB$11,22%,_xlpm.taxable&lt;=$BB$12,24%,_xlpm.taxable&lt;=$BB$36,32%,_xlpm.taxable&lt;=$BB$37,35%,TRUE,37%))</f>
        <v>0.22</v>
      </c>
      <c r="AX83" s="143" cm="1">
        <f t="array" ref="AX83">_xlfn.LET(_xlpm.o,AX6+AX7+AX15,_xlpm.prov,_xlpm.o+AX8*0.5,_xlpm.tSS,AX8*IF(AND($BB$38&lt;=0,$BB$39&lt;=0),IF(AX8&gt;0,0.85,0),IF(_xlpm.prov&lt;$BB$38,0,IF(_xlpm.prov&lt;$BB$39,0.5,0.85))),_xlpm.taxable,MAX(0,_xlpm.o+_xlpm.tSS-$BB$7),_xlfn.IFS(_xlpm.taxable&lt;=$BB$35,10%,_xlpm.taxable&lt;=$BB$10,12%,_xlpm.taxable&lt;=$BB$11,22%,_xlpm.taxable&lt;=$BB$12,24%,_xlpm.taxable&lt;=$BB$36,32%,_xlpm.taxable&lt;=$BB$37,35%,TRUE,37%))</f>
        <v>0.22</v>
      </c>
      <c r="AY83" s="143" cm="1">
        <f t="array" ref="AY83">_xlfn.LET(_xlpm.o,AY6+AY7+AY15,_xlpm.prov,_xlpm.o+AY8*0.5,_xlpm.tSS,AY8*IF(AND($BB$38&lt;=0,$BB$39&lt;=0),IF(AY8&gt;0,0.85,0),IF(_xlpm.prov&lt;$BB$38,0,IF(_xlpm.prov&lt;$BB$39,0.5,0.85))),_xlpm.taxable,MAX(0,_xlpm.o+_xlpm.tSS-$BB$7),_xlfn.IFS(_xlpm.taxable&lt;=$BB$35,10%,_xlpm.taxable&lt;=$BB$10,12%,_xlpm.taxable&lt;=$BB$11,22%,_xlpm.taxable&lt;=$BB$12,24%,_xlpm.taxable&lt;=$BB$36,32%,_xlpm.taxable&lt;=$BB$37,35%,TRUE,37%))</f>
        <v>0.22</v>
      </c>
      <c r="BA83" s="188"/>
      <c r="BB83" s="188"/>
      <c r="BC83" s="188"/>
      <c r="BD83" s="188"/>
    </row>
    <row r="84" spans="1:56" ht="28.8" hidden="1" x14ac:dyDescent="0.55000000000000004">
      <c r="A84" s="161" t="s">
        <v>347</v>
      </c>
      <c r="B84" s="161" t="s">
        <v>634</v>
      </c>
      <c r="C84" s="162" t="s">
        <v>635</v>
      </c>
      <c r="D84" s="143">
        <f>$BB$80</f>
        <v>0.12</v>
      </c>
      <c r="E84" s="143">
        <f t="shared" ref="E84:AY84" si="123">$BB$80</f>
        <v>0.12</v>
      </c>
      <c r="F84" s="143">
        <f t="shared" si="123"/>
        <v>0.12</v>
      </c>
      <c r="G84" s="143">
        <f t="shared" si="123"/>
        <v>0.12</v>
      </c>
      <c r="H84" s="143">
        <f t="shared" si="123"/>
        <v>0.12</v>
      </c>
      <c r="I84" s="143">
        <f t="shared" si="123"/>
        <v>0.12</v>
      </c>
      <c r="J84" s="143">
        <f t="shared" si="123"/>
        <v>0.12</v>
      </c>
      <c r="K84" s="143">
        <f t="shared" si="123"/>
        <v>0.12</v>
      </c>
      <c r="L84" s="143">
        <f t="shared" si="123"/>
        <v>0.12</v>
      </c>
      <c r="M84" s="143">
        <f t="shared" si="123"/>
        <v>0.12</v>
      </c>
      <c r="N84" s="143">
        <f t="shared" si="123"/>
        <v>0.12</v>
      </c>
      <c r="O84" s="143">
        <f t="shared" si="123"/>
        <v>0.12</v>
      </c>
      <c r="P84" s="143">
        <f t="shared" si="123"/>
        <v>0.12</v>
      </c>
      <c r="Q84" s="143">
        <f t="shared" si="123"/>
        <v>0.12</v>
      </c>
      <c r="R84" s="143">
        <f t="shared" si="123"/>
        <v>0.12</v>
      </c>
      <c r="S84" s="143">
        <f t="shared" si="123"/>
        <v>0.12</v>
      </c>
      <c r="T84" s="143">
        <f t="shared" si="123"/>
        <v>0.12</v>
      </c>
      <c r="U84" s="143">
        <f t="shared" si="123"/>
        <v>0.12</v>
      </c>
      <c r="V84" s="143">
        <f t="shared" si="123"/>
        <v>0.12</v>
      </c>
      <c r="W84" s="143">
        <f t="shared" si="123"/>
        <v>0.12</v>
      </c>
      <c r="X84" s="143">
        <f t="shared" si="123"/>
        <v>0.12</v>
      </c>
      <c r="Y84" s="143">
        <f t="shared" si="123"/>
        <v>0.12</v>
      </c>
      <c r="Z84" s="143">
        <f t="shared" si="123"/>
        <v>0.12</v>
      </c>
      <c r="AA84" s="143">
        <f t="shared" si="123"/>
        <v>0.12</v>
      </c>
      <c r="AB84" s="143">
        <f t="shared" si="123"/>
        <v>0.12</v>
      </c>
      <c r="AC84" s="143">
        <f t="shared" si="123"/>
        <v>0.12</v>
      </c>
      <c r="AD84" s="143">
        <f t="shared" si="123"/>
        <v>0.12</v>
      </c>
      <c r="AE84" s="143">
        <f t="shared" si="123"/>
        <v>0.12</v>
      </c>
      <c r="AF84" s="143">
        <f t="shared" si="123"/>
        <v>0.12</v>
      </c>
      <c r="AG84" s="143">
        <f t="shared" si="123"/>
        <v>0.12</v>
      </c>
      <c r="AH84" s="143">
        <f t="shared" si="123"/>
        <v>0.12</v>
      </c>
      <c r="AI84" s="143">
        <f t="shared" si="123"/>
        <v>0.12</v>
      </c>
      <c r="AJ84" s="143">
        <f t="shared" si="123"/>
        <v>0.12</v>
      </c>
      <c r="AK84" s="143">
        <f t="shared" si="123"/>
        <v>0.12</v>
      </c>
      <c r="AL84" s="143">
        <f t="shared" si="123"/>
        <v>0.12</v>
      </c>
      <c r="AM84" s="143">
        <f t="shared" si="123"/>
        <v>0.12</v>
      </c>
      <c r="AN84" s="143">
        <f t="shared" si="123"/>
        <v>0.12</v>
      </c>
      <c r="AO84" s="143">
        <f t="shared" si="123"/>
        <v>0.12</v>
      </c>
      <c r="AP84" s="143">
        <f t="shared" si="123"/>
        <v>0.12</v>
      </c>
      <c r="AQ84" s="143">
        <f t="shared" si="123"/>
        <v>0.12</v>
      </c>
      <c r="AR84" s="143">
        <f t="shared" si="123"/>
        <v>0.12</v>
      </c>
      <c r="AS84" s="143">
        <f t="shared" si="123"/>
        <v>0.12</v>
      </c>
      <c r="AT84" s="143">
        <f t="shared" si="123"/>
        <v>0.12</v>
      </c>
      <c r="AU84" s="143">
        <f t="shared" si="123"/>
        <v>0.12</v>
      </c>
      <c r="AV84" s="143">
        <f t="shared" si="123"/>
        <v>0.12</v>
      </c>
      <c r="AW84" s="143">
        <f t="shared" si="123"/>
        <v>0.12</v>
      </c>
      <c r="AX84" s="143">
        <f t="shared" si="123"/>
        <v>0.12</v>
      </c>
      <c r="AY84" s="143">
        <f t="shared" si="123"/>
        <v>0.12</v>
      </c>
      <c r="BA84" s="188"/>
      <c r="BB84" s="188"/>
      <c r="BC84" s="188"/>
      <c r="BD84" s="188"/>
    </row>
    <row r="85" spans="1:56" ht="28.8" hidden="1" x14ac:dyDescent="0.55000000000000004">
      <c r="A85" s="161" t="s">
        <v>347</v>
      </c>
      <c r="B85" s="161" t="s">
        <v>636</v>
      </c>
      <c r="C85" s="162" t="s">
        <v>694</v>
      </c>
      <c r="D85" s="96" cm="1">
        <f t="array" ref="D85">IF(D80=0,0,_xlfn.LET(_xlpm.o,D6+D7+D15,_xlpm.prov,_xlpm.o+D8*0.5,_xlpm.tSS,D8*IF(AND($BB$38&lt;=0,$BB$39&lt;=0),IF(D8&gt;0,0.85,0),IF(_xlpm.prov&lt;$BB$38,0,IF(_xlpm.prov&lt;$BB$39,0.5,0.85))),_xlpm.baseTaxable,MAX(0,_xlpm.o+_xlpm.tSS-$BB$7),_xlpm.target,_xlfn.IFS($BB$80&lt;=12%,$BB$10,$BB$80&lt;=22%,$BB$11,$BB$80&lt;=24%,$BB$12,$BB$80&lt;=32%,$BB$36,$BB$80&lt;=35%,$BB$37,TRUE,$BB$37),MIN(D82,MAX(0,_xlpm.target-_xlpm.baseTaxable))))</f>
        <v>0</v>
      </c>
      <c r="E85" s="96" cm="1">
        <f t="array" ref="E85">IF(E80=0,0,_xlfn.LET(_xlpm.o,E6+E7+E15,_xlpm.prov,_xlpm.o+E8*0.5,_xlpm.tSS,E8*IF(AND($BB$38&lt;=0,$BB$39&lt;=0),IF(E8&gt;0,0.85,0),IF(_xlpm.prov&lt;$BB$38,0,IF(_xlpm.prov&lt;$BB$39,0.5,0.85))),_xlpm.baseTaxable,MAX(0,_xlpm.o+_xlpm.tSS-$BB$7),_xlpm.target,_xlfn.IFS($BB$80&lt;=12%,$BB$10,$BB$80&lt;=22%,$BB$11,$BB$80&lt;=24%,$BB$12,$BB$80&lt;=32%,$BB$36,$BB$80&lt;=35%,$BB$37,TRUE,$BB$37),MIN(E82,MAX(0,_xlpm.target-_xlpm.baseTaxable))))</f>
        <v>0</v>
      </c>
      <c r="F85" s="96" cm="1">
        <f t="array" ref="F85">IF(F80=0,0,_xlfn.LET(_xlpm.o,F6+F7+F15,_xlpm.prov,_xlpm.o+F8*0.5,_xlpm.tSS,F8*IF(AND($BB$38&lt;=0,$BB$39&lt;=0),IF(F8&gt;0,0.85,0),IF(_xlpm.prov&lt;$BB$38,0,IF(_xlpm.prov&lt;$BB$39,0.5,0.85))),_xlpm.baseTaxable,MAX(0,_xlpm.o+_xlpm.tSS-$BB$7),_xlpm.target,_xlfn.IFS($BB$80&lt;=12%,$BB$10,$BB$80&lt;=22%,$BB$11,$BB$80&lt;=24%,$BB$12,$BB$80&lt;=32%,$BB$36,$BB$80&lt;=35%,$BB$37,TRUE,$BB$37),MIN(F82,MAX(0,_xlpm.target-_xlpm.baseTaxable))))</f>
        <v>0</v>
      </c>
      <c r="G85" s="96" cm="1">
        <f t="array" ref="G85">IF(G80=0,0,_xlfn.LET(_xlpm.o,G6+G7+G15,_xlpm.prov,_xlpm.o+G8*0.5,_xlpm.tSS,G8*IF(AND($BB$38&lt;=0,$BB$39&lt;=0),IF(G8&gt;0,0.85,0),IF(_xlpm.prov&lt;$BB$38,0,IF(_xlpm.prov&lt;$BB$39,0.5,0.85))),_xlpm.baseTaxable,MAX(0,_xlpm.o+_xlpm.tSS-$BB$7),_xlpm.target,_xlfn.IFS($BB$80&lt;=12%,$BB$10,$BB$80&lt;=22%,$BB$11,$BB$80&lt;=24%,$BB$12,$BB$80&lt;=32%,$BB$36,$BB$80&lt;=35%,$BB$37,TRUE,$BB$37),MIN(G82,MAX(0,_xlpm.target-_xlpm.baseTaxable))))</f>
        <v>0</v>
      </c>
      <c r="H85" s="96" cm="1">
        <f t="array" ref="H85">IF(H80=0,0,_xlfn.LET(_xlpm.o,H6+H7+H15,_xlpm.prov,_xlpm.o+H8*0.5,_xlpm.tSS,H8*IF(AND($BB$38&lt;=0,$BB$39&lt;=0),IF(H8&gt;0,0.85,0),IF(_xlpm.prov&lt;$BB$38,0,IF(_xlpm.prov&lt;$BB$39,0.5,0.85))),_xlpm.baseTaxable,MAX(0,_xlpm.o+_xlpm.tSS-$BB$7),_xlpm.target,_xlfn.IFS($BB$80&lt;=12%,$BB$10,$BB$80&lt;=22%,$BB$11,$BB$80&lt;=24%,$BB$12,$BB$80&lt;=32%,$BB$36,$BB$80&lt;=35%,$BB$37,TRUE,$BB$37),MIN(H82,MAX(0,_xlpm.target-_xlpm.baseTaxable))))</f>
        <v>0</v>
      </c>
      <c r="I85" s="96" cm="1">
        <f t="array" ref="I85">IF(I80=0,0,_xlfn.LET(_xlpm.o,I6+I7+I15,_xlpm.prov,_xlpm.o+I8*0.5,_xlpm.tSS,I8*IF(AND($BB$38&lt;=0,$BB$39&lt;=0),IF(I8&gt;0,0.85,0),IF(_xlpm.prov&lt;$BB$38,0,IF(_xlpm.prov&lt;$BB$39,0.5,0.85))),_xlpm.baseTaxable,MAX(0,_xlpm.o+_xlpm.tSS-$BB$7),_xlpm.target,_xlfn.IFS($BB$80&lt;=12%,$BB$10,$BB$80&lt;=22%,$BB$11,$BB$80&lt;=24%,$BB$12,$BB$80&lt;=32%,$BB$36,$BB$80&lt;=35%,$BB$37,TRUE,$BB$37),MIN(I82,MAX(0,_xlpm.target-_xlpm.baseTaxable))))</f>
        <v>0</v>
      </c>
      <c r="J85" s="96" cm="1">
        <f t="array" ref="J85">IF(J80=0,0,_xlfn.LET(_xlpm.o,J6+J7+J15,_xlpm.prov,_xlpm.o+J8*0.5,_xlpm.tSS,J8*IF(AND($BB$38&lt;=0,$BB$39&lt;=0),IF(J8&gt;0,0.85,0),IF(_xlpm.prov&lt;$BB$38,0,IF(_xlpm.prov&lt;$BB$39,0.5,0.85))),_xlpm.baseTaxable,MAX(0,_xlpm.o+_xlpm.tSS-$BB$7),_xlpm.target,_xlfn.IFS($BB$80&lt;=12%,$BB$10,$BB$80&lt;=22%,$BB$11,$BB$80&lt;=24%,$BB$12,$BB$80&lt;=32%,$BB$36,$BB$80&lt;=35%,$BB$37,TRUE,$BB$37),MIN(J82,MAX(0,_xlpm.target-_xlpm.baseTaxable))))</f>
        <v>0</v>
      </c>
      <c r="K85" s="96" cm="1">
        <f t="array" ref="K85">IF(K80=0,0,_xlfn.LET(_xlpm.o,K6+K7+K15,_xlpm.prov,_xlpm.o+K8*0.5,_xlpm.tSS,K8*IF(AND($BB$38&lt;=0,$BB$39&lt;=0),IF(K8&gt;0,0.85,0),IF(_xlpm.prov&lt;$BB$38,0,IF(_xlpm.prov&lt;$BB$39,0.5,0.85))),_xlpm.baseTaxable,MAX(0,_xlpm.o+_xlpm.tSS-$BB$7),_xlpm.target,_xlfn.IFS($BB$80&lt;=12%,$BB$10,$BB$80&lt;=22%,$BB$11,$BB$80&lt;=24%,$BB$12,$BB$80&lt;=32%,$BB$36,$BB$80&lt;=35%,$BB$37,TRUE,$BB$37),MIN(K82,MAX(0,_xlpm.target-_xlpm.baseTaxable))))</f>
        <v>0</v>
      </c>
      <c r="L85" s="96" cm="1">
        <f t="array" ref="L85">IF(L80=0,0,_xlfn.LET(_xlpm.o,L6+L7+L15,_xlpm.prov,_xlpm.o+L8*0.5,_xlpm.tSS,L8*IF(AND($BB$38&lt;=0,$BB$39&lt;=0),IF(L8&gt;0,0.85,0),IF(_xlpm.prov&lt;$BB$38,0,IF(_xlpm.prov&lt;$BB$39,0.5,0.85))),_xlpm.baseTaxable,MAX(0,_xlpm.o+_xlpm.tSS-$BB$7),_xlpm.target,_xlfn.IFS($BB$80&lt;=12%,$BB$10,$BB$80&lt;=22%,$BB$11,$BB$80&lt;=24%,$BB$12,$BB$80&lt;=32%,$BB$36,$BB$80&lt;=35%,$BB$37,TRUE,$BB$37),MIN(L82,MAX(0,_xlpm.target-_xlpm.baseTaxable))))</f>
        <v>0</v>
      </c>
      <c r="M85" s="96" cm="1">
        <f t="array" ref="M85">IF(M80=0,0,_xlfn.LET(_xlpm.o,M6+M7+M15,_xlpm.prov,_xlpm.o+M8*0.5,_xlpm.tSS,M8*IF(AND($BB$38&lt;=0,$BB$39&lt;=0),IF(M8&gt;0,0.85,0),IF(_xlpm.prov&lt;$BB$38,0,IF(_xlpm.prov&lt;$BB$39,0.5,0.85))),_xlpm.baseTaxable,MAX(0,_xlpm.o+_xlpm.tSS-$BB$7),_xlpm.target,_xlfn.IFS($BB$80&lt;=12%,$BB$10,$BB$80&lt;=22%,$BB$11,$BB$80&lt;=24%,$BB$12,$BB$80&lt;=32%,$BB$36,$BB$80&lt;=35%,$BB$37,TRUE,$BB$37),MIN(M82,MAX(0,_xlpm.target-_xlpm.baseTaxable))))</f>
        <v>0</v>
      </c>
      <c r="N85" s="96" cm="1">
        <f t="array" ref="N85">IF(N80=0,0,_xlfn.LET(_xlpm.o,N6+N7+N15,_xlpm.prov,_xlpm.o+N8*0.5,_xlpm.tSS,N8*IF(AND($BB$38&lt;=0,$BB$39&lt;=0),IF(N8&gt;0,0.85,0),IF(_xlpm.prov&lt;$BB$38,0,IF(_xlpm.prov&lt;$BB$39,0.5,0.85))),_xlpm.baseTaxable,MAX(0,_xlpm.o+_xlpm.tSS-$BB$7),_xlpm.target,_xlfn.IFS($BB$80&lt;=12%,$BB$10,$BB$80&lt;=22%,$BB$11,$BB$80&lt;=24%,$BB$12,$BB$80&lt;=32%,$BB$36,$BB$80&lt;=35%,$BB$37,TRUE,$BB$37),MIN(N82,MAX(0,_xlpm.target-_xlpm.baseTaxable))))</f>
        <v>0</v>
      </c>
      <c r="O85" s="96" cm="1">
        <f t="array" ref="O85">IF(O80=0,0,_xlfn.LET(_xlpm.o,O6+O7+O15,_xlpm.prov,_xlpm.o+O8*0.5,_xlpm.tSS,O8*IF(AND($BB$38&lt;=0,$BB$39&lt;=0),IF(O8&gt;0,0.85,0),IF(_xlpm.prov&lt;$BB$38,0,IF(_xlpm.prov&lt;$BB$39,0.5,0.85))),_xlpm.baseTaxable,MAX(0,_xlpm.o+_xlpm.tSS-$BB$7),_xlpm.target,_xlfn.IFS($BB$80&lt;=12%,$BB$10,$BB$80&lt;=22%,$BB$11,$BB$80&lt;=24%,$BB$12,$BB$80&lt;=32%,$BB$36,$BB$80&lt;=35%,$BB$37,TRUE,$BB$37),MIN(O82,MAX(0,_xlpm.target-_xlpm.baseTaxable))))</f>
        <v>0</v>
      </c>
      <c r="P85" s="96" cm="1">
        <f t="array" ref="P85">IF(P80=0,0,_xlfn.LET(_xlpm.o,P6+P7+P15,_xlpm.prov,_xlpm.o+P8*0.5,_xlpm.tSS,P8*IF(AND($BB$38&lt;=0,$BB$39&lt;=0),IF(P8&gt;0,0.85,0),IF(_xlpm.prov&lt;$BB$38,0,IF(_xlpm.prov&lt;$BB$39,0.5,0.85))),_xlpm.baseTaxable,MAX(0,_xlpm.o+_xlpm.tSS-$BB$7),_xlpm.target,_xlfn.IFS($BB$80&lt;=12%,$BB$10,$BB$80&lt;=22%,$BB$11,$BB$80&lt;=24%,$BB$12,$BB$80&lt;=32%,$BB$36,$BB$80&lt;=35%,$BB$37,TRUE,$BB$37),MIN(P82,MAX(0,_xlpm.target-_xlpm.baseTaxable))))</f>
        <v>0</v>
      </c>
      <c r="Q85" s="96" cm="1">
        <f t="array" ref="Q85">IF(Q80=0,0,_xlfn.LET(_xlpm.o,Q6+Q7+Q15,_xlpm.prov,_xlpm.o+Q8*0.5,_xlpm.tSS,Q8*IF(AND($BB$38&lt;=0,$BB$39&lt;=0),IF(Q8&gt;0,0.85,0),IF(_xlpm.prov&lt;$BB$38,0,IF(_xlpm.prov&lt;$BB$39,0.5,0.85))),_xlpm.baseTaxable,MAX(0,_xlpm.o+_xlpm.tSS-$BB$7),_xlpm.target,_xlfn.IFS($BB$80&lt;=12%,$BB$10,$BB$80&lt;=22%,$BB$11,$BB$80&lt;=24%,$BB$12,$BB$80&lt;=32%,$BB$36,$BB$80&lt;=35%,$BB$37,TRUE,$BB$37),MIN(Q82,MAX(0,_xlpm.target-_xlpm.baseTaxable))))</f>
        <v>0</v>
      </c>
      <c r="R85" s="96" cm="1">
        <f t="array" ref="R85">IF(R80=0,0,_xlfn.LET(_xlpm.o,R6+R7+R15,_xlpm.prov,_xlpm.o+R8*0.5,_xlpm.tSS,R8*IF(AND($BB$38&lt;=0,$BB$39&lt;=0),IF(R8&gt;0,0.85,0),IF(_xlpm.prov&lt;$BB$38,0,IF(_xlpm.prov&lt;$BB$39,0.5,0.85))),_xlpm.baseTaxable,MAX(0,_xlpm.o+_xlpm.tSS-$BB$7),_xlpm.target,_xlfn.IFS($BB$80&lt;=12%,$BB$10,$BB$80&lt;=22%,$BB$11,$BB$80&lt;=24%,$BB$12,$BB$80&lt;=32%,$BB$36,$BB$80&lt;=35%,$BB$37,TRUE,$BB$37),MIN(R82,MAX(0,_xlpm.target-_xlpm.baseTaxable))))</f>
        <v>0</v>
      </c>
      <c r="S85" s="96" cm="1">
        <f t="array" ref="S85">IF(S80=0,0,_xlfn.LET(_xlpm.o,S6+S7+S15,_xlpm.prov,_xlpm.o+S8*0.5,_xlpm.tSS,S8*IF(AND($BB$38&lt;=0,$BB$39&lt;=0),IF(S8&gt;0,0.85,0),IF(_xlpm.prov&lt;$BB$38,0,IF(_xlpm.prov&lt;$BB$39,0.5,0.85))),_xlpm.baseTaxable,MAX(0,_xlpm.o+_xlpm.tSS-$BB$7),_xlpm.target,_xlfn.IFS($BB$80&lt;=12%,$BB$10,$BB$80&lt;=22%,$BB$11,$BB$80&lt;=24%,$BB$12,$BB$80&lt;=32%,$BB$36,$BB$80&lt;=35%,$BB$37,TRUE,$BB$37),MIN(S82,MAX(0,_xlpm.target-_xlpm.baseTaxable))))</f>
        <v>0</v>
      </c>
      <c r="T85" s="96" cm="1">
        <f t="array" ref="T85">IF(T80=0,0,_xlfn.LET(_xlpm.o,T6+T7+T15,_xlpm.prov,_xlpm.o+T8*0.5,_xlpm.tSS,T8*IF(AND($BB$38&lt;=0,$BB$39&lt;=0),IF(T8&gt;0,0.85,0),IF(_xlpm.prov&lt;$BB$38,0,IF(_xlpm.prov&lt;$BB$39,0.5,0.85))),_xlpm.baseTaxable,MAX(0,_xlpm.o+_xlpm.tSS-$BB$7),_xlpm.target,_xlfn.IFS($BB$80&lt;=12%,$BB$10,$BB$80&lt;=22%,$BB$11,$BB$80&lt;=24%,$BB$12,$BB$80&lt;=32%,$BB$36,$BB$80&lt;=35%,$BB$37,TRUE,$BB$37),MIN(T82,MAX(0,_xlpm.target-_xlpm.baseTaxable))))</f>
        <v>0</v>
      </c>
      <c r="U85" s="96" cm="1">
        <f t="array" ref="U85">IF(U80=0,0,_xlfn.LET(_xlpm.o,U6+U7+U15,_xlpm.prov,_xlpm.o+U8*0.5,_xlpm.tSS,U8*IF(AND($BB$38&lt;=0,$BB$39&lt;=0),IF(U8&gt;0,0.85,0),IF(_xlpm.prov&lt;$BB$38,0,IF(_xlpm.prov&lt;$BB$39,0.5,0.85))),_xlpm.baseTaxable,MAX(0,_xlpm.o+_xlpm.tSS-$BB$7),_xlpm.target,_xlfn.IFS($BB$80&lt;=12%,$BB$10,$BB$80&lt;=22%,$BB$11,$BB$80&lt;=24%,$BB$12,$BB$80&lt;=32%,$BB$36,$BB$80&lt;=35%,$BB$37,TRUE,$BB$37),MIN(U82,MAX(0,_xlpm.target-_xlpm.baseTaxable))))</f>
        <v>0</v>
      </c>
      <c r="V85" s="96" cm="1">
        <f t="array" ref="V85">IF(V80=0,0,_xlfn.LET(_xlpm.o,V6+V7+V15,_xlpm.prov,_xlpm.o+V8*0.5,_xlpm.tSS,V8*IF(AND($BB$38&lt;=0,$BB$39&lt;=0),IF(V8&gt;0,0.85,0),IF(_xlpm.prov&lt;$BB$38,0,IF(_xlpm.prov&lt;$BB$39,0.5,0.85))),_xlpm.baseTaxable,MAX(0,_xlpm.o+_xlpm.tSS-$BB$7),_xlpm.target,_xlfn.IFS($BB$80&lt;=12%,$BB$10,$BB$80&lt;=22%,$BB$11,$BB$80&lt;=24%,$BB$12,$BB$80&lt;=32%,$BB$36,$BB$80&lt;=35%,$BB$37,TRUE,$BB$37),MIN(V82,MAX(0,_xlpm.target-_xlpm.baseTaxable))))</f>
        <v>0</v>
      </c>
      <c r="W85" s="96" cm="1">
        <f t="array" ref="W85">IF(W80=0,0,_xlfn.LET(_xlpm.o,W6+W7+W15,_xlpm.prov,_xlpm.o+W8*0.5,_xlpm.tSS,W8*IF(AND($BB$38&lt;=0,$BB$39&lt;=0),IF(W8&gt;0,0.85,0),IF(_xlpm.prov&lt;$BB$38,0,IF(_xlpm.prov&lt;$BB$39,0.5,0.85))),_xlpm.baseTaxable,MAX(0,_xlpm.o+_xlpm.tSS-$BB$7),_xlpm.target,_xlfn.IFS($BB$80&lt;=12%,$BB$10,$BB$80&lt;=22%,$BB$11,$BB$80&lt;=24%,$BB$12,$BB$80&lt;=32%,$BB$36,$BB$80&lt;=35%,$BB$37,TRUE,$BB$37),MIN(W82,MAX(0,_xlpm.target-_xlpm.baseTaxable))))</f>
        <v>0</v>
      </c>
      <c r="X85" s="96" cm="1">
        <f t="array" ref="X85">IF(X80=0,0,_xlfn.LET(_xlpm.o,X6+X7+X15,_xlpm.prov,_xlpm.o+X8*0.5,_xlpm.tSS,X8*IF(AND($BB$38&lt;=0,$BB$39&lt;=0),IF(X8&gt;0,0.85,0),IF(_xlpm.prov&lt;$BB$38,0,IF(_xlpm.prov&lt;$BB$39,0.5,0.85))),_xlpm.baseTaxable,MAX(0,_xlpm.o+_xlpm.tSS-$BB$7),_xlpm.target,_xlfn.IFS($BB$80&lt;=12%,$BB$10,$BB$80&lt;=22%,$BB$11,$BB$80&lt;=24%,$BB$12,$BB$80&lt;=32%,$BB$36,$BB$80&lt;=35%,$BB$37,TRUE,$BB$37),MIN(X82,MAX(0,_xlpm.target-_xlpm.baseTaxable))))</f>
        <v>0</v>
      </c>
      <c r="Y85" s="96" cm="1">
        <f t="array" ref="Y85">IF(Y80=0,0,_xlfn.LET(_xlpm.o,Y6+Y7+Y15,_xlpm.prov,_xlpm.o+Y8*0.5,_xlpm.tSS,Y8*IF(AND($BB$38&lt;=0,$BB$39&lt;=0),IF(Y8&gt;0,0.85,0),IF(_xlpm.prov&lt;$BB$38,0,IF(_xlpm.prov&lt;$BB$39,0.5,0.85))),_xlpm.baseTaxable,MAX(0,_xlpm.o+_xlpm.tSS-$BB$7),_xlpm.target,_xlfn.IFS($BB$80&lt;=12%,$BB$10,$BB$80&lt;=22%,$BB$11,$BB$80&lt;=24%,$BB$12,$BB$80&lt;=32%,$BB$36,$BB$80&lt;=35%,$BB$37,TRUE,$BB$37),MIN(Y82,MAX(0,_xlpm.target-_xlpm.baseTaxable))))</f>
        <v>0</v>
      </c>
      <c r="Z85" s="96" cm="1">
        <f t="array" ref="Z85">IF(Z80=0,0,_xlfn.LET(_xlpm.o,Z6+Z7+Z15,_xlpm.prov,_xlpm.o+Z8*0.5,_xlpm.tSS,Z8*IF(AND($BB$38&lt;=0,$BB$39&lt;=0),IF(Z8&gt;0,0.85,0),IF(_xlpm.prov&lt;$BB$38,0,IF(_xlpm.prov&lt;$BB$39,0.5,0.85))),_xlpm.baseTaxable,MAX(0,_xlpm.o+_xlpm.tSS-$BB$7),_xlpm.target,_xlfn.IFS($BB$80&lt;=12%,$BB$10,$BB$80&lt;=22%,$BB$11,$BB$80&lt;=24%,$BB$12,$BB$80&lt;=32%,$BB$36,$BB$80&lt;=35%,$BB$37,TRUE,$BB$37),MIN(Z82,MAX(0,_xlpm.target-_xlpm.baseTaxable))))</f>
        <v>0</v>
      </c>
      <c r="AA85" s="96" cm="1">
        <f t="array" ref="AA85">IF(AA80=0,0,_xlfn.LET(_xlpm.o,AA6+AA7+AA15,_xlpm.prov,_xlpm.o+AA8*0.5,_xlpm.tSS,AA8*IF(AND($BB$38&lt;=0,$BB$39&lt;=0),IF(AA8&gt;0,0.85,0),IF(_xlpm.prov&lt;$BB$38,0,IF(_xlpm.prov&lt;$BB$39,0.5,0.85))),_xlpm.baseTaxable,MAX(0,_xlpm.o+_xlpm.tSS-$BB$7),_xlpm.target,_xlfn.IFS($BB$80&lt;=12%,$BB$10,$BB$80&lt;=22%,$BB$11,$BB$80&lt;=24%,$BB$12,$BB$80&lt;=32%,$BB$36,$BB$80&lt;=35%,$BB$37,TRUE,$BB$37),MIN(AA82,MAX(0,_xlpm.target-_xlpm.baseTaxable))))</f>
        <v>100800</v>
      </c>
      <c r="AB85" s="96" cm="1">
        <f t="array" ref="AB85">IF(AB80=0,0,_xlfn.LET(_xlpm.o,AB6+AB7+AB15,_xlpm.prov,_xlpm.o+AB8*0.5,_xlpm.tSS,AB8*IF(AND($BB$38&lt;=0,$BB$39&lt;=0),IF(AB8&gt;0,0.85,0),IF(_xlpm.prov&lt;$BB$38,0,IF(_xlpm.prov&lt;$BB$39,0.5,0.85))),_xlpm.baseTaxable,MAX(0,_xlpm.o+_xlpm.tSS-$BB$7),_xlpm.target,_xlfn.IFS($BB$80&lt;=12%,$BB$10,$BB$80&lt;=22%,$BB$11,$BB$80&lt;=24%,$BB$12,$BB$80&lt;=32%,$BB$36,$BB$80&lt;=35%,$BB$37,TRUE,$BB$37),MIN(AB82,MAX(0,_xlpm.target-_xlpm.baseTaxable))))</f>
        <v>100800</v>
      </c>
      <c r="AC85" s="96" cm="1">
        <f t="array" ref="AC85">IF(AC80=0,0,_xlfn.LET(_xlpm.o,AC6+AC7+AC15,_xlpm.prov,_xlpm.o+AC8*0.5,_xlpm.tSS,AC8*IF(AND($BB$38&lt;=0,$BB$39&lt;=0),IF(AC8&gt;0,0.85,0),IF(_xlpm.prov&lt;$BB$38,0,IF(_xlpm.prov&lt;$BB$39,0.5,0.85))),_xlpm.baseTaxable,MAX(0,_xlpm.o+_xlpm.tSS-$BB$7),_xlpm.target,_xlfn.IFS($BB$80&lt;=12%,$BB$10,$BB$80&lt;=22%,$BB$11,$BB$80&lt;=24%,$BB$12,$BB$80&lt;=32%,$BB$36,$BB$80&lt;=35%,$BB$37,TRUE,$BB$37),MIN(AC82,MAX(0,_xlpm.target-_xlpm.baseTaxable))))</f>
        <v>100800</v>
      </c>
      <c r="AD85" s="96" cm="1">
        <f t="array" ref="AD85">IF(AD80=0,0,_xlfn.LET(_xlpm.o,AD6+AD7+AD15,_xlpm.prov,_xlpm.o+AD8*0.5,_xlpm.tSS,AD8*IF(AND($BB$38&lt;=0,$BB$39&lt;=0),IF(AD8&gt;0,0.85,0),IF(_xlpm.prov&lt;$BB$38,0,IF(_xlpm.prov&lt;$BB$39,0.5,0.85))),_xlpm.baseTaxable,MAX(0,_xlpm.o+_xlpm.tSS-$BB$7),_xlpm.target,_xlfn.IFS($BB$80&lt;=12%,$BB$10,$BB$80&lt;=22%,$BB$11,$BB$80&lt;=24%,$BB$12,$BB$80&lt;=32%,$BB$36,$BB$80&lt;=35%,$BB$37,TRUE,$BB$37),MIN(AD82,MAX(0,_xlpm.target-_xlpm.baseTaxable))))</f>
        <v>100800</v>
      </c>
      <c r="AE85" s="96" cm="1">
        <f t="array" ref="AE85">IF(AE80=0,0,_xlfn.LET(_xlpm.o,AE6+AE7+AE15,_xlpm.prov,_xlpm.o+AE8*0.5,_xlpm.tSS,AE8*IF(AND($BB$38&lt;=0,$BB$39&lt;=0),IF(AE8&gt;0,0.85,0),IF(_xlpm.prov&lt;$BB$38,0,IF(_xlpm.prov&lt;$BB$39,0.5,0.85))),_xlpm.baseTaxable,MAX(0,_xlpm.o+_xlpm.tSS-$BB$7),_xlpm.target,_xlfn.IFS($BB$80&lt;=12%,$BB$10,$BB$80&lt;=22%,$BB$11,$BB$80&lt;=24%,$BB$12,$BB$80&lt;=32%,$BB$36,$BB$80&lt;=35%,$BB$37,TRUE,$BB$37),MIN(AE82,MAX(0,_xlpm.target-_xlpm.baseTaxable))))</f>
        <v>100800</v>
      </c>
      <c r="AF85" s="96" cm="1">
        <f t="array" ref="AF85">IF(AF80=0,0,_xlfn.LET(_xlpm.o,AF6+AF7+AF15,_xlpm.prov,_xlpm.o+AF8*0.5,_xlpm.tSS,AF8*IF(AND($BB$38&lt;=0,$BB$39&lt;=0),IF(AF8&gt;0,0.85,0),IF(_xlpm.prov&lt;$BB$38,0,IF(_xlpm.prov&lt;$BB$39,0.5,0.85))),_xlpm.baseTaxable,MAX(0,_xlpm.o+_xlpm.tSS-$BB$7),_xlpm.target,_xlfn.IFS($BB$80&lt;=12%,$BB$10,$BB$80&lt;=22%,$BB$11,$BB$80&lt;=24%,$BB$12,$BB$80&lt;=32%,$BB$36,$BB$80&lt;=35%,$BB$37,TRUE,$BB$37),MIN(AF82,MAX(0,_xlpm.target-_xlpm.baseTaxable))))</f>
        <v>100800</v>
      </c>
      <c r="AG85" s="96" cm="1">
        <f t="array" ref="AG85">IF(AG80=0,0,_xlfn.LET(_xlpm.o,AG6+AG7+AG15,_xlpm.prov,_xlpm.o+AG8*0.5,_xlpm.tSS,AG8*IF(AND($BB$38&lt;=0,$BB$39&lt;=0),IF(AG8&gt;0,0.85,0),IF(_xlpm.prov&lt;$BB$38,0,IF(_xlpm.prov&lt;$BB$39,0.5,0.85))),_xlpm.baseTaxable,MAX(0,_xlpm.o+_xlpm.tSS-$BB$7),_xlpm.target,_xlfn.IFS($BB$80&lt;=12%,$BB$10,$BB$80&lt;=22%,$BB$11,$BB$80&lt;=24%,$BB$12,$BB$80&lt;=32%,$BB$36,$BB$80&lt;=35%,$BB$37,TRUE,$BB$37),MIN(AG82,MAX(0,_xlpm.target-_xlpm.baseTaxable))))</f>
        <v>100800</v>
      </c>
      <c r="AH85" s="96" cm="1">
        <f t="array" ref="AH85">IF(AH80=0,0,_xlfn.LET(_xlpm.o,AH6+AH7+AH15,_xlpm.prov,_xlpm.o+AH8*0.5,_xlpm.tSS,AH8*IF(AND($BB$38&lt;=0,$BB$39&lt;=0),IF(AH8&gt;0,0.85,0),IF(_xlpm.prov&lt;$BB$38,0,IF(_xlpm.prov&lt;$BB$39,0.5,0.85))),_xlpm.baseTaxable,MAX(0,_xlpm.o+_xlpm.tSS-$BB$7),_xlpm.target,_xlfn.IFS($BB$80&lt;=12%,$BB$10,$BB$80&lt;=22%,$BB$11,$BB$80&lt;=24%,$BB$12,$BB$80&lt;=32%,$BB$36,$BB$80&lt;=35%,$BB$37,TRUE,$BB$37),MIN(AH82,MAX(0,_xlpm.target-_xlpm.baseTaxable))))</f>
        <v>100800</v>
      </c>
      <c r="AI85" s="96" cm="1">
        <f t="array" ref="AI85">IF(AI80=0,0,_xlfn.LET(_xlpm.o,AI6+AI7+AI15,_xlpm.prov,_xlpm.o+AI8*0.5,_xlpm.tSS,AI8*IF(AND($BB$38&lt;=0,$BB$39&lt;=0),IF(AI8&gt;0,0.85,0),IF(_xlpm.prov&lt;$BB$38,0,IF(_xlpm.prov&lt;$BB$39,0.5,0.85))),_xlpm.baseTaxable,MAX(0,_xlpm.o+_xlpm.tSS-$BB$7),_xlpm.target,_xlfn.IFS($BB$80&lt;=12%,$BB$10,$BB$80&lt;=22%,$BB$11,$BB$80&lt;=24%,$BB$12,$BB$80&lt;=32%,$BB$36,$BB$80&lt;=35%,$BB$37,TRUE,$BB$37),MIN(AI82,MAX(0,_xlpm.target-_xlpm.baseTaxable))))</f>
        <v>100800</v>
      </c>
      <c r="AJ85" s="96" cm="1">
        <f t="array" ref="AJ85">IF(AJ80=0,0,_xlfn.LET(_xlpm.o,AJ6+AJ7+AJ15,_xlpm.prov,_xlpm.o+AJ8*0.5,_xlpm.tSS,AJ8*IF(AND($BB$38&lt;=0,$BB$39&lt;=0),IF(AJ8&gt;0,0.85,0),IF(_xlpm.prov&lt;$BB$38,0,IF(_xlpm.prov&lt;$BB$39,0.5,0.85))),_xlpm.baseTaxable,MAX(0,_xlpm.o+_xlpm.tSS-$BB$7),_xlpm.target,_xlfn.IFS($BB$80&lt;=12%,$BB$10,$BB$80&lt;=22%,$BB$11,$BB$80&lt;=24%,$BB$12,$BB$80&lt;=32%,$BB$36,$BB$80&lt;=35%,$BB$37,TRUE,$BB$37),MIN(AJ82,MAX(0,_xlpm.target-_xlpm.baseTaxable))))</f>
        <v>100800</v>
      </c>
      <c r="AK85" s="96" cm="1">
        <f t="array" ref="AK85">IF(AK80=0,0,_xlfn.LET(_xlpm.o,AK6+AK7+AK15,_xlpm.prov,_xlpm.o+AK8*0.5,_xlpm.tSS,AK8*IF(AND($BB$38&lt;=0,$BB$39&lt;=0),IF(AK8&gt;0,0.85,0),IF(_xlpm.prov&lt;$BB$38,0,IF(_xlpm.prov&lt;$BB$39,0.5,0.85))),_xlpm.baseTaxable,MAX(0,_xlpm.o+_xlpm.tSS-$BB$7),_xlpm.target,_xlfn.IFS($BB$80&lt;=12%,$BB$10,$BB$80&lt;=22%,$BB$11,$BB$80&lt;=24%,$BB$12,$BB$80&lt;=32%,$BB$36,$BB$80&lt;=35%,$BB$37,TRUE,$BB$37),MIN(AK82,MAX(0,_xlpm.target-_xlpm.baseTaxable))))</f>
        <v>100800</v>
      </c>
      <c r="AL85" s="96" cm="1">
        <f t="array" ref="AL85">IF(AL80=0,0,_xlfn.LET(_xlpm.o,AL6+AL7+AL15,_xlpm.prov,_xlpm.o+AL8*0.5,_xlpm.tSS,AL8*IF(AND($BB$38&lt;=0,$BB$39&lt;=0),IF(AL8&gt;0,0.85,0),IF(_xlpm.prov&lt;$BB$38,0,IF(_xlpm.prov&lt;$BB$39,0.5,0.85))),_xlpm.baseTaxable,MAX(0,_xlpm.o+_xlpm.tSS-$BB$7),_xlpm.target,_xlfn.IFS($BB$80&lt;=12%,$BB$10,$BB$80&lt;=22%,$BB$11,$BB$80&lt;=24%,$BB$12,$BB$80&lt;=32%,$BB$36,$BB$80&lt;=35%,$BB$37,TRUE,$BB$37),MIN(AL82,MAX(0,_xlpm.target-_xlpm.baseTaxable))))</f>
        <v>100800</v>
      </c>
      <c r="AM85" s="96" cm="1">
        <f t="array" ref="AM85">IF(AM80=0,0,_xlfn.LET(_xlpm.o,AM6+AM7+AM15,_xlpm.prov,_xlpm.o+AM8*0.5,_xlpm.tSS,AM8*IF(AND($BB$38&lt;=0,$BB$39&lt;=0),IF(AM8&gt;0,0.85,0),IF(_xlpm.prov&lt;$BB$38,0,IF(_xlpm.prov&lt;$BB$39,0.5,0.85))),_xlpm.baseTaxable,MAX(0,_xlpm.o+_xlpm.tSS-$BB$7),_xlpm.target,_xlfn.IFS($BB$80&lt;=12%,$BB$10,$BB$80&lt;=22%,$BB$11,$BB$80&lt;=24%,$BB$12,$BB$80&lt;=32%,$BB$36,$BB$80&lt;=35%,$BB$37,TRUE,$BB$37),MIN(AM82,MAX(0,_xlpm.target-_xlpm.baseTaxable))))</f>
        <v>100800</v>
      </c>
      <c r="AN85" s="96" cm="1">
        <f t="array" ref="AN85">IF(AN80=0,0,_xlfn.LET(_xlpm.o,AN6+AN7+AN15,_xlpm.prov,_xlpm.o+AN8*0.5,_xlpm.tSS,AN8*IF(AND($BB$38&lt;=0,$BB$39&lt;=0),IF(AN8&gt;0,0.85,0),IF(_xlpm.prov&lt;$BB$38,0,IF(_xlpm.prov&lt;$BB$39,0.5,0.85))),_xlpm.baseTaxable,MAX(0,_xlpm.o+_xlpm.tSS-$BB$7),_xlpm.target,_xlfn.IFS($BB$80&lt;=12%,$BB$10,$BB$80&lt;=22%,$BB$11,$BB$80&lt;=24%,$BB$12,$BB$80&lt;=32%,$BB$36,$BB$80&lt;=35%,$BB$37,TRUE,$BB$37),MIN(AN82,MAX(0,_xlpm.target-_xlpm.baseTaxable))))</f>
        <v>100800</v>
      </c>
      <c r="AO85" s="96" cm="1">
        <f t="array" ref="AO85">IF(AO80=0,0,_xlfn.LET(_xlpm.o,AO6+AO7+AO15,_xlpm.prov,_xlpm.o+AO8*0.5,_xlpm.tSS,AO8*IF(AND($BB$38&lt;=0,$BB$39&lt;=0),IF(AO8&gt;0,0.85,0),IF(_xlpm.prov&lt;$BB$38,0,IF(_xlpm.prov&lt;$BB$39,0.5,0.85))),_xlpm.baseTaxable,MAX(0,_xlpm.o+_xlpm.tSS-$BB$7),_xlpm.target,_xlfn.IFS($BB$80&lt;=12%,$BB$10,$BB$80&lt;=22%,$BB$11,$BB$80&lt;=24%,$BB$12,$BB$80&lt;=32%,$BB$36,$BB$80&lt;=35%,$BB$37,TRUE,$BB$37),MIN(AO82,MAX(0,_xlpm.target-_xlpm.baseTaxable))))</f>
        <v>11675.751311005297</v>
      </c>
      <c r="AP85" s="96" cm="1">
        <f t="array" ref="AP85">IF(AP80=0,0,_xlfn.LET(_xlpm.o,AP6+AP7+AP15,_xlpm.prov,_xlpm.o+AP8*0.5,_xlpm.tSS,AP8*IF(AND($BB$38&lt;=0,$BB$39&lt;=0),IF(AP8&gt;0,0.85,0),IF(_xlpm.prov&lt;$BB$38,0,IF(_xlpm.prov&lt;$BB$39,0.5,0.85))),_xlpm.baseTaxable,MAX(0,_xlpm.o+_xlpm.tSS-$BB$7),_xlpm.target,_xlfn.IFS($BB$80&lt;=12%,$BB$10,$BB$80&lt;=22%,$BB$11,$BB$80&lt;=24%,$BB$12,$BB$80&lt;=32%,$BB$36,$BB$80&lt;=35%,$BB$37,TRUE,$BB$37),MIN(AP82,MAX(0,_xlpm.target-_xlpm.baseTaxable))))</f>
        <v>7556.0741550535313</v>
      </c>
      <c r="AQ85" s="96" cm="1">
        <f t="array" ref="AQ85">IF(AQ80=0,0,_xlfn.LET(_xlpm.o,AQ6+AQ7+AQ15,_xlpm.prov,_xlpm.o+AQ8*0.5,_xlpm.tSS,AQ8*IF(AND($BB$38&lt;=0,$BB$39&lt;=0),IF(AQ8&gt;0,0.85,0),IF(_xlpm.prov&lt;$BB$38,0,IF(_xlpm.prov&lt;$BB$39,0.5,0.85))),_xlpm.baseTaxable,MAX(0,_xlpm.o+_xlpm.tSS-$BB$7),_xlpm.target,_xlfn.IFS($BB$80&lt;=12%,$BB$10,$BB$80&lt;=22%,$BB$11,$BB$80&lt;=24%,$BB$12,$BB$80&lt;=32%,$BB$36,$BB$80&lt;=35%,$BB$37,TRUE,$BB$37),MIN(AQ82,MAX(0,_xlpm.target-_xlpm.baseTaxable))))</f>
        <v>3549.817815205286</v>
      </c>
      <c r="AR85" s="96" cm="1">
        <f t="array" ref="AR85">IF(AR80=0,0,_xlfn.LET(_xlpm.o,AR6+AR7+AR15,_xlpm.prov,_xlpm.o+AR8*0.5,_xlpm.tSS,AR8*IF(AND($BB$38&lt;=0,$BB$39&lt;=0),IF(AR8&gt;0,0.85,0),IF(_xlpm.prov&lt;$BB$38,0,IF(_xlpm.prov&lt;$BB$39,0.5,0.85))),_xlpm.baseTaxable,MAX(0,_xlpm.o+_xlpm.tSS-$BB$7),_xlpm.target,_xlfn.IFS($BB$80&lt;=12%,$BB$10,$BB$80&lt;=22%,$BB$11,$BB$80&lt;=24%,$BB$12,$BB$80&lt;=32%,$BB$36,$BB$80&lt;=35%,$BB$37,TRUE,$BB$37),MIN(AR82,MAX(0,_xlpm.target-_xlpm.baseTaxable))))</f>
        <v>0</v>
      </c>
      <c r="AS85" s="96" cm="1">
        <f t="array" ref="AS85">IF(AS80=0,0,_xlfn.LET(_xlpm.o,AS6+AS7+AS15,_xlpm.prov,_xlpm.o+AS8*0.5,_xlpm.tSS,AS8*IF(AND($BB$38&lt;=0,$BB$39&lt;=0),IF(AS8&gt;0,0.85,0),IF(_xlpm.prov&lt;$BB$38,0,IF(_xlpm.prov&lt;$BB$39,0.5,0.85))),_xlpm.baseTaxable,MAX(0,_xlpm.o+_xlpm.tSS-$BB$7),_xlpm.target,_xlfn.IFS($BB$80&lt;=12%,$BB$10,$BB$80&lt;=22%,$BB$11,$BB$80&lt;=24%,$BB$12,$BB$80&lt;=32%,$BB$36,$BB$80&lt;=35%,$BB$37,TRUE,$BB$37),MIN(AS82,MAX(0,_xlpm.target-_xlpm.baseTaxable))))</f>
        <v>0</v>
      </c>
      <c r="AT85" s="96" cm="1">
        <f t="array" ref="AT85">IF(AT80=0,0,_xlfn.LET(_xlpm.o,AT6+AT7+AT15,_xlpm.prov,_xlpm.o+AT8*0.5,_xlpm.tSS,AT8*IF(AND($BB$38&lt;=0,$BB$39&lt;=0),IF(AT8&gt;0,0.85,0),IF(_xlpm.prov&lt;$BB$38,0,IF(_xlpm.prov&lt;$BB$39,0.5,0.85))),_xlpm.baseTaxable,MAX(0,_xlpm.o+_xlpm.tSS-$BB$7),_xlpm.target,_xlfn.IFS($BB$80&lt;=12%,$BB$10,$BB$80&lt;=22%,$BB$11,$BB$80&lt;=24%,$BB$12,$BB$80&lt;=32%,$BB$36,$BB$80&lt;=35%,$BB$37,TRUE,$BB$37),MIN(AT82,MAX(0,_xlpm.target-_xlpm.baseTaxable))))</f>
        <v>0</v>
      </c>
      <c r="AU85" s="96" cm="1">
        <f t="array" ref="AU85">IF(AU80=0,0,_xlfn.LET(_xlpm.o,AU6+AU7+AU15,_xlpm.prov,_xlpm.o+AU8*0.5,_xlpm.tSS,AU8*IF(AND($BB$38&lt;=0,$BB$39&lt;=0),IF(AU8&gt;0,0.85,0),IF(_xlpm.prov&lt;$BB$38,0,IF(_xlpm.prov&lt;$BB$39,0.5,0.85))),_xlpm.baseTaxable,MAX(0,_xlpm.o+_xlpm.tSS-$BB$7),_xlpm.target,_xlfn.IFS($BB$80&lt;=12%,$BB$10,$BB$80&lt;=22%,$BB$11,$BB$80&lt;=24%,$BB$12,$BB$80&lt;=32%,$BB$36,$BB$80&lt;=35%,$BB$37,TRUE,$BB$37),MIN(AU82,MAX(0,_xlpm.target-_xlpm.baseTaxable))))</f>
        <v>0</v>
      </c>
      <c r="AV85" s="96" cm="1">
        <f t="array" ref="AV85">IF(AV80=0,0,_xlfn.LET(_xlpm.o,AV6+AV7+AV15,_xlpm.prov,_xlpm.o+AV8*0.5,_xlpm.tSS,AV8*IF(AND($BB$38&lt;=0,$BB$39&lt;=0),IF(AV8&gt;0,0.85,0),IF(_xlpm.prov&lt;$BB$38,0,IF(_xlpm.prov&lt;$BB$39,0.5,0.85))),_xlpm.baseTaxable,MAX(0,_xlpm.o+_xlpm.tSS-$BB$7),_xlpm.target,_xlfn.IFS($BB$80&lt;=12%,$BB$10,$BB$80&lt;=22%,$BB$11,$BB$80&lt;=24%,$BB$12,$BB$80&lt;=32%,$BB$36,$BB$80&lt;=35%,$BB$37,TRUE,$BB$37),MIN(AV82,MAX(0,_xlpm.target-_xlpm.baseTaxable))))</f>
        <v>0</v>
      </c>
      <c r="AW85" s="96" cm="1">
        <f t="array" ref="AW85">IF(AW80=0,0,_xlfn.LET(_xlpm.o,AW6+AW7+AW15,_xlpm.prov,_xlpm.o+AW8*0.5,_xlpm.tSS,AW8*IF(AND($BB$38&lt;=0,$BB$39&lt;=0),IF(AW8&gt;0,0.85,0),IF(_xlpm.prov&lt;$BB$38,0,IF(_xlpm.prov&lt;$BB$39,0.5,0.85))),_xlpm.baseTaxable,MAX(0,_xlpm.o+_xlpm.tSS-$BB$7),_xlpm.target,_xlfn.IFS($BB$80&lt;=12%,$BB$10,$BB$80&lt;=22%,$BB$11,$BB$80&lt;=24%,$BB$12,$BB$80&lt;=32%,$BB$36,$BB$80&lt;=35%,$BB$37,TRUE,$BB$37),MIN(AW82,MAX(0,_xlpm.target-_xlpm.baseTaxable))))</f>
        <v>0</v>
      </c>
      <c r="AX85" s="96" cm="1">
        <f t="array" ref="AX85">IF(AX80=0,0,_xlfn.LET(_xlpm.o,AX6+AX7+AX15,_xlpm.prov,_xlpm.o+AX8*0.5,_xlpm.tSS,AX8*IF(AND($BB$38&lt;=0,$BB$39&lt;=0),IF(AX8&gt;0,0.85,0),IF(_xlpm.prov&lt;$BB$38,0,IF(_xlpm.prov&lt;$BB$39,0.5,0.85))),_xlpm.baseTaxable,MAX(0,_xlpm.o+_xlpm.tSS-$BB$7),_xlpm.target,_xlfn.IFS($BB$80&lt;=12%,$BB$10,$BB$80&lt;=22%,$BB$11,$BB$80&lt;=24%,$BB$12,$BB$80&lt;=32%,$BB$36,$BB$80&lt;=35%,$BB$37,TRUE,$BB$37),MIN(AX82,MAX(0,_xlpm.target-_xlpm.baseTaxable))))</f>
        <v>0</v>
      </c>
      <c r="AY85" s="96" cm="1">
        <f t="array" ref="AY85">IF(AY80=0,0,_xlfn.LET(_xlpm.o,AY6+AY7+AY15,_xlpm.prov,_xlpm.o+AY8*0.5,_xlpm.tSS,AY8*IF(AND($BB$38&lt;=0,$BB$39&lt;=0),IF(AY8&gt;0,0.85,0),IF(_xlpm.prov&lt;$BB$38,0,IF(_xlpm.prov&lt;$BB$39,0.5,0.85))),_xlpm.baseTaxable,MAX(0,_xlpm.o+_xlpm.tSS-$BB$7),_xlpm.target,_xlfn.IFS($BB$80&lt;=12%,$BB$10,$BB$80&lt;=22%,$BB$11,$BB$80&lt;=24%,$BB$12,$BB$80&lt;=32%,$BB$36,$BB$80&lt;=35%,$BB$37,TRUE,$BB$37),MIN(AY82,MAX(0,_xlpm.target-_xlpm.baseTaxable))))</f>
        <v>0</v>
      </c>
      <c r="BA85" s="188"/>
      <c r="BB85" s="188"/>
      <c r="BC85" s="188"/>
      <c r="BD85" s="188"/>
    </row>
    <row r="86" spans="1:56" ht="28.8" hidden="1" x14ac:dyDescent="0.55000000000000004">
      <c r="A86" s="161" t="s">
        <v>347</v>
      </c>
      <c r="B86" s="161" t="s">
        <v>637</v>
      </c>
      <c r="C86" s="162" t="s">
        <v>638</v>
      </c>
      <c r="D86" s="96">
        <f>IF(D80=0,0,IF(D4&lt;$BB$82,D85,MIN(D85,MAX(0,$BB$8-(D6+D7+D15+D8+D21)))))</f>
        <v>0</v>
      </c>
      <c r="E86" s="96">
        <f t="shared" ref="E86:AY86" si="124">IF(E80=0,0,IF(E4&lt;$BB$82,E85,MIN(E85,MAX(0,$BB$8-(E6+E7+E15+E8+E21)))))</f>
        <v>0</v>
      </c>
      <c r="F86" s="96">
        <f t="shared" si="124"/>
        <v>0</v>
      </c>
      <c r="G86" s="96">
        <f t="shared" si="124"/>
        <v>0</v>
      </c>
      <c r="H86" s="96">
        <f t="shared" si="124"/>
        <v>0</v>
      </c>
      <c r="I86" s="96">
        <f t="shared" si="124"/>
        <v>0</v>
      </c>
      <c r="J86" s="96">
        <f t="shared" si="124"/>
        <v>0</v>
      </c>
      <c r="K86" s="96">
        <f t="shared" si="124"/>
        <v>0</v>
      </c>
      <c r="L86" s="96">
        <f t="shared" si="124"/>
        <v>0</v>
      </c>
      <c r="M86" s="96">
        <f t="shared" si="124"/>
        <v>0</v>
      </c>
      <c r="N86" s="96">
        <f t="shared" si="124"/>
        <v>0</v>
      </c>
      <c r="O86" s="96">
        <f t="shared" si="124"/>
        <v>0</v>
      </c>
      <c r="P86" s="96">
        <f t="shared" si="124"/>
        <v>0</v>
      </c>
      <c r="Q86" s="96">
        <f t="shared" si="124"/>
        <v>0</v>
      </c>
      <c r="R86" s="96">
        <f t="shared" si="124"/>
        <v>0</v>
      </c>
      <c r="S86" s="96">
        <f t="shared" si="124"/>
        <v>0</v>
      </c>
      <c r="T86" s="96">
        <f t="shared" si="124"/>
        <v>0</v>
      </c>
      <c r="U86" s="96">
        <f t="shared" si="124"/>
        <v>0</v>
      </c>
      <c r="V86" s="96">
        <f t="shared" si="124"/>
        <v>0</v>
      </c>
      <c r="W86" s="96">
        <f t="shared" si="124"/>
        <v>0</v>
      </c>
      <c r="X86" s="96">
        <f t="shared" si="124"/>
        <v>0</v>
      </c>
      <c r="Y86" s="96">
        <f t="shared" si="124"/>
        <v>0</v>
      </c>
      <c r="Z86" s="96">
        <f t="shared" si="124"/>
        <v>0</v>
      </c>
      <c r="AA86" s="96">
        <f t="shared" si="124"/>
        <v>100800</v>
      </c>
      <c r="AB86" s="96">
        <f t="shared" si="124"/>
        <v>100800</v>
      </c>
      <c r="AC86" s="96">
        <f t="shared" si="124"/>
        <v>100800</v>
      </c>
      <c r="AD86" s="96">
        <f t="shared" si="124"/>
        <v>100800</v>
      </c>
      <c r="AE86" s="96">
        <f t="shared" si="124"/>
        <v>100800</v>
      </c>
      <c r="AF86" s="96">
        <f t="shared" si="124"/>
        <v>100800</v>
      </c>
      <c r="AG86" s="96">
        <f t="shared" si="124"/>
        <v>100800</v>
      </c>
      <c r="AH86" s="96">
        <f t="shared" si="124"/>
        <v>100800</v>
      </c>
      <c r="AI86" s="96">
        <f t="shared" si="124"/>
        <v>100800</v>
      </c>
      <c r="AJ86" s="96">
        <f t="shared" si="124"/>
        <v>100800</v>
      </c>
      <c r="AK86" s="96">
        <f t="shared" si="124"/>
        <v>100800</v>
      </c>
      <c r="AL86" s="96">
        <f t="shared" si="124"/>
        <v>100800</v>
      </c>
      <c r="AM86" s="96">
        <f t="shared" si="124"/>
        <v>100800</v>
      </c>
      <c r="AN86" s="96">
        <f t="shared" si="124"/>
        <v>100800</v>
      </c>
      <c r="AO86" s="96">
        <f t="shared" si="124"/>
        <v>11675.751311005297</v>
      </c>
      <c r="AP86" s="96">
        <f t="shared" si="124"/>
        <v>7556.0741550535313</v>
      </c>
      <c r="AQ86" s="96">
        <f t="shared" si="124"/>
        <v>3549.817815205286</v>
      </c>
      <c r="AR86" s="96">
        <f t="shared" si="124"/>
        <v>0</v>
      </c>
      <c r="AS86" s="96">
        <f t="shared" si="124"/>
        <v>0</v>
      </c>
      <c r="AT86" s="96">
        <f t="shared" si="124"/>
        <v>0</v>
      </c>
      <c r="AU86" s="96">
        <f t="shared" si="124"/>
        <v>0</v>
      </c>
      <c r="AV86" s="96">
        <f t="shared" si="124"/>
        <v>0</v>
      </c>
      <c r="AW86" s="96">
        <f t="shared" si="124"/>
        <v>0</v>
      </c>
      <c r="AX86" s="96">
        <f t="shared" si="124"/>
        <v>0</v>
      </c>
      <c r="AY86" s="96">
        <f t="shared" si="124"/>
        <v>0</v>
      </c>
      <c r="BA86" s="188"/>
      <c r="BB86" s="188"/>
      <c r="BC86" s="188"/>
      <c r="BD86" s="188"/>
    </row>
    <row r="87" spans="1:56" hidden="1" x14ac:dyDescent="0.55000000000000004">
      <c r="A87" s="161" t="s">
        <v>347</v>
      </c>
      <c r="B87" s="161" t="s">
        <v>639</v>
      </c>
      <c r="C87" s="162" t="s">
        <v>640</v>
      </c>
      <c r="D87" s="96">
        <f>IF(D80=0,0,D82)</f>
        <v>0</v>
      </c>
      <c r="E87" s="96">
        <f t="shared" ref="E87:AY87" si="125">IF(E80=0,0,E82)</f>
        <v>0</v>
      </c>
      <c r="F87" s="96">
        <f t="shared" si="125"/>
        <v>0</v>
      </c>
      <c r="G87" s="96">
        <f t="shared" si="125"/>
        <v>0</v>
      </c>
      <c r="H87" s="96">
        <f t="shared" si="125"/>
        <v>0</v>
      </c>
      <c r="I87" s="96">
        <f t="shared" si="125"/>
        <v>0</v>
      </c>
      <c r="J87" s="96">
        <f t="shared" si="125"/>
        <v>0</v>
      </c>
      <c r="K87" s="96">
        <f t="shared" si="125"/>
        <v>0</v>
      </c>
      <c r="L87" s="96">
        <f t="shared" si="125"/>
        <v>0</v>
      </c>
      <c r="M87" s="96">
        <f t="shared" si="125"/>
        <v>0</v>
      </c>
      <c r="N87" s="96">
        <f t="shared" si="125"/>
        <v>0</v>
      </c>
      <c r="O87" s="96">
        <f t="shared" si="125"/>
        <v>0</v>
      </c>
      <c r="P87" s="96">
        <f t="shared" si="125"/>
        <v>0</v>
      </c>
      <c r="Q87" s="96">
        <f t="shared" si="125"/>
        <v>0</v>
      </c>
      <c r="R87" s="96">
        <f t="shared" si="125"/>
        <v>0</v>
      </c>
      <c r="S87" s="96">
        <f t="shared" si="125"/>
        <v>0</v>
      </c>
      <c r="T87" s="96">
        <f t="shared" si="125"/>
        <v>0</v>
      </c>
      <c r="U87" s="96">
        <f t="shared" si="125"/>
        <v>0</v>
      </c>
      <c r="V87" s="96">
        <f t="shared" si="125"/>
        <v>0</v>
      </c>
      <c r="W87" s="96">
        <f t="shared" si="125"/>
        <v>0</v>
      </c>
      <c r="X87" s="96">
        <f t="shared" si="125"/>
        <v>0</v>
      </c>
      <c r="Y87" s="96">
        <f t="shared" si="125"/>
        <v>0</v>
      </c>
      <c r="Z87" s="96">
        <f t="shared" si="125"/>
        <v>0</v>
      </c>
      <c r="AA87" s="96">
        <f t="shared" si="125"/>
        <v>818374.24650655861</v>
      </c>
      <c r="AB87" s="96">
        <f t="shared" si="125"/>
        <v>867476.7012969522</v>
      </c>
      <c r="AC87" s="96">
        <f t="shared" si="125"/>
        <v>919525.3033747694</v>
      </c>
      <c r="AD87" s="96">
        <f t="shared" si="125"/>
        <v>974696.82157725561</v>
      </c>
      <c r="AE87" s="96">
        <f t="shared" si="125"/>
        <v>1033178.630871891</v>
      </c>
      <c r="AF87" s="96">
        <f t="shared" si="125"/>
        <v>1095169.3487242046</v>
      </c>
      <c r="AG87" s="96">
        <f t="shared" si="125"/>
        <v>1160879.5096476569</v>
      </c>
      <c r="AH87" s="96">
        <f t="shared" si="125"/>
        <v>1230532.2802265163</v>
      </c>
      <c r="AI87" s="96">
        <f t="shared" si="125"/>
        <v>1304364.2170401074</v>
      </c>
      <c r="AJ87" s="96">
        <f t="shared" si="125"/>
        <v>1382626.0700625139</v>
      </c>
      <c r="AK87" s="96">
        <f t="shared" si="125"/>
        <v>1465583.6342662647</v>
      </c>
      <c r="AL87" s="96">
        <f t="shared" si="125"/>
        <v>1553518.6523222406</v>
      </c>
      <c r="AM87" s="96">
        <f t="shared" si="125"/>
        <v>1646729.7714615751</v>
      </c>
      <c r="AN87" s="96">
        <f t="shared" si="125"/>
        <v>1745533.5577492698</v>
      </c>
      <c r="AO87" s="96">
        <f t="shared" si="125"/>
        <v>1779308.9225252313</v>
      </c>
      <c r="AP87" s="96">
        <f t="shared" si="125"/>
        <v>1810991.1320317986</v>
      </c>
      <c r="AQ87" s="96">
        <f t="shared" si="125"/>
        <v>1840568.017768912</v>
      </c>
      <c r="AR87" s="96">
        <f t="shared" si="125"/>
        <v>1867339.9162091871</v>
      </c>
      <c r="AS87" s="96">
        <f t="shared" si="125"/>
        <v>1890880.7890865165</v>
      </c>
      <c r="AT87" s="96">
        <f t="shared" si="125"/>
        <v>1910725.6765759394</v>
      </c>
      <c r="AU87" s="96">
        <f t="shared" si="125"/>
        <v>1926878.202914004</v>
      </c>
      <c r="AV87" s="96">
        <f t="shared" si="125"/>
        <v>1938335.3165529522</v>
      </c>
      <c r="AW87" s="96">
        <f t="shared" si="125"/>
        <v>1945124.9656843808</v>
      </c>
      <c r="AX87" s="96">
        <f t="shared" si="125"/>
        <v>1946051.2156680403</v>
      </c>
      <c r="AY87" s="96">
        <f t="shared" si="125"/>
        <v>1941186.0876288703</v>
      </c>
      <c r="BA87" s="188"/>
      <c r="BB87" s="188"/>
      <c r="BC87" s="188"/>
      <c r="BD87" s="188"/>
    </row>
    <row r="88" spans="1:56" hidden="1" x14ac:dyDescent="0.55000000000000004">
      <c r="A88" s="161" t="s">
        <v>347</v>
      </c>
      <c r="B88" s="161" t="s">
        <v>641</v>
      </c>
      <c r="C88" s="162" t="s">
        <v>642</v>
      </c>
      <c r="D88" s="96">
        <v>0</v>
      </c>
      <c r="E88" s="96">
        <v>0</v>
      </c>
      <c r="F88" s="96">
        <v>0</v>
      </c>
      <c r="G88" s="96">
        <v>0</v>
      </c>
      <c r="H88" s="96">
        <v>0</v>
      </c>
      <c r="I88" s="96">
        <v>0</v>
      </c>
      <c r="J88" s="96">
        <v>0</v>
      </c>
      <c r="K88" s="96">
        <v>0</v>
      </c>
      <c r="L88" s="96">
        <v>0</v>
      </c>
      <c r="M88" s="96">
        <v>0</v>
      </c>
      <c r="N88" s="96">
        <v>0</v>
      </c>
      <c r="O88" s="96">
        <v>0</v>
      </c>
      <c r="P88" s="96">
        <v>0</v>
      </c>
      <c r="Q88" s="96">
        <v>0</v>
      </c>
      <c r="R88" s="96">
        <v>0</v>
      </c>
      <c r="S88" s="96">
        <v>0</v>
      </c>
      <c r="T88" s="96">
        <v>0</v>
      </c>
      <c r="U88" s="96">
        <v>0</v>
      </c>
      <c r="V88" s="96">
        <v>0</v>
      </c>
      <c r="W88" s="96">
        <v>0</v>
      </c>
      <c r="X88" s="96">
        <v>0</v>
      </c>
      <c r="Y88" s="96">
        <v>0</v>
      </c>
      <c r="Z88" s="96">
        <v>0</v>
      </c>
      <c r="AA88" s="96">
        <v>0</v>
      </c>
      <c r="AB88" s="96">
        <v>0</v>
      </c>
      <c r="AC88" s="96">
        <v>0</v>
      </c>
      <c r="AD88" s="96">
        <v>0</v>
      </c>
      <c r="AE88" s="96">
        <v>0</v>
      </c>
      <c r="AF88" s="96">
        <v>0</v>
      </c>
      <c r="AG88" s="96">
        <v>0</v>
      </c>
      <c r="AH88" s="96">
        <v>0</v>
      </c>
      <c r="AI88" s="96">
        <v>0</v>
      </c>
      <c r="AJ88" s="96">
        <v>0</v>
      </c>
      <c r="AK88" s="96">
        <v>0</v>
      </c>
      <c r="AL88" s="96">
        <v>0</v>
      </c>
      <c r="AM88" s="96">
        <v>0</v>
      </c>
      <c r="AN88" s="96">
        <v>0</v>
      </c>
      <c r="AO88" s="96">
        <v>0</v>
      </c>
      <c r="AP88" s="96">
        <v>0</v>
      </c>
      <c r="AQ88" s="96">
        <v>0</v>
      </c>
      <c r="AR88" s="96">
        <v>0</v>
      </c>
      <c r="AS88" s="96">
        <v>0</v>
      </c>
      <c r="AT88" s="96">
        <v>0</v>
      </c>
      <c r="AU88" s="96">
        <v>0</v>
      </c>
      <c r="AV88" s="96">
        <v>0</v>
      </c>
      <c r="AW88" s="96">
        <v>0</v>
      </c>
      <c r="AX88" s="96">
        <v>0</v>
      </c>
      <c r="AY88" s="96">
        <v>0</v>
      </c>
      <c r="BA88" s="188"/>
      <c r="BB88" s="188"/>
      <c r="BC88" s="188"/>
      <c r="BD88" s="188"/>
    </row>
    <row r="89" spans="1:56" ht="28.8" hidden="1" x14ac:dyDescent="0.55000000000000004">
      <c r="A89" s="161" t="s">
        <v>347</v>
      </c>
      <c r="B89" s="161" t="s">
        <v>643</v>
      </c>
      <c r="C89" s="162" t="s">
        <v>644</v>
      </c>
      <c r="D89" s="96">
        <f>D85*D84-(D105-D104)-D108</f>
        <v>0</v>
      </c>
      <c r="E89" s="96">
        <f t="shared" ref="E89:AY89" si="126">E85*E84-(E105-E104)-E108</f>
        <v>0</v>
      </c>
      <c r="F89" s="96">
        <f t="shared" si="126"/>
        <v>0</v>
      </c>
      <c r="G89" s="96">
        <f t="shared" si="126"/>
        <v>0</v>
      </c>
      <c r="H89" s="96">
        <f t="shared" si="126"/>
        <v>0</v>
      </c>
      <c r="I89" s="96">
        <f t="shared" si="126"/>
        <v>0</v>
      </c>
      <c r="J89" s="96">
        <f t="shared" si="126"/>
        <v>0</v>
      </c>
      <c r="K89" s="96">
        <f t="shared" si="126"/>
        <v>0</v>
      </c>
      <c r="L89" s="96">
        <f t="shared" si="126"/>
        <v>0</v>
      </c>
      <c r="M89" s="96">
        <f t="shared" si="126"/>
        <v>0</v>
      </c>
      <c r="N89" s="96">
        <f t="shared" si="126"/>
        <v>0</v>
      </c>
      <c r="O89" s="96">
        <f t="shared" si="126"/>
        <v>0</v>
      </c>
      <c r="P89" s="96">
        <f t="shared" si="126"/>
        <v>0</v>
      </c>
      <c r="Q89" s="96">
        <f t="shared" si="126"/>
        <v>0</v>
      </c>
      <c r="R89" s="96">
        <f t="shared" si="126"/>
        <v>0</v>
      </c>
      <c r="S89" s="96">
        <f t="shared" si="126"/>
        <v>0</v>
      </c>
      <c r="T89" s="96">
        <f t="shared" si="126"/>
        <v>0</v>
      </c>
      <c r="U89" s="96">
        <f t="shared" si="126"/>
        <v>0</v>
      </c>
      <c r="V89" s="96">
        <f t="shared" si="126"/>
        <v>0</v>
      </c>
      <c r="W89" s="96">
        <f t="shared" si="126"/>
        <v>0</v>
      </c>
      <c r="X89" s="96">
        <f t="shared" si="126"/>
        <v>0</v>
      </c>
      <c r="Y89" s="96">
        <f t="shared" si="126"/>
        <v>0</v>
      </c>
      <c r="Z89" s="96">
        <f t="shared" si="126"/>
        <v>0</v>
      </c>
      <c r="AA89" s="96">
        <f t="shared" si="126"/>
        <v>3655</v>
      </c>
      <c r="AB89" s="96">
        <f t="shared" si="126"/>
        <v>3655</v>
      </c>
      <c r="AC89" s="96">
        <f t="shared" si="126"/>
        <v>3655</v>
      </c>
      <c r="AD89" s="96">
        <f t="shared" si="126"/>
        <v>4360</v>
      </c>
      <c r="AE89" s="96">
        <f t="shared" si="126"/>
        <v>-7250.872000000003</v>
      </c>
      <c r="AF89" s="96">
        <f t="shared" si="126"/>
        <v>-5150.872000000003</v>
      </c>
      <c r="AG89" s="96">
        <f t="shared" si="126"/>
        <v>-3500.8720000000012</v>
      </c>
      <c r="AH89" s="96">
        <f t="shared" si="126"/>
        <v>-3500.8720000000012</v>
      </c>
      <c r="AI89" s="96">
        <f t="shared" si="126"/>
        <v>-3500.8720000000012</v>
      </c>
      <c r="AJ89" s="96">
        <f t="shared" si="126"/>
        <v>-3500.8720000000012</v>
      </c>
      <c r="AK89" s="96">
        <f t="shared" si="126"/>
        <v>-3500.8720000000012</v>
      </c>
      <c r="AL89" s="96">
        <f t="shared" si="126"/>
        <v>-3500.8720000000012</v>
      </c>
      <c r="AM89" s="96">
        <f t="shared" si="126"/>
        <v>-3500.8720000000012</v>
      </c>
      <c r="AN89" s="96">
        <f t="shared" si="126"/>
        <v>-3500.8720000000012</v>
      </c>
      <c r="AO89" s="96">
        <f t="shared" si="126"/>
        <v>0</v>
      </c>
      <c r="AP89" s="96">
        <f t="shared" si="126"/>
        <v>5.6843418860808015E-13</v>
      </c>
      <c r="AQ89" s="96">
        <f t="shared" si="126"/>
        <v>-9.6633812063373625E-13</v>
      </c>
      <c r="AR89" s="96">
        <f t="shared" si="126"/>
        <v>0</v>
      </c>
      <c r="AS89" s="96">
        <f t="shared" si="126"/>
        <v>0</v>
      </c>
      <c r="AT89" s="96">
        <f t="shared" si="126"/>
        <v>0</v>
      </c>
      <c r="AU89" s="96">
        <f t="shared" si="126"/>
        <v>0</v>
      </c>
      <c r="AV89" s="96">
        <f t="shared" si="126"/>
        <v>0</v>
      </c>
      <c r="AW89" s="96">
        <f t="shared" si="126"/>
        <v>0</v>
      </c>
      <c r="AX89" s="96">
        <f t="shared" si="126"/>
        <v>0</v>
      </c>
      <c r="AY89" s="96">
        <f t="shared" si="126"/>
        <v>0</v>
      </c>
      <c r="BA89" s="188"/>
      <c r="BB89" s="188"/>
      <c r="BC89" s="188"/>
      <c r="BD89" s="188"/>
    </row>
    <row r="90" spans="1:56" ht="28.8" hidden="1" x14ac:dyDescent="0.55000000000000004">
      <c r="A90" s="161" t="s">
        <v>347</v>
      </c>
      <c r="B90" s="161" t="s">
        <v>645</v>
      </c>
      <c r="C90" s="162" t="s">
        <v>644</v>
      </c>
      <c r="D90" s="96">
        <f>D86*D84-(D106-D104)-D109</f>
        <v>0</v>
      </c>
      <c r="E90" s="96">
        <f t="shared" ref="E90:AY90" si="127">E86*E84-(E106-E104)-E109</f>
        <v>0</v>
      </c>
      <c r="F90" s="96">
        <f t="shared" si="127"/>
        <v>0</v>
      </c>
      <c r="G90" s="96">
        <f t="shared" si="127"/>
        <v>0</v>
      </c>
      <c r="H90" s="96">
        <f t="shared" si="127"/>
        <v>0</v>
      </c>
      <c r="I90" s="96">
        <f t="shared" si="127"/>
        <v>0</v>
      </c>
      <c r="J90" s="96">
        <f t="shared" si="127"/>
        <v>0</v>
      </c>
      <c r="K90" s="96">
        <f t="shared" si="127"/>
        <v>0</v>
      </c>
      <c r="L90" s="96">
        <f t="shared" si="127"/>
        <v>0</v>
      </c>
      <c r="M90" s="96">
        <f t="shared" si="127"/>
        <v>0</v>
      </c>
      <c r="N90" s="96">
        <f t="shared" si="127"/>
        <v>0</v>
      </c>
      <c r="O90" s="96">
        <f t="shared" si="127"/>
        <v>0</v>
      </c>
      <c r="P90" s="96">
        <f t="shared" si="127"/>
        <v>0</v>
      </c>
      <c r="Q90" s="96">
        <f t="shared" si="127"/>
        <v>0</v>
      </c>
      <c r="R90" s="96">
        <f t="shared" si="127"/>
        <v>0</v>
      </c>
      <c r="S90" s="96">
        <f t="shared" si="127"/>
        <v>0</v>
      </c>
      <c r="T90" s="96">
        <f t="shared" si="127"/>
        <v>0</v>
      </c>
      <c r="U90" s="96">
        <f t="shared" si="127"/>
        <v>0</v>
      </c>
      <c r="V90" s="96">
        <f t="shared" si="127"/>
        <v>0</v>
      </c>
      <c r="W90" s="96">
        <f t="shared" si="127"/>
        <v>0</v>
      </c>
      <c r="X90" s="96">
        <f t="shared" si="127"/>
        <v>0</v>
      </c>
      <c r="Y90" s="96">
        <f t="shared" si="127"/>
        <v>0</v>
      </c>
      <c r="Z90" s="96">
        <f t="shared" si="127"/>
        <v>0</v>
      </c>
      <c r="AA90" s="96">
        <f t="shared" si="127"/>
        <v>3655</v>
      </c>
      <c r="AB90" s="96">
        <f t="shared" si="127"/>
        <v>3655</v>
      </c>
      <c r="AC90" s="96">
        <f t="shared" si="127"/>
        <v>3655</v>
      </c>
      <c r="AD90" s="96">
        <f t="shared" si="127"/>
        <v>4360</v>
      </c>
      <c r="AE90" s="96">
        <f t="shared" si="127"/>
        <v>-7250.872000000003</v>
      </c>
      <c r="AF90" s="96">
        <f t="shared" si="127"/>
        <v>-5150.872000000003</v>
      </c>
      <c r="AG90" s="96">
        <f t="shared" si="127"/>
        <v>-3500.8720000000012</v>
      </c>
      <c r="AH90" s="96">
        <f t="shared" si="127"/>
        <v>-3500.8720000000012</v>
      </c>
      <c r="AI90" s="96">
        <f t="shared" si="127"/>
        <v>-3500.8720000000012</v>
      </c>
      <c r="AJ90" s="96">
        <f t="shared" si="127"/>
        <v>-3500.8720000000012</v>
      </c>
      <c r="AK90" s="96">
        <f t="shared" si="127"/>
        <v>-3500.8720000000012</v>
      </c>
      <c r="AL90" s="96">
        <f t="shared" si="127"/>
        <v>-3500.8720000000012</v>
      </c>
      <c r="AM90" s="96">
        <f t="shared" si="127"/>
        <v>-3500.8720000000012</v>
      </c>
      <c r="AN90" s="96">
        <f t="shared" si="127"/>
        <v>-3500.8720000000012</v>
      </c>
      <c r="AO90" s="96">
        <f t="shared" si="127"/>
        <v>0</v>
      </c>
      <c r="AP90" s="96">
        <f t="shared" si="127"/>
        <v>5.6843418860808015E-13</v>
      </c>
      <c r="AQ90" s="96">
        <f t="shared" si="127"/>
        <v>-9.6633812063373625E-13</v>
      </c>
      <c r="AR90" s="96">
        <f t="shared" si="127"/>
        <v>0</v>
      </c>
      <c r="AS90" s="96">
        <f t="shared" si="127"/>
        <v>0</v>
      </c>
      <c r="AT90" s="96">
        <f t="shared" si="127"/>
        <v>0</v>
      </c>
      <c r="AU90" s="96">
        <f t="shared" si="127"/>
        <v>0</v>
      </c>
      <c r="AV90" s="96">
        <f t="shared" si="127"/>
        <v>0</v>
      </c>
      <c r="AW90" s="96">
        <f t="shared" si="127"/>
        <v>0</v>
      </c>
      <c r="AX90" s="96">
        <f t="shared" si="127"/>
        <v>0</v>
      </c>
      <c r="AY90" s="96">
        <f t="shared" si="127"/>
        <v>0</v>
      </c>
      <c r="BA90" s="188"/>
      <c r="BB90" s="188"/>
      <c r="BC90" s="188"/>
      <c r="BD90" s="188"/>
    </row>
    <row r="91" spans="1:56" ht="28.8" hidden="1" x14ac:dyDescent="0.55000000000000004">
      <c r="A91" s="161" t="s">
        <v>347</v>
      </c>
      <c r="B91" s="161" t="s">
        <v>646</v>
      </c>
      <c r="C91" s="162" t="s">
        <v>644</v>
      </c>
      <c r="D91" s="96">
        <f>D87*D84-(D107-D104)-D110</f>
        <v>0</v>
      </c>
      <c r="E91" s="96">
        <f t="shared" ref="E91:AY91" si="128">E87*E84-(E107-E104)-E110</f>
        <v>0</v>
      </c>
      <c r="F91" s="96">
        <f t="shared" si="128"/>
        <v>0</v>
      </c>
      <c r="G91" s="96">
        <f t="shared" si="128"/>
        <v>0</v>
      </c>
      <c r="H91" s="96">
        <f t="shared" si="128"/>
        <v>0</v>
      </c>
      <c r="I91" s="96">
        <f t="shared" si="128"/>
        <v>0</v>
      </c>
      <c r="J91" s="96">
        <f t="shared" si="128"/>
        <v>0</v>
      </c>
      <c r="K91" s="96">
        <f t="shared" si="128"/>
        <v>0</v>
      </c>
      <c r="L91" s="96">
        <f t="shared" si="128"/>
        <v>0</v>
      </c>
      <c r="M91" s="96">
        <f t="shared" si="128"/>
        <v>0</v>
      </c>
      <c r="N91" s="96">
        <f t="shared" si="128"/>
        <v>0</v>
      </c>
      <c r="O91" s="96">
        <f t="shared" si="128"/>
        <v>0</v>
      </c>
      <c r="P91" s="96">
        <f t="shared" si="128"/>
        <v>0</v>
      </c>
      <c r="Q91" s="96">
        <f t="shared" si="128"/>
        <v>0</v>
      </c>
      <c r="R91" s="96">
        <f t="shared" si="128"/>
        <v>0</v>
      </c>
      <c r="S91" s="96">
        <f t="shared" si="128"/>
        <v>0</v>
      </c>
      <c r="T91" s="96">
        <f t="shared" si="128"/>
        <v>0</v>
      </c>
      <c r="U91" s="96">
        <f t="shared" si="128"/>
        <v>0</v>
      </c>
      <c r="V91" s="96">
        <f t="shared" si="128"/>
        <v>0</v>
      </c>
      <c r="W91" s="96">
        <f t="shared" si="128"/>
        <v>0</v>
      </c>
      <c r="X91" s="96">
        <f t="shared" si="128"/>
        <v>0</v>
      </c>
      <c r="Y91" s="96">
        <f t="shared" si="128"/>
        <v>0</v>
      </c>
      <c r="Z91" s="96">
        <f t="shared" si="128"/>
        <v>0</v>
      </c>
      <c r="AA91" s="96">
        <f t="shared" si="128"/>
        <v>-144772.28299388889</v>
      </c>
      <c r="AB91" s="96">
        <f t="shared" si="128"/>
        <v>-158913.78997352225</v>
      </c>
      <c r="AC91" s="96">
        <f t="shared" si="128"/>
        <v>-187775.78737193358</v>
      </c>
      <c r="AD91" s="96">
        <f t="shared" si="128"/>
        <v>-201285.18461424962</v>
      </c>
      <c r="AE91" s="96">
        <f t="shared" si="128"/>
        <v>-238677.92649110465</v>
      </c>
      <c r="AF91" s="96">
        <f t="shared" si="128"/>
        <v>-253199.25323257092</v>
      </c>
      <c r="AG91" s="96">
        <f t="shared" si="128"/>
        <v>-269505.77957852522</v>
      </c>
      <c r="AH91" s="96">
        <f t="shared" si="128"/>
        <v>-289565.77750523679</v>
      </c>
      <c r="AI91" s="96">
        <f t="shared" si="128"/>
        <v>-310829.37530755089</v>
      </c>
      <c r="AJ91" s="96">
        <f t="shared" si="128"/>
        <v>-333368.78897800407</v>
      </c>
      <c r="AK91" s="96">
        <f t="shared" si="128"/>
        <v>-357260.56746868428</v>
      </c>
      <c r="AL91" s="96">
        <f t="shared" si="128"/>
        <v>-382585.8526688054</v>
      </c>
      <c r="AM91" s="96">
        <f t="shared" si="128"/>
        <v>-409430.6549809337</v>
      </c>
      <c r="AN91" s="96">
        <f t="shared" si="128"/>
        <v>-437886.14543178969</v>
      </c>
      <c r="AO91" s="96">
        <f t="shared" si="128"/>
        <v>-466364.85330969712</v>
      </c>
      <c r="AP91" s="96">
        <f t="shared" si="128"/>
        <v>-476675.79666850262</v>
      </c>
      <c r="AQ91" s="96">
        <f t="shared" si="128"/>
        <v>-486347.7415866676</v>
      </c>
      <c r="AR91" s="96">
        <f t="shared" si="128"/>
        <v>-495273.99500190758</v>
      </c>
      <c r="AS91" s="96">
        <f t="shared" si="128"/>
        <v>-502963.18621081847</v>
      </c>
      <c r="AT91" s="96">
        <f t="shared" si="128"/>
        <v>-509638.90010675509</v>
      </c>
      <c r="AU91" s="96">
        <f t="shared" si="128"/>
        <v>-515208.84191945358</v>
      </c>
      <c r="AV91" s="96">
        <f t="shared" si="128"/>
        <v>-519573.42873199796</v>
      </c>
      <c r="AW91" s="96">
        <f t="shared" si="128"/>
        <v>-522535.56725111045</v>
      </c>
      <c r="AX91" s="96">
        <f t="shared" si="128"/>
        <v>-523981.23352838738</v>
      </c>
      <c r="AY91" s="96">
        <f t="shared" si="128"/>
        <v>-523679.30382121413</v>
      </c>
      <c r="BA91" s="188"/>
      <c r="BB91" s="188"/>
      <c r="BC91" s="188"/>
      <c r="BD91" s="188"/>
    </row>
    <row r="92" spans="1:56" ht="14.7" hidden="1" thickBot="1" x14ac:dyDescent="0.6">
      <c r="A92" s="218" t="s">
        <v>347</v>
      </c>
      <c r="B92" s="218" t="s">
        <v>647</v>
      </c>
      <c r="C92" s="219" t="s">
        <v>648</v>
      </c>
      <c r="D92" s="144">
        <f>IF(D80=0,0,_xlfn.LET(_xlpm.mx,MAX(0,D89:D91),IF(_xlpm.mx&lt;=0,0,IF(_xlpm.mx=D90,D86,IF(_xlpm.mx=D89,D85,D87)))))</f>
        <v>0</v>
      </c>
      <c r="E92" s="144">
        <f t="shared" ref="E92:AY92" si="129">IF(E80=0,0,_xlfn.LET(_xlpm.mx,MAX(0,E89:E91),IF(_xlpm.mx&lt;=0,0,IF(_xlpm.mx=E90,E86,IF(_xlpm.mx=E89,E85,E87)))))</f>
        <v>0</v>
      </c>
      <c r="F92" s="144">
        <f t="shared" si="129"/>
        <v>0</v>
      </c>
      <c r="G92" s="144">
        <f t="shared" si="129"/>
        <v>0</v>
      </c>
      <c r="H92" s="144">
        <f t="shared" si="129"/>
        <v>0</v>
      </c>
      <c r="I92" s="144">
        <f t="shared" si="129"/>
        <v>0</v>
      </c>
      <c r="J92" s="144">
        <f t="shared" si="129"/>
        <v>0</v>
      </c>
      <c r="K92" s="144">
        <f t="shared" si="129"/>
        <v>0</v>
      </c>
      <c r="L92" s="144">
        <f t="shared" si="129"/>
        <v>0</v>
      </c>
      <c r="M92" s="144">
        <f t="shared" si="129"/>
        <v>0</v>
      </c>
      <c r="N92" s="144">
        <f t="shared" si="129"/>
        <v>0</v>
      </c>
      <c r="O92" s="144">
        <f t="shared" si="129"/>
        <v>0</v>
      </c>
      <c r="P92" s="144">
        <f t="shared" si="129"/>
        <v>0</v>
      </c>
      <c r="Q92" s="144">
        <f t="shared" si="129"/>
        <v>0</v>
      </c>
      <c r="R92" s="144">
        <f t="shared" si="129"/>
        <v>0</v>
      </c>
      <c r="S92" s="144">
        <f t="shared" si="129"/>
        <v>0</v>
      </c>
      <c r="T92" s="144">
        <f t="shared" si="129"/>
        <v>0</v>
      </c>
      <c r="U92" s="144">
        <f t="shared" si="129"/>
        <v>0</v>
      </c>
      <c r="V92" s="144">
        <f t="shared" si="129"/>
        <v>0</v>
      </c>
      <c r="W92" s="144">
        <f t="shared" si="129"/>
        <v>0</v>
      </c>
      <c r="X92" s="144">
        <f t="shared" si="129"/>
        <v>0</v>
      </c>
      <c r="Y92" s="144">
        <f t="shared" si="129"/>
        <v>0</v>
      </c>
      <c r="Z92" s="144">
        <f t="shared" si="129"/>
        <v>0</v>
      </c>
      <c r="AA92" s="144">
        <f t="shared" si="129"/>
        <v>100800</v>
      </c>
      <c r="AB92" s="144">
        <f t="shared" si="129"/>
        <v>100800</v>
      </c>
      <c r="AC92" s="144">
        <f t="shared" si="129"/>
        <v>100800</v>
      </c>
      <c r="AD92" s="144">
        <f t="shared" si="129"/>
        <v>100800</v>
      </c>
      <c r="AE92" s="144">
        <f t="shared" si="129"/>
        <v>0</v>
      </c>
      <c r="AF92" s="144">
        <f t="shared" si="129"/>
        <v>0</v>
      </c>
      <c r="AG92" s="144">
        <f t="shared" si="129"/>
        <v>0</v>
      </c>
      <c r="AH92" s="144">
        <f t="shared" si="129"/>
        <v>0</v>
      </c>
      <c r="AI92" s="144">
        <f t="shared" si="129"/>
        <v>0</v>
      </c>
      <c r="AJ92" s="144">
        <f t="shared" si="129"/>
        <v>0</v>
      </c>
      <c r="AK92" s="144">
        <f t="shared" si="129"/>
        <v>0</v>
      </c>
      <c r="AL92" s="144">
        <f t="shared" si="129"/>
        <v>0</v>
      </c>
      <c r="AM92" s="144">
        <f t="shared" si="129"/>
        <v>0</v>
      </c>
      <c r="AN92" s="144">
        <f t="shared" si="129"/>
        <v>0</v>
      </c>
      <c r="AO92" s="144">
        <f t="shared" si="129"/>
        <v>0</v>
      </c>
      <c r="AP92" s="144">
        <f t="shared" si="129"/>
        <v>7556.0741550535313</v>
      </c>
      <c r="AQ92" s="144">
        <f t="shared" si="129"/>
        <v>0</v>
      </c>
      <c r="AR92" s="144">
        <f t="shared" si="129"/>
        <v>0</v>
      </c>
      <c r="AS92" s="144">
        <f t="shared" si="129"/>
        <v>0</v>
      </c>
      <c r="AT92" s="144">
        <f t="shared" si="129"/>
        <v>0</v>
      </c>
      <c r="AU92" s="144">
        <f t="shared" si="129"/>
        <v>0</v>
      </c>
      <c r="AV92" s="144">
        <f t="shared" si="129"/>
        <v>0</v>
      </c>
      <c r="AW92" s="144">
        <f t="shared" si="129"/>
        <v>0</v>
      </c>
      <c r="AX92" s="144">
        <f t="shared" si="129"/>
        <v>0</v>
      </c>
      <c r="AY92" s="144">
        <f t="shared" si="129"/>
        <v>0</v>
      </c>
      <c r="BA92" s="188"/>
      <c r="BB92" s="188"/>
      <c r="BC92" s="188"/>
      <c r="BD92" s="188"/>
    </row>
    <row r="93" spans="1:56" ht="28.8" hidden="1" x14ac:dyDescent="0.55000000000000004">
      <c r="A93" s="161" t="s">
        <v>347</v>
      </c>
      <c r="B93" s="161" t="s">
        <v>649</v>
      </c>
      <c r="C93" s="162" t="s">
        <v>650</v>
      </c>
      <c r="D93" s="96">
        <f>IF(D92=0,0,IF(D92=D86,D106-D104,IF(D92=D85,D105-D104,D107-D104)))</f>
        <v>0</v>
      </c>
      <c r="E93" s="96">
        <f t="shared" ref="E93:AY93" si="130">IF(E92=0,0,IF(E92=E86,E106-E104,IF(E92=E85,E105-E104,E107-E104)))</f>
        <v>0</v>
      </c>
      <c r="F93" s="96">
        <f t="shared" si="130"/>
        <v>0</v>
      </c>
      <c r="G93" s="96">
        <f t="shared" si="130"/>
        <v>0</v>
      </c>
      <c r="H93" s="96">
        <f t="shared" si="130"/>
        <v>0</v>
      </c>
      <c r="I93" s="96">
        <f t="shared" si="130"/>
        <v>0</v>
      </c>
      <c r="J93" s="96">
        <f t="shared" si="130"/>
        <v>0</v>
      </c>
      <c r="K93" s="96">
        <f t="shared" si="130"/>
        <v>0</v>
      </c>
      <c r="L93" s="96">
        <f t="shared" si="130"/>
        <v>0</v>
      </c>
      <c r="M93" s="96">
        <f t="shared" si="130"/>
        <v>0</v>
      </c>
      <c r="N93" s="96">
        <f t="shared" si="130"/>
        <v>0</v>
      </c>
      <c r="O93" s="96">
        <f t="shared" si="130"/>
        <v>0</v>
      </c>
      <c r="P93" s="96">
        <f t="shared" si="130"/>
        <v>0</v>
      </c>
      <c r="Q93" s="96">
        <f t="shared" si="130"/>
        <v>0</v>
      </c>
      <c r="R93" s="96">
        <f t="shared" si="130"/>
        <v>0</v>
      </c>
      <c r="S93" s="96">
        <f t="shared" si="130"/>
        <v>0</v>
      </c>
      <c r="T93" s="96">
        <f t="shared" si="130"/>
        <v>0</v>
      </c>
      <c r="U93" s="96">
        <f t="shared" si="130"/>
        <v>0</v>
      </c>
      <c r="V93" s="96">
        <f t="shared" si="130"/>
        <v>0</v>
      </c>
      <c r="W93" s="96">
        <f t="shared" si="130"/>
        <v>0</v>
      </c>
      <c r="X93" s="96">
        <f t="shared" si="130"/>
        <v>0</v>
      </c>
      <c r="Y93" s="96">
        <f t="shared" si="130"/>
        <v>0</v>
      </c>
      <c r="Z93" s="96">
        <f t="shared" si="130"/>
        <v>0</v>
      </c>
      <c r="AA93" s="96">
        <f t="shared" si="130"/>
        <v>8441</v>
      </c>
      <c r="AB93" s="96">
        <f t="shared" si="130"/>
        <v>8441</v>
      </c>
      <c r="AC93" s="96">
        <f t="shared" si="130"/>
        <v>8441</v>
      </c>
      <c r="AD93" s="96">
        <f t="shared" si="130"/>
        <v>7736</v>
      </c>
      <c r="AE93" s="96">
        <f t="shared" si="130"/>
        <v>0</v>
      </c>
      <c r="AF93" s="96">
        <f t="shared" si="130"/>
        <v>0</v>
      </c>
      <c r="AG93" s="96">
        <f t="shared" si="130"/>
        <v>0</v>
      </c>
      <c r="AH93" s="96">
        <f t="shared" si="130"/>
        <v>0</v>
      </c>
      <c r="AI93" s="96">
        <f t="shared" si="130"/>
        <v>0</v>
      </c>
      <c r="AJ93" s="96">
        <f t="shared" si="130"/>
        <v>0</v>
      </c>
      <c r="AK93" s="96">
        <f t="shared" si="130"/>
        <v>0</v>
      </c>
      <c r="AL93" s="96">
        <f t="shared" si="130"/>
        <v>0</v>
      </c>
      <c r="AM93" s="96">
        <f t="shared" si="130"/>
        <v>0</v>
      </c>
      <c r="AN93" s="96">
        <f t="shared" si="130"/>
        <v>0</v>
      </c>
      <c r="AO93" s="96">
        <f t="shared" si="130"/>
        <v>0</v>
      </c>
      <c r="AP93" s="96">
        <f t="shared" si="130"/>
        <v>906.72889860642317</v>
      </c>
      <c r="AQ93" s="96">
        <f t="shared" si="130"/>
        <v>0</v>
      </c>
      <c r="AR93" s="96">
        <f t="shared" si="130"/>
        <v>0</v>
      </c>
      <c r="AS93" s="96">
        <f t="shared" si="130"/>
        <v>0</v>
      </c>
      <c r="AT93" s="96">
        <f t="shared" si="130"/>
        <v>0</v>
      </c>
      <c r="AU93" s="96">
        <f t="shared" si="130"/>
        <v>0</v>
      </c>
      <c r="AV93" s="96">
        <f t="shared" si="130"/>
        <v>0</v>
      </c>
      <c r="AW93" s="96">
        <f t="shared" si="130"/>
        <v>0</v>
      </c>
      <c r="AX93" s="96">
        <f t="shared" si="130"/>
        <v>0</v>
      </c>
      <c r="AY93" s="96">
        <f t="shared" si="130"/>
        <v>0</v>
      </c>
      <c r="BA93" s="188"/>
      <c r="BB93" s="188"/>
      <c r="BC93" s="188"/>
      <c r="BD93" s="188"/>
    </row>
    <row r="94" spans="1:56" ht="28.8" hidden="1" x14ac:dyDescent="0.55000000000000004">
      <c r="A94" s="161" t="s">
        <v>347</v>
      </c>
      <c r="B94" s="161" t="s">
        <v>651</v>
      </c>
      <c r="C94" s="162" t="s">
        <v>652</v>
      </c>
      <c r="D94" s="96">
        <f>IF(D92=0,0,IF(D92=D86,D109,IF(D92=D85,D108,D110)))</f>
        <v>0</v>
      </c>
      <c r="E94" s="96">
        <f t="shared" ref="E94:AY94" si="131">IF(E92=0,0,IF(E92=E86,E109,IF(E92=E85,E108,E110)))</f>
        <v>0</v>
      </c>
      <c r="F94" s="96">
        <f t="shared" si="131"/>
        <v>0</v>
      </c>
      <c r="G94" s="96">
        <f t="shared" si="131"/>
        <v>0</v>
      </c>
      <c r="H94" s="96">
        <f t="shared" si="131"/>
        <v>0</v>
      </c>
      <c r="I94" s="96">
        <f t="shared" si="131"/>
        <v>0</v>
      </c>
      <c r="J94" s="96">
        <f t="shared" si="131"/>
        <v>0</v>
      </c>
      <c r="K94" s="96">
        <f t="shared" si="131"/>
        <v>0</v>
      </c>
      <c r="L94" s="96">
        <f t="shared" si="131"/>
        <v>0</v>
      </c>
      <c r="M94" s="96">
        <f t="shared" si="131"/>
        <v>0</v>
      </c>
      <c r="N94" s="96">
        <f t="shared" si="131"/>
        <v>0</v>
      </c>
      <c r="O94" s="96">
        <f t="shared" si="131"/>
        <v>0</v>
      </c>
      <c r="P94" s="96">
        <f t="shared" si="131"/>
        <v>0</v>
      </c>
      <c r="Q94" s="96">
        <f t="shared" si="131"/>
        <v>0</v>
      </c>
      <c r="R94" s="96">
        <f t="shared" si="131"/>
        <v>0</v>
      </c>
      <c r="S94" s="96">
        <f t="shared" si="131"/>
        <v>0</v>
      </c>
      <c r="T94" s="96">
        <f t="shared" si="131"/>
        <v>0</v>
      </c>
      <c r="U94" s="96">
        <f t="shared" si="131"/>
        <v>0</v>
      </c>
      <c r="V94" s="96">
        <f t="shared" si="131"/>
        <v>0</v>
      </c>
      <c r="W94" s="96">
        <f t="shared" si="131"/>
        <v>0</v>
      </c>
      <c r="X94" s="96">
        <f t="shared" si="131"/>
        <v>0</v>
      </c>
      <c r="Y94" s="96">
        <f t="shared" si="131"/>
        <v>0</v>
      </c>
      <c r="Z94" s="96">
        <f t="shared" si="131"/>
        <v>0</v>
      </c>
      <c r="AA94" s="96">
        <f t="shared" si="131"/>
        <v>0</v>
      </c>
      <c r="AB94" s="96">
        <f t="shared" si="131"/>
        <v>0</v>
      </c>
      <c r="AC94" s="96">
        <f t="shared" si="131"/>
        <v>0</v>
      </c>
      <c r="AD94" s="96">
        <f t="shared" si="131"/>
        <v>0</v>
      </c>
      <c r="AE94" s="96">
        <f t="shared" si="131"/>
        <v>0</v>
      </c>
      <c r="AF94" s="96">
        <f t="shared" si="131"/>
        <v>0</v>
      </c>
      <c r="AG94" s="96">
        <f t="shared" si="131"/>
        <v>0</v>
      </c>
      <c r="AH94" s="96">
        <f t="shared" si="131"/>
        <v>0</v>
      </c>
      <c r="AI94" s="96">
        <f t="shared" si="131"/>
        <v>0</v>
      </c>
      <c r="AJ94" s="96">
        <f t="shared" si="131"/>
        <v>0</v>
      </c>
      <c r="AK94" s="96">
        <f t="shared" si="131"/>
        <v>0</v>
      </c>
      <c r="AL94" s="96">
        <f t="shared" si="131"/>
        <v>0</v>
      </c>
      <c r="AM94" s="96">
        <f t="shared" si="131"/>
        <v>0</v>
      </c>
      <c r="AN94" s="96">
        <f t="shared" si="131"/>
        <v>0</v>
      </c>
      <c r="AO94" s="96">
        <f t="shared" si="131"/>
        <v>0</v>
      </c>
      <c r="AP94" s="96">
        <f t="shared" si="131"/>
        <v>0</v>
      </c>
      <c r="AQ94" s="96">
        <f t="shared" si="131"/>
        <v>0</v>
      </c>
      <c r="AR94" s="96">
        <f t="shared" si="131"/>
        <v>0</v>
      </c>
      <c r="AS94" s="96">
        <f t="shared" si="131"/>
        <v>0</v>
      </c>
      <c r="AT94" s="96">
        <f t="shared" si="131"/>
        <v>0</v>
      </c>
      <c r="AU94" s="96">
        <f t="shared" si="131"/>
        <v>0</v>
      </c>
      <c r="AV94" s="96">
        <f t="shared" si="131"/>
        <v>0</v>
      </c>
      <c r="AW94" s="96">
        <f t="shared" si="131"/>
        <v>0</v>
      </c>
      <c r="AX94" s="96">
        <f t="shared" si="131"/>
        <v>0</v>
      </c>
      <c r="AY94" s="96">
        <f t="shared" si="131"/>
        <v>0</v>
      </c>
      <c r="BA94" s="188"/>
      <c r="BB94" s="188"/>
      <c r="BC94" s="188"/>
      <c r="BD94" s="188"/>
    </row>
    <row r="95" spans="1:56" ht="29.1" hidden="1" thickBot="1" x14ac:dyDescent="0.6">
      <c r="A95" s="218" t="s">
        <v>347</v>
      </c>
      <c r="B95" s="218" t="s">
        <v>653</v>
      </c>
      <c r="C95" s="219" t="s">
        <v>654</v>
      </c>
      <c r="D95" s="144">
        <f>D92*D84-D93-D94</f>
        <v>0</v>
      </c>
      <c r="E95" s="144">
        <f t="shared" ref="E95:AY95" si="132">E92*E84-E93-E94</f>
        <v>0</v>
      </c>
      <c r="F95" s="144">
        <f t="shared" si="132"/>
        <v>0</v>
      </c>
      <c r="G95" s="144">
        <f t="shared" si="132"/>
        <v>0</v>
      </c>
      <c r="H95" s="144">
        <f t="shared" si="132"/>
        <v>0</v>
      </c>
      <c r="I95" s="144">
        <f t="shared" si="132"/>
        <v>0</v>
      </c>
      <c r="J95" s="144">
        <f t="shared" si="132"/>
        <v>0</v>
      </c>
      <c r="K95" s="144">
        <f t="shared" si="132"/>
        <v>0</v>
      </c>
      <c r="L95" s="144">
        <f t="shared" si="132"/>
        <v>0</v>
      </c>
      <c r="M95" s="144">
        <f t="shared" si="132"/>
        <v>0</v>
      </c>
      <c r="N95" s="144">
        <f t="shared" si="132"/>
        <v>0</v>
      </c>
      <c r="O95" s="144">
        <f t="shared" si="132"/>
        <v>0</v>
      </c>
      <c r="P95" s="144">
        <f t="shared" si="132"/>
        <v>0</v>
      </c>
      <c r="Q95" s="144">
        <f t="shared" si="132"/>
        <v>0</v>
      </c>
      <c r="R95" s="144">
        <f t="shared" si="132"/>
        <v>0</v>
      </c>
      <c r="S95" s="144">
        <f t="shared" si="132"/>
        <v>0</v>
      </c>
      <c r="T95" s="144">
        <f t="shared" si="132"/>
        <v>0</v>
      </c>
      <c r="U95" s="144">
        <f t="shared" si="132"/>
        <v>0</v>
      </c>
      <c r="V95" s="144">
        <f t="shared" si="132"/>
        <v>0</v>
      </c>
      <c r="W95" s="144">
        <f t="shared" si="132"/>
        <v>0</v>
      </c>
      <c r="X95" s="144">
        <f t="shared" si="132"/>
        <v>0</v>
      </c>
      <c r="Y95" s="144">
        <f t="shared" si="132"/>
        <v>0</v>
      </c>
      <c r="Z95" s="144">
        <f t="shared" si="132"/>
        <v>0</v>
      </c>
      <c r="AA95" s="144">
        <f t="shared" si="132"/>
        <v>3655</v>
      </c>
      <c r="AB95" s="144">
        <f t="shared" si="132"/>
        <v>3655</v>
      </c>
      <c r="AC95" s="144">
        <f t="shared" si="132"/>
        <v>3655</v>
      </c>
      <c r="AD95" s="144">
        <f t="shared" si="132"/>
        <v>4360</v>
      </c>
      <c r="AE95" s="144">
        <f t="shared" si="132"/>
        <v>0</v>
      </c>
      <c r="AF95" s="144">
        <f t="shared" si="132"/>
        <v>0</v>
      </c>
      <c r="AG95" s="144">
        <f t="shared" si="132"/>
        <v>0</v>
      </c>
      <c r="AH95" s="144">
        <f t="shared" si="132"/>
        <v>0</v>
      </c>
      <c r="AI95" s="144">
        <f t="shared" si="132"/>
        <v>0</v>
      </c>
      <c r="AJ95" s="144">
        <f t="shared" si="132"/>
        <v>0</v>
      </c>
      <c r="AK95" s="144">
        <f t="shared" si="132"/>
        <v>0</v>
      </c>
      <c r="AL95" s="144">
        <f t="shared" si="132"/>
        <v>0</v>
      </c>
      <c r="AM95" s="144">
        <f t="shared" si="132"/>
        <v>0</v>
      </c>
      <c r="AN95" s="144">
        <f t="shared" si="132"/>
        <v>0</v>
      </c>
      <c r="AO95" s="144">
        <f t="shared" si="132"/>
        <v>0</v>
      </c>
      <c r="AP95" s="144">
        <f t="shared" si="132"/>
        <v>5.6843418860808015E-13</v>
      </c>
      <c r="AQ95" s="144">
        <f t="shared" si="132"/>
        <v>0</v>
      </c>
      <c r="AR95" s="144">
        <f t="shared" si="132"/>
        <v>0</v>
      </c>
      <c r="AS95" s="144">
        <f t="shared" si="132"/>
        <v>0</v>
      </c>
      <c r="AT95" s="144">
        <f t="shared" si="132"/>
        <v>0</v>
      </c>
      <c r="AU95" s="144">
        <f t="shared" si="132"/>
        <v>0</v>
      </c>
      <c r="AV95" s="144">
        <f t="shared" si="132"/>
        <v>0</v>
      </c>
      <c r="AW95" s="144">
        <f t="shared" si="132"/>
        <v>0</v>
      </c>
      <c r="AX95" s="144">
        <f t="shared" si="132"/>
        <v>0</v>
      </c>
      <c r="AY95" s="144">
        <f t="shared" si="132"/>
        <v>0</v>
      </c>
      <c r="BA95" s="188"/>
      <c r="BB95" s="188"/>
      <c r="BC95" s="188"/>
      <c r="BD95" s="188"/>
    </row>
    <row r="96" spans="1:56" hidden="1" x14ac:dyDescent="0.55000000000000004">
      <c r="A96" s="161" t="s">
        <v>347</v>
      </c>
      <c r="B96" s="161" t="s">
        <v>655</v>
      </c>
      <c r="C96" s="162" t="s">
        <v>656</v>
      </c>
      <c r="D96" s="95">
        <f>IF(D$4&lt;$BB$9,0,IFERROR($BB$18/_xlfn.XLOOKUP(D$4,RMD!$A$21:$A$69,RMD!$B$21:$B$69),0))</f>
        <v>0</v>
      </c>
      <c r="E96" s="95">
        <f>IF(E$4&lt;$BB$9,0,IFERROR(D58/_xlfn.XLOOKUP(E$4,RMD!$A$21:$A$69,RMD!$B$21:$B$69),0))</f>
        <v>0</v>
      </c>
      <c r="F96" s="95">
        <f>IF(F$4&lt;$BB$9,0,IFERROR(E58/_xlfn.XLOOKUP(F$4,RMD!$A$21:$A$69,RMD!$B$21:$B$69),0))</f>
        <v>0</v>
      </c>
      <c r="G96" s="95">
        <f>IF(G$4&lt;$BB$9,0,IFERROR(F58/_xlfn.XLOOKUP(G$4,RMD!$A$21:$A$69,RMD!$B$21:$B$69),0))</f>
        <v>0</v>
      </c>
      <c r="H96" s="95">
        <f>IF(H$4&lt;$BB$9,0,IFERROR(G58/_xlfn.XLOOKUP(H$4,RMD!$A$21:$A$69,RMD!$B$21:$B$69),0))</f>
        <v>0</v>
      </c>
      <c r="I96" s="95">
        <f>IF(I$4&lt;$BB$9,0,IFERROR(H58/_xlfn.XLOOKUP(I$4,RMD!$A$21:$A$69,RMD!$B$21:$B$69),0))</f>
        <v>0</v>
      </c>
      <c r="J96" s="95">
        <f>IF(J$4&lt;$BB$9,0,IFERROR(I58/_xlfn.XLOOKUP(J$4,RMD!$A$21:$A$69,RMD!$B$21:$B$69),0))</f>
        <v>0</v>
      </c>
      <c r="K96" s="95">
        <f>IF(K$4&lt;$BB$9,0,IFERROR(J58/_xlfn.XLOOKUP(K$4,RMD!$A$21:$A$69,RMD!$B$21:$B$69),0))</f>
        <v>0</v>
      </c>
      <c r="L96" s="95">
        <f>IF(L$4&lt;$BB$9,0,IFERROR(K58/_xlfn.XLOOKUP(L$4,RMD!$A$21:$A$69,RMD!$B$21:$B$69),0))</f>
        <v>0</v>
      </c>
      <c r="M96" s="95">
        <f>IF(M$4&lt;$BB$9,0,IFERROR(L58/_xlfn.XLOOKUP(M$4,RMD!$A$21:$A$69,RMD!$B$21:$B$69),0))</f>
        <v>0</v>
      </c>
      <c r="N96" s="95">
        <f>IF(N$4&lt;$BB$9,0,IFERROR(M58/_xlfn.XLOOKUP(N$4,RMD!$A$21:$A$69,RMD!$B$21:$B$69),0))</f>
        <v>0</v>
      </c>
      <c r="O96" s="95">
        <f>IF(O$4&lt;$BB$9,0,IFERROR(N58/_xlfn.XLOOKUP(O$4,RMD!$A$21:$A$69,RMD!$B$21:$B$69),0))</f>
        <v>0</v>
      </c>
      <c r="P96" s="95">
        <f>IF(P$4&lt;$BB$9,0,IFERROR(O58/_xlfn.XLOOKUP(P$4,RMD!$A$21:$A$69,RMD!$B$21:$B$69),0))</f>
        <v>0</v>
      </c>
      <c r="Q96" s="95">
        <f>IF(Q$4&lt;$BB$9,0,IFERROR(P58/_xlfn.XLOOKUP(Q$4,RMD!$A$21:$A$69,RMD!$B$21:$B$69),0))</f>
        <v>0</v>
      </c>
      <c r="R96" s="95">
        <f>IF(R$4&lt;$BB$9,0,IFERROR(Q58/_xlfn.XLOOKUP(R$4,RMD!$A$21:$A$69,RMD!$B$21:$B$69),0))</f>
        <v>0</v>
      </c>
      <c r="S96" s="95">
        <f>IF(S$4&lt;$BB$9,0,IFERROR(R58/_xlfn.XLOOKUP(S$4,RMD!$A$21:$A$69,RMD!$B$21:$B$69),0))</f>
        <v>0</v>
      </c>
      <c r="T96" s="95">
        <f>IF(T$4&lt;$BB$9,0,IFERROR(S58/_xlfn.XLOOKUP(T$4,RMD!$A$21:$A$69,RMD!$B$21:$B$69),0))</f>
        <v>0</v>
      </c>
      <c r="U96" s="95">
        <f>IF(U$4&lt;$BB$9,0,IFERROR(T58/_xlfn.XLOOKUP(U$4,RMD!$A$21:$A$69,RMD!$B$21:$B$69),0))</f>
        <v>0</v>
      </c>
      <c r="V96" s="95">
        <f>IF(V$4&lt;$BB$9,0,IFERROR(U58/_xlfn.XLOOKUP(V$4,RMD!$A$21:$A$69,RMD!$B$21:$B$69),0))</f>
        <v>0</v>
      </c>
      <c r="W96" s="95">
        <f>IF(W$4&lt;$BB$9,0,IFERROR(V58/_xlfn.XLOOKUP(W$4,RMD!$A$21:$A$69,RMD!$B$21:$B$69),0))</f>
        <v>0</v>
      </c>
      <c r="X96" s="95">
        <f>IF(X$4&lt;$BB$9,0,IFERROR(W58/_xlfn.XLOOKUP(X$4,RMD!$A$21:$A$69,RMD!$B$21:$B$69),0))</f>
        <v>0</v>
      </c>
      <c r="Y96" s="95">
        <f>IF(Y$4&lt;$BB$9,0,IFERROR(X58/_xlfn.XLOOKUP(Y$4,RMD!$A$21:$A$69,RMD!$B$21:$B$69),0))</f>
        <v>0</v>
      </c>
      <c r="Z96" s="95">
        <f>IF(Z$4&lt;$BB$9,0,IFERROR(Y58/_xlfn.XLOOKUP(Z$4,RMD!$A$21:$A$69,RMD!$B$21:$B$69),0))</f>
        <v>0</v>
      </c>
      <c r="AA96" s="95">
        <f>IF(AA$4&lt;$BB$9,0,IFERROR(Z58/_xlfn.XLOOKUP(AA$4,RMD!$A$21:$A$69,RMD!$B$21:$B$69),0))</f>
        <v>0</v>
      </c>
      <c r="AB96" s="95">
        <f>IF(AB$4&lt;$BB$9,0,IFERROR(AA58/_xlfn.XLOOKUP(AB$4,RMD!$A$21:$A$69,RMD!$B$21:$B$69),0))</f>
        <v>0</v>
      </c>
      <c r="AC96" s="95">
        <f>IF(AC$4&lt;$BB$9,0,IFERROR(AB58/_xlfn.XLOOKUP(AC$4,RMD!$A$21:$A$69,RMD!$B$21:$B$69),0))</f>
        <v>0</v>
      </c>
      <c r="AD96" s="95">
        <f>IF(AD$4&lt;$BB$9,0,IFERROR(AC58/_xlfn.XLOOKUP(AD$4,RMD!$A$21:$A$69,RMD!$B$21:$B$69),0))</f>
        <v>0</v>
      </c>
      <c r="AE96" s="95">
        <f>IF(AE$4&lt;$BB$9,0,IFERROR(AD58/_xlfn.XLOOKUP(AE$4,RMD!$A$21:$A$69,RMD!$B$21:$B$69),0))</f>
        <v>0</v>
      </c>
      <c r="AF96" s="95">
        <f>IF(AF$4&lt;$BB$9,0,IFERROR(AE58/_xlfn.XLOOKUP(AF$4,RMD!$A$21:$A$69,RMD!$B$21:$B$69),0))</f>
        <v>0</v>
      </c>
      <c r="AG96" s="95">
        <f>IF(AG$4&lt;$BB$9,0,IFERROR(AF58/_xlfn.XLOOKUP(AG$4,RMD!$A$21:$A$69,RMD!$B$21:$B$69),0))</f>
        <v>0</v>
      </c>
      <c r="AH96" s="95">
        <f>IF(AH$4&lt;$BB$9,0,IFERROR(AG58/_xlfn.XLOOKUP(AH$4,RMD!$A$21:$A$69,RMD!$B$21:$B$69),0))</f>
        <v>0</v>
      </c>
      <c r="AI96" s="95">
        <f>IF(AI$4&lt;$BB$9,0,IFERROR(AH58/_xlfn.XLOOKUP(AI$4,RMD!$A$21:$A$69,RMD!$B$21:$B$69),0))</f>
        <v>0</v>
      </c>
      <c r="AJ96" s="95">
        <f>IF(AJ$4&lt;$BB$9,0,IFERROR(AI58/_xlfn.XLOOKUP(AJ$4,RMD!$A$21:$A$69,RMD!$B$21:$B$69),0))</f>
        <v>0</v>
      </c>
      <c r="AK96" s="95">
        <f>IF(AK$4&lt;$BB$9,0,IFERROR(AJ58/_xlfn.XLOOKUP(AK$4,RMD!$A$21:$A$69,RMD!$B$21:$B$69),0))</f>
        <v>0</v>
      </c>
      <c r="AL96" s="95">
        <f>IF(AL$4&lt;$BB$9,0,IFERROR(AK58/_xlfn.XLOOKUP(AL$4,RMD!$A$21:$A$69,RMD!$B$21:$B$69),0))</f>
        <v>0</v>
      </c>
      <c r="AM96" s="95">
        <f>IF(AM$4&lt;$BB$9,0,IFERROR(AL58/_xlfn.XLOOKUP(AM$4,RMD!$A$21:$A$69,RMD!$B$21:$B$69),0))</f>
        <v>0</v>
      </c>
      <c r="AN96" s="95">
        <f>IF(AN$4&lt;$BB$9,0,IFERROR(AM58/_xlfn.XLOOKUP(AN$4,RMD!$A$21:$A$69,RMD!$B$21:$B$69),0))</f>
        <v>0</v>
      </c>
      <c r="AO96" s="95">
        <f>IF(AO$4&lt;$BB$9,0,IFERROR(AN58/_xlfn.XLOOKUP(AO$4,RMD!$A$21:$A$69,RMD!$B$21:$B$69),0))</f>
        <v>70956.648688994697</v>
      </c>
      <c r="AP96" s="95">
        <f>IF(AP$4&lt;$BB$9,0,IFERROR(AO58/_xlfn.XLOOKUP(AP$4,RMD!$A$21:$A$69,RMD!$B$21:$B$69),0))</f>
        <v>75076.325844946463</v>
      </c>
      <c r="AQ96" s="95">
        <f>IF(AQ$4&lt;$BB$9,0,IFERROR(AP58/_xlfn.XLOOKUP(AQ$4,RMD!$A$21:$A$69,RMD!$B$21:$B$69),0))</f>
        <v>79082.582184794708</v>
      </c>
      <c r="AR96" s="95">
        <f>IF(AR$4&lt;$BB$9,0,IFERROR(AQ58/_xlfn.XLOOKUP(AR$4,RMD!$A$21:$A$69,RMD!$B$21:$B$69),0))</f>
        <v>83662.182625859641</v>
      </c>
      <c r="AS96" s="95">
        <f>IF(AS$4&lt;$BB$9,0,IFERROR(AR58/_xlfn.XLOOKUP(AS$4,RMD!$A$21:$A$69,RMD!$B$21:$B$69),0))</f>
        <v>88499.522095222128</v>
      </c>
      <c r="AT96" s="95">
        <f>IF(AT$4&lt;$BB$9,0,IFERROR(AS58/_xlfn.XLOOKUP(AT$4,RMD!$A$21:$A$69,RMD!$B$21:$B$69),0))</f>
        <v>93607.959855768146</v>
      </c>
      <c r="AU96" s="95">
        <f>IF(AU$4&lt;$BB$9,0,IFERROR(AT58/_xlfn.XLOOKUP(AU$4,RMD!$A$21:$A$69,RMD!$B$21:$B$69),0))</f>
        <v>98491.014256491733</v>
      </c>
      <c r="AV96" s="95">
        <f>IF(AV$4&lt;$BB$9,0,IFERROR(AU58/_xlfn.XLOOKUP(AV$4,RMD!$A$21:$A$69,RMD!$B$21:$B$69),0))</f>
        <v>104155.57853589211</v>
      </c>
      <c r="AW96" s="95">
        <f>IF(AW$4&lt;$BB$9,0,IFERROR(AV58/_xlfn.XLOOKUP(AW$4,RMD!$A$21:$A$69,RMD!$B$21:$B$69),0))</f>
        <v>109510.46986174872</v>
      </c>
      <c r="AX96" s="95">
        <f>IF(AX$4&lt;$BB$9,0,IFERROR(AW58/_xlfn.XLOOKUP(AX$4,RMD!$A$21:$A$69,RMD!$B$21:$B$69),0))</f>
        <v>115781.24795740361</v>
      </c>
      <c r="AY96" s="95">
        <f>IF(AY$4&lt;$BB$9,0,IFERROR(AX58/_xlfn.XLOOKUP(AY$4,RMD!$A$21:$A$69,RMD!$B$21:$B$69),0))</f>
        <v>121628.20097925252</v>
      </c>
      <c r="BA96" s="188"/>
      <c r="BB96" s="188"/>
      <c r="BC96" s="188"/>
      <c r="BD96" s="188"/>
    </row>
    <row r="97" spans="1:56" ht="28.8" hidden="1" x14ac:dyDescent="0.55000000000000004">
      <c r="A97" s="161" t="s">
        <v>347</v>
      </c>
      <c r="B97" s="161" t="s">
        <v>657</v>
      </c>
      <c r="C97" s="162" t="s">
        <v>658</v>
      </c>
      <c r="D97" s="95">
        <f>IF(D$4&lt;$BB$9,0,IFERROR($BB$18/_xlfn.XLOOKUP(D$4,RMD!$A$21:$A$69,RMD!$B$21:$B$69),0))</f>
        <v>0</v>
      </c>
      <c r="E97" s="95">
        <f>IF(E$4&lt;$BB$9,0,IFERROR(D65/_xlfn.XLOOKUP(E$4,RMD!$A$21:$A$69,RMD!$B$21:$B$69),0))</f>
        <v>0</v>
      </c>
      <c r="F97" s="95">
        <f>IF(F$4&lt;$BB$9,0,IFERROR(E65/_xlfn.XLOOKUP(F$4,RMD!$A$21:$A$69,RMD!$B$21:$B$69),0))</f>
        <v>0</v>
      </c>
      <c r="G97" s="95">
        <f>IF(G$4&lt;$BB$9,0,IFERROR(F65/_xlfn.XLOOKUP(G$4,RMD!$A$21:$A$69,RMD!$B$21:$B$69),0))</f>
        <v>0</v>
      </c>
      <c r="H97" s="95">
        <f>IF(H$4&lt;$BB$9,0,IFERROR(G65/_xlfn.XLOOKUP(H$4,RMD!$A$21:$A$69,RMD!$B$21:$B$69),0))</f>
        <v>0</v>
      </c>
      <c r="I97" s="95">
        <f>IF(I$4&lt;$BB$9,0,IFERROR(H65/_xlfn.XLOOKUP(I$4,RMD!$A$21:$A$69,RMD!$B$21:$B$69),0))</f>
        <v>0</v>
      </c>
      <c r="J97" s="95">
        <f>IF(J$4&lt;$BB$9,0,IFERROR(I65/_xlfn.XLOOKUP(J$4,RMD!$A$21:$A$69,RMD!$B$21:$B$69),0))</f>
        <v>0</v>
      </c>
      <c r="K97" s="95">
        <f>IF(K$4&lt;$BB$9,0,IFERROR(J65/_xlfn.XLOOKUP(K$4,RMD!$A$21:$A$69,RMD!$B$21:$B$69),0))</f>
        <v>0</v>
      </c>
      <c r="L97" s="95">
        <f>IF(L$4&lt;$BB$9,0,IFERROR(K65/_xlfn.XLOOKUP(L$4,RMD!$A$21:$A$69,RMD!$B$21:$B$69),0))</f>
        <v>0</v>
      </c>
      <c r="M97" s="95">
        <f>IF(M$4&lt;$BB$9,0,IFERROR(L65/_xlfn.XLOOKUP(M$4,RMD!$A$21:$A$69,RMD!$B$21:$B$69),0))</f>
        <v>0</v>
      </c>
      <c r="N97" s="95">
        <f>IF(N$4&lt;$BB$9,0,IFERROR(M65/_xlfn.XLOOKUP(N$4,RMD!$A$21:$A$69,RMD!$B$21:$B$69),0))</f>
        <v>0</v>
      </c>
      <c r="O97" s="95">
        <f>IF(O$4&lt;$BB$9,0,IFERROR(N65/_xlfn.XLOOKUP(O$4,RMD!$A$21:$A$69,RMD!$B$21:$B$69),0))</f>
        <v>0</v>
      </c>
      <c r="P97" s="95">
        <f>IF(P$4&lt;$BB$9,0,IFERROR(O65/_xlfn.XLOOKUP(P$4,RMD!$A$21:$A$69,RMD!$B$21:$B$69),0))</f>
        <v>0</v>
      </c>
      <c r="Q97" s="95">
        <f>IF(Q$4&lt;$BB$9,0,IFERROR(P65/_xlfn.XLOOKUP(Q$4,RMD!$A$21:$A$69,RMD!$B$21:$B$69),0))</f>
        <v>0</v>
      </c>
      <c r="R97" s="95">
        <f>IF(R$4&lt;$BB$9,0,IFERROR(Q65/_xlfn.XLOOKUP(R$4,RMD!$A$21:$A$69,RMD!$B$21:$B$69),0))</f>
        <v>0</v>
      </c>
      <c r="S97" s="95">
        <f>IF(S$4&lt;$BB$9,0,IFERROR(R65/_xlfn.XLOOKUP(S$4,RMD!$A$21:$A$69,RMD!$B$21:$B$69),0))</f>
        <v>0</v>
      </c>
      <c r="T97" s="95">
        <f>IF(T$4&lt;$BB$9,0,IFERROR(S65/_xlfn.XLOOKUP(T$4,RMD!$A$21:$A$69,RMD!$B$21:$B$69),0))</f>
        <v>0</v>
      </c>
      <c r="U97" s="95">
        <f>IF(U$4&lt;$BB$9,0,IFERROR(T65/_xlfn.XLOOKUP(U$4,RMD!$A$21:$A$69,RMD!$B$21:$B$69),0))</f>
        <v>0</v>
      </c>
      <c r="V97" s="95">
        <f>IF(V$4&lt;$BB$9,0,IFERROR(U65/_xlfn.XLOOKUP(V$4,RMD!$A$21:$A$69,RMD!$B$21:$B$69),0))</f>
        <v>0</v>
      </c>
      <c r="W97" s="95">
        <f>IF(W$4&lt;$BB$9,0,IFERROR(V65/_xlfn.XLOOKUP(W$4,RMD!$A$21:$A$69,RMD!$B$21:$B$69),0))</f>
        <v>0</v>
      </c>
      <c r="X97" s="95">
        <f>IF(X$4&lt;$BB$9,0,IFERROR(W65/_xlfn.XLOOKUP(X$4,RMD!$A$21:$A$69,RMD!$B$21:$B$69),0))</f>
        <v>0</v>
      </c>
      <c r="Y97" s="95">
        <f>IF(Y$4&lt;$BB$9,0,IFERROR(X65/_xlfn.XLOOKUP(Y$4,RMD!$A$21:$A$69,RMD!$B$21:$B$69),0))</f>
        <v>0</v>
      </c>
      <c r="Z97" s="95">
        <f>IF(Z$4&lt;$BB$9,0,IFERROR(Y65/_xlfn.XLOOKUP(Z$4,RMD!$A$21:$A$69,RMD!$B$21:$B$69),0))</f>
        <v>0</v>
      </c>
      <c r="AA97" s="95">
        <f>IF(AA$4&lt;$BB$9,0,IFERROR(Z65/_xlfn.XLOOKUP(AA$4,RMD!$A$21:$A$69,RMD!$B$21:$B$69),0))</f>
        <v>0</v>
      </c>
      <c r="AB97" s="95">
        <f>IF(AB$4&lt;$BB$9,0,IFERROR(AA65/_xlfn.XLOOKUP(AB$4,RMD!$A$21:$A$69,RMD!$B$21:$B$69),0))</f>
        <v>0</v>
      </c>
      <c r="AC97" s="95">
        <f>IF(AC$4&lt;$BB$9,0,IFERROR(AB65/_xlfn.XLOOKUP(AC$4,RMD!$A$21:$A$69,RMD!$B$21:$B$69),0))</f>
        <v>0</v>
      </c>
      <c r="AD97" s="95">
        <f>IF(AD$4&lt;$BB$9,0,IFERROR(AC65/_xlfn.XLOOKUP(AD$4,RMD!$A$21:$A$69,RMD!$B$21:$B$69),0))</f>
        <v>0</v>
      </c>
      <c r="AE97" s="95">
        <f>IF(AE$4&lt;$BB$9,0,IFERROR(AD65/_xlfn.XLOOKUP(AE$4,RMD!$A$21:$A$69,RMD!$B$21:$B$69),0))</f>
        <v>0</v>
      </c>
      <c r="AF97" s="95">
        <f>IF(AF$4&lt;$BB$9,0,IFERROR(AE65/_xlfn.XLOOKUP(AF$4,RMD!$A$21:$A$69,RMD!$B$21:$B$69),0))</f>
        <v>0</v>
      </c>
      <c r="AG97" s="95">
        <f>IF(AG$4&lt;$BB$9,0,IFERROR(AF65/_xlfn.XLOOKUP(AG$4,RMD!$A$21:$A$69,RMD!$B$21:$B$69),0))</f>
        <v>0</v>
      </c>
      <c r="AH97" s="95">
        <f>IF(AH$4&lt;$BB$9,0,IFERROR(AG65/_xlfn.XLOOKUP(AH$4,RMD!$A$21:$A$69,RMD!$B$21:$B$69),0))</f>
        <v>0</v>
      </c>
      <c r="AI97" s="95">
        <f>IF(AI$4&lt;$BB$9,0,IFERROR(AH65/_xlfn.XLOOKUP(AI$4,RMD!$A$21:$A$69,RMD!$B$21:$B$69),0))</f>
        <v>0</v>
      </c>
      <c r="AJ97" s="95">
        <f>IF(AJ$4&lt;$BB$9,0,IFERROR(AI65/_xlfn.XLOOKUP(AJ$4,RMD!$A$21:$A$69,RMD!$B$21:$B$69),0))</f>
        <v>0</v>
      </c>
      <c r="AK97" s="95">
        <f>IF(AK$4&lt;$BB$9,0,IFERROR(AJ65/_xlfn.XLOOKUP(AK$4,RMD!$A$21:$A$69,RMD!$B$21:$B$69),0))</f>
        <v>0</v>
      </c>
      <c r="AL97" s="95">
        <f>IF(AL$4&lt;$BB$9,0,IFERROR(AK65/_xlfn.XLOOKUP(AL$4,RMD!$A$21:$A$69,RMD!$B$21:$B$69),0))</f>
        <v>0</v>
      </c>
      <c r="AM97" s="95">
        <f>IF(AM$4&lt;$BB$9,0,IFERROR(AL65/_xlfn.XLOOKUP(AM$4,RMD!$A$21:$A$69,RMD!$B$21:$B$69),0))</f>
        <v>0</v>
      </c>
      <c r="AN97" s="95">
        <f>IF(AN$4&lt;$BB$9,0,IFERROR(AM65/_xlfn.XLOOKUP(AN$4,RMD!$A$21:$A$69,RMD!$B$21:$B$69),0))</f>
        <v>0</v>
      </c>
      <c r="AO97" s="95">
        <f>IF(AO$4&lt;$BB$9,0,IFERROR(AN65/_xlfn.XLOOKUP(AO$4,RMD!$A$21:$A$69,RMD!$B$21:$B$69),0))</f>
        <v>0</v>
      </c>
      <c r="AP97" s="95">
        <f>IF(AP$4&lt;$BB$9,0,IFERROR(AO65/_xlfn.XLOOKUP(AP$4,RMD!$A$21:$A$69,RMD!$B$21:$B$69),0))</f>
        <v>0</v>
      </c>
      <c r="AQ97" s="95">
        <f>IF(AQ$4&lt;$BB$9,0,IFERROR(AP65/_xlfn.XLOOKUP(AQ$4,RMD!$A$21:$A$69,RMD!$B$21:$B$69),0))</f>
        <v>0</v>
      </c>
      <c r="AR97" s="95">
        <f>IF(AR$4&lt;$BB$9,0,IFERROR(AQ65/_xlfn.XLOOKUP(AR$4,RMD!$A$21:$A$69,RMD!$B$21:$B$69),0))</f>
        <v>0</v>
      </c>
      <c r="AS97" s="95">
        <f>IF(AS$4&lt;$BB$9,0,IFERROR(AR65/_xlfn.XLOOKUP(AS$4,RMD!$A$21:$A$69,RMD!$B$21:$B$69),0))</f>
        <v>0</v>
      </c>
      <c r="AT97" s="95">
        <f>IF(AT$4&lt;$BB$9,0,IFERROR(AS65/_xlfn.XLOOKUP(AT$4,RMD!$A$21:$A$69,RMD!$B$21:$B$69),0))</f>
        <v>0</v>
      </c>
      <c r="AU97" s="95">
        <f>IF(AU$4&lt;$BB$9,0,IFERROR(AT65/_xlfn.XLOOKUP(AU$4,RMD!$A$21:$A$69,RMD!$B$21:$B$69),0))</f>
        <v>0</v>
      </c>
      <c r="AV97" s="95">
        <f>IF(AV$4&lt;$BB$9,0,IFERROR(AU65/_xlfn.XLOOKUP(AV$4,RMD!$A$21:$A$69,RMD!$B$21:$B$69),0))</f>
        <v>0</v>
      </c>
      <c r="AW97" s="95">
        <f>IF(AW$4&lt;$BB$9,0,IFERROR(AV65/_xlfn.XLOOKUP(AW$4,RMD!$A$21:$A$69,RMD!$B$21:$B$69),0))</f>
        <v>0</v>
      </c>
      <c r="AX97" s="95">
        <f>IF(AX$4&lt;$BB$9,0,IFERROR(AW65/_xlfn.XLOOKUP(AX$4,RMD!$A$21:$A$69,RMD!$B$21:$B$69),0))</f>
        <v>0</v>
      </c>
      <c r="AY97" s="95">
        <f>IF(AY$4&lt;$BB$9,0,IFERROR(AX65/_xlfn.XLOOKUP(AY$4,RMD!$A$21:$A$69,RMD!$B$21:$B$69),0))</f>
        <v>0</v>
      </c>
      <c r="BA97" s="188"/>
      <c r="BB97" s="188"/>
      <c r="BC97" s="188"/>
      <c r="BD97" s="188"/>
    </row>
    <row r="98" spans="1:56" ht="29.1" hidden="1" thickBot="1" x14ac:dyDescent="0.6">
      <c r="A98" s="161" t="s">
        <v>347</v>
      </c>
      <c r="B98" s="161" t="s">
        <v>659</v>
      </c>
      <c r="C98" s="162" t="s">
        <v>660</v>
      </c>
      <c r="D98" s="95">
        <f>0</f>
        <v>0</v>
      </c>
      <c r="E98" s="95">
        <f>0</f>
        <v>0</v>
      </c>
      <c r="F98" s="95">
        <f>IF(F4&lt;65,0,_xlfn.LET(_xlpm.magi,D24,24*(_xlfn.XLOOKUP(_xlpm.magi,IRMAA!$B$16:$B$21,IRMAA!$D$16:$D$21,0,-1)+_xlfn.XLOOKUP(_xlpm.magi,IRMAA!$B$16:$B$21,IRMAA!$E$16:$E$21,0,-1))))</f>
        <v>0</v>
      </c>
      <c r="G98" s="95">
        <f>IF(G4&lt;65,0,_xlfn.LET(_xlpm.magi,E24,24*(_xlfn.XLOOKUP(_xlpm.magi,IRMAA!$B$16:$B$21,IRMAA!$D$16:$D$21,0,-1)+_xlfn.XLOOKUP(_xlpm.magi,IRMAA!$B$16:$B$21,IRMAA!$E$16:$E$21,0,-1))))</f>
        <v>0</v>
      </c>
      <c r="H98" s="95">
        <f>IF(H4&lt;65,0,_xlfn.LET(_xlpm.magi,F24,24*(_xlfn.XLOOKUP(_xlpm.magi,IRMAA!$B$16:$B$21,IRMAA!$D$16:$D$21,0,-1)+_xlfn.XLOOKUP(_xlpm.magi,IRMAA!$B$16:$B$21,IRMAA!$E$16:$E$21,0,-1))))</f>
        <v>0</v>
      </c>
      <c r="I98" s="95">
        <f>IF(I4&lt;65,0,_xlfn.LET(_xlpm.magi,G24,24*(_xlfn.XLOOKUP(_xlpm.magi,IRMAA!$B$16:$B$21,IRMAA!$D$16:$D$21,0,-1)+_xlfn.XLOOKUP(_xlpm.magi,IRMAA!$B$16:$B$21,IRMAA!$E$16:$E$21,0,-1))))</f>
        <v>0</v>
      </c>
      <c r="J98" s="95">
        <f>IF(J4&lt;65,0,_xlfn.LET(_xlpm.magi,H24,24*(_xlfn.XLOOKUP(_xlpm.magi,IRMAA!$B$16:$B$21,IRMAA!$D$16:$D$21,0,-1)+_xlfn.XLOOKUP(_xlpm.magi,IRMAA!$B$16:$B$21,IRMAA!$E$16:$E$21,0,-1))))</f>
        <v>0</v>
      </c>
      <c r="K98" s="95">
        <f>IF(K4&lt;65,0,_xlfn.LET(_xlpm.magi,I24,24*(_xlfn.XLOOKUP(_xlpm.magi,IRMAA!$B$16:$B$21,IRMAA!$D$16:$D$21,0,-1)+_xlfn.XLOOKUP(_xlpm.magi,IRMAA!$B$16:$B$21,IRMAA!$E$16:$E$21,0,-1))))</f>
        <v>0</v>
      </c>
      <c r="L98" s="95">
        <f>IF(L4&lt;65,0,_xlfn.LET(_xlpm.magi,J24,24*(_xlfn.XLOOKUP(_xlpm.magi,IRMAA!$B$16:$B$21,IRMAA!$D$16:$D$21,0,-1)+_xlfn.XLOOKUP(_xlpm.magi,IRMAA!$B$16:$B$21,IRMAA!$E$16:$E$21,0,-1))))</f>
        <v>0</v>
      </c>
      <c r="M98" s="95">
        <f>IF(M4&lt;65,0,_xlfn.LET(_xlpm.magi,K24,24*(_xlfn.XLOOKUP(_xlpm.magi,IRMAA!$B$16:$B$21,IRMAA!$D$16:$D$21,0,-1)+_xlfn.XLOOKUP(_xlpm.magi,IRMAA!$B$16:$B$21,IRMAA!$E$16:$E$21,0,-1))))</f>
        <v>0</v>
      </c>
      <c r="N98" s="95">
        <f>IF(N4&lt;65,0,_xlfn.LET(_xlpm.magi,L24,24*(_xlfn.XLOOKUP(_xlpm.magi,IRMAA!$B$16:$B$21,IRMAA!$D$16:$D$21,0,-1)+_xlfn.XLOOKUP(_xlpm.magi,IRMAA!$B$16:$B$21,IRMAA!$E$16:$E$21,0,-1))))</f>
        <v>0</v>
      </c>
      <c r="O98" s="95">
        <f>IF(O4&lt;65,0,_xlfn.LET(_xlpm.magi,M24,24*(_xlfn.XLOOKUP(_xlpm.magi,IRMAA!$B$16:$B$21,IRMAA!$D$16:$D$21,0,-1)+_xlfn.XLOOKUP(_xlpm.magi,IRMAA!$B$16:$B$21,IRMAA!$E$16:$E$21,0,-1))))</f>
        <v>0</v>
      </c>
      <c r="P98" s="95">
        <f>IF(P4&lt;65,0,_xlfn.LET(_xlpm.magi,N24,24*(_xlfn.XLOOKUP(_xlpm.magi,IRMAA!$B$16:$B$21,IRMAA!$D$16:$D$21,0,-1)+_xlfn.XLOOKUP(_xlpm.magi,IRMAA!$B$16:$B$21,IRMAA!$E$16:$E$21,0,-1))))</f>
        <v>0</v>
      </c>
      <c r="Q98" s="95">
        <f>IF(Q4&lt;65,0,_xlfn.LET(_xlpm.magi,O24,24*(_xlfn.XLOOKUP(_xlpm.magi,IRMAA!$B$16:$B$21,IRMAA!$D$16:$D$21,0,-1)+_xlfn.XLOOKUP(_xlpm.magi,IRMAA!$B$16:$B$21,IRMAA!$E$16:$E$21,0,-1))))</f>
        <v>0</v>
      </c>
      <c r="R98" s="95">
        <f>IF(R4&lt;65,0,_xlfn.LET(_xlpm.magi,P24,24*(_xlfn.XLOOKUP(_xlpm.magi,IRMAA!$B$16:$B$21,IRMAA!$D$16:$D$21,0,-1)+_xlfn.XLOOKUP(_xlpm.magi,IRMAA!$B$16:$B$21,IRMAA!$E$16:$E$21,0,-1))))</f>
        <v>0</v>
      </c>
      <c r="S98" s="95">
        <f>IF(S4&lt;65,0,_xlfn.LET(_xlpm.magi,Q24,24*(_xlfn.XLOOKUP(_xlpm.magi,IRMAA!$B$16:$B$21,IRMAA!$D$16:$D$21,0,-1)+_xlfn.XLOOKUP(_xlpm.magi,IRMAA!$B$16:$B$21,IRMAA!$E$16:$E$21,0,-1))))</f>
        <v>0</v>
      </c>
      <c r="T98" s="95">
        <f>IF(T4&lt;65,0,_xlfn.LET(_xlpm.magi,R24,24*(_xlfn.XLOOKUP(_xlpm.magi,IRMAA!$B$16:$B$21,IRMAA!$D$16:$D$21,0,-1)+_xlfn.XLOOKUP(_xlpm.magi,IRMAA!$B$16:$B$21,IRMAA!$E$16:$E$21,0,-1))))</f>
        <v>0</v>
      </c>
      <c r="U98" s="95">
        <f>IF(U4&lt;65,0,_xlfn.LET(_xlpm.magi,S24,24*(_xlfn.XLOOKUP(_xlpm.magi,IRMAA!$B$16:$B$21,IRMAA!$D$16:$D$21,0,-1)+_xlfn.XLOOKUP(_xlpm.magi,IRMAA!$B$16:$B$21,IRMAA!$E$16:$E$21,0,-1))))</f>
        <v>0</v>
      </c>
      <c r="V98" s="95">
        <f>IF(V4&lt;65,0,_xlfn.LET(_xlpm.magi,T24,24*(_xlfn.XLOOKUP(_xlpm.magi,IRMAA!$B$16:$B$21,IRMAA!$D$16:$D$21,0,-1)+_xlfn.XLOOKUP(_xlpm.magi,IRMAA!$B$16:$B$21,IRMAA!$E$16:$E$21,0,-1))))</f>
        <v>0</v>
      </c>
      <c r="W98" s="95">
        <f>IF(W4&lt;65,0,_xlfn.LET(_xlpm.magi,U24,24*(_xlfn.XLOOKUP(_xlpm.magi,IRMAA!$B$16:$B$21,IRMAA!$D$16:$D$21,0,-1)+_xlfn.XLOOKUP(_xlpm.magi,IRMAA!$B$16:$B$21,IRMAA!$E$16:$E$21,0,-1))))</f>
        <v>0</v>
      </c>
      <c r="X98" s="95">
        <f>IF(X4&lt;65,0,_xlfn.LET(_xlpm.magi,V24,24*(_xlfn.XLOOKUP(_xlpm.magi,IRMAA!$B$16:$B$21,IRMAA!$D$16:$D$21,0,-1)+_xlfn.XLOOKUP(_xlpm.magi,IRMAA!$B$16:$B$21,IRMAA!$E$16:$E$21,0,-1))))</f>
        <v>0</v>
      </c>
      <c r="Y98" s="95">
        <f>IF(Y4&lt;65,0,_xlfn.LET(_xlpm.magi,W24,24*(_xlfn.XLOOKUP(_xlpm.magi,IRMAA!$B$16:$B$21,IRMAA!$D$16:$D$21,0,-1)+_xlfn.XLOOKUP(_xlpm.magi,IRMAA!$B$16:$B$21,IRMAA!$E$16:$E$21,0,-1))))</f>
        <v>0</v>
      </c>
      <c r="Z98" s="95">
        <f>IF(Z4&lt;65,0,_xlfn.LET(_xlpm.magi,X24,24*(_xlfn.XLOOKUP(_xlpm.magi,IRMAA!$B$16:$B$21,IRMAA!$D$16:$D$21,0,-1)+_xlfn.XLOOKUP(_xlpm.magi,IRMAA!$B$16:$B$21,IRMAA!$E$16:$E$21,0,-1))))</f>
        <v>0</v>
      </c>
      <c r="AA98" s="95">
        <f>IF(AA4&lt;65,0,_xlfn.LET(_xlpm.magi,Y24,24*(_xlfn.XLOOKUP(_xlpm.magi,IRMAA!$B$16:$B$21,IRMAA!$D$16:$D$21,0,-1)+_xlfn.XLOOKUP(_xlpm.magi,IRMAA!$B$16:$B$21,IRMAA!$E$16:$E$21,0,-1))))</f>
        <v>0</v>
      </c>
      <c r="AB98" s="95">
        <f>IF(AB4&lt;65,0,_xlfn.LET(_xlpm.magi,Z24,24*(_xlfn.XLOOKUP(_xlpm.magi,IRMAA!$B$16:$B$21,IRMAA!$D$16:$D$21,0,-1)+_xlfn.XLOOKUP(_xlpm.magi,IRMAA!$B$16:$B$21,IRMAA!$E$16:$E$21,0,-1))))</f>
        <v>0</v>
      </c>
      <c r="AC98" s="95">
        <f>IF(AC4&lt;65,0,_xlfn.LET(_xlpm.magi,AA24,24*(_xlfn.XLOOKUP(_xlpm.magi,IRMAA!$B$16:$B$21,IRMAA!$D$16:$D$21,0,-1)+_xlfn.XLOOKUP(_xlpm.magi,IRMAA!$B$16:$B$21,IRMAA!$E$16:$E$21,0,-1))))</f>
        <v>0</v>
      </c>
      <c r="AD98" s="95">
        <f>IF(AD4&lt;65,0,_xlfn.LET(_xlpm.magi,AB24,24*(_xlfn.XLOOKUP(_xlpm.magi,IRMAA!$B$16:$B$21,IRMAA!$D$16:$D$21,0,-1)+_xlfn.XLOOKUP(_xlpm.magi,IRMAA!$B$16:$B$21,IRMAA!$E$16:$E$21,0,-1))))</f>
        <v>0</v>
      </c>
      <c r="AE98" s="95">
        <f>IF(AE4&lt;65,0,_xlfn.LET(_xlpm.magi,AC24,24*(_xlfn.XLOOKUP(_xlpm.magi,IRMAA!$B$16:$B$21,IRMAA!$D$16:$D$21,0,-1)+_xlfn.XLOOKUP(_xlpm.magi,IRMAA!$B$16:$B$21,IRMAA!$E$16:$E$21,0,-1))))</f>
        <v>0</v>
      </c>
      <c r="AF98" s="95">
        <f>IF(AF4&lt;65,0,_xlfn.LET(_xlpm.magi,AD24,24*(_xlfn.XLOOKUP(_xlpm.magi,IRMAA!$B$16:$B$21,IRMAA!$D$16:$D$21,0,-1)+_xlfn.XLOOKUP(_xlpm.magi,IRMAA!$B$16:$B$21,IRMAA!$E$16:$E$21,0,-1))))</f>
        <v>0</v>
      </c>
      <c r="AG98" s="95">
        <f>IF(AG4&lt;65,0,_xlfn.LET(_xlpm.magi,AE24,24*(_xlfn.XLOOKUP(_xlpm.magi,IRMAA!$B$16:$B$21,IRMAA!$D$16:$D$21,0,-1)+_xlfn.XLOOKUP(_xlpm.magi,IRMAA!$B$16:$B$21,IRMAA!$E$16:$E$21,0,-1))))</f>
        <v>0</v>
      </c>
      <c r="AH98" s="95">
        <f>IF(AH4&lt;65,0,_xlfn.LET(_xlpm.magi,AF24,24*(_xlfn.XLOOKUP(_xlpm.magi,IRMAA!$B$16:$B$21,IRMAA!$D$16:$D$21,0,-1)+_xlfn.XLOOKUP(_xlpm.magi,IRMAA!$B$16:$B$21,IRMAA!$E$16:$E$21,0,-1))))</f>
        <v>0</v>
      </c>
      <c r="AI98" s="95">
        <f>IF(AI4&lt;65,0,_xlfn.LET(_xlpm.magi,AG24,24*(_xlfn.XLOOKUP(_xlpm.magi,IRMAA!$B$16:$B$21,IRMAA!$D$16:$D$21,0,-1)+_xlfn.XLOOKUP(_xlpm.magi,IRMAA!$B$16:$B$21,IRMAA!$E$16:$E$21,0,-1))))</f>
        <v>0</v>
      </c>
      <c r="AJ98" s="95">
        <f>IF(AJ4&lt;65,0,_xlfn.LET(_xlpm.magi,AH24,24*(_xlfn.XLOOKUP(_xlpm.magi,IRMAA!$B$16:$B$21,IRMAA!$D$16:$D$21,0,-1)+_xlfn.XLOOKUP(_xlpm.magi,IRMAA!$B$16:$B$21,IRMAA!$E$16:$E$21,0,-1))))</f>
        <v>0</v>
      </c>
      <c r="AK98" s="95">
        <f>IF(AK4&lt;65,0,_xlfn.LET(_xlpm.magi,AI24,24*(_xlfn.XLOOKUP(_xlpm.magi,IRMAA!$B$16:$B$21,IRMAA!$D$16:$D$21,0,-1)+_xlfn.XLOOKUP(_xlpm.magi,IRMAA!$B$16:$B$21,IRMAA!$E$16:$E$21,0,-1))))</f>
        <v>0</v>
      </c>
      <c r="AL98" s="95">
        <f>IF(AL4&lt;65,0,_xlfn.LET(_xlpm.magi,AJ24,24*(_xlfn.XLOOKUP(_xlpm.magi,IRMAA!$B$16:$B$21,IRMAA!$D$16:$D$21,0,-1)+_xlfn.XLOOKUP(_xlpm.magi,IRMAA!$B$16:$B$21,IRMAA!$E$16:$E$21,0,-1))))</f>
        <v>0</v>
      </c>
      <c r="AM98" s="95">
        <f>IF(AM4&lt;65,0,_xlfn.LET(_xlpm.magi,AK24,24*(_xlfn.XLOOKUP(_xlpm.magi,IRMAA!$B$16:$B$21,IRMAA!$D$16:$D$21,0,-1)+_xlfn.XLOOKUP(_xlpm.magi,IRMAA!$B$16:$B$21,IRMAA!$E$16:$E$21,0,-1))))</f>
        <v>0</v>
      </c>
      <c r="AN98" s="95">
        <f>IF(AN4&lt;65,0,_xlfn.LET(_xlpm.magi,AL24,24*(_xlfn.XLOOKUP(_xlpm.magi,IRMAA!$B$16:$B$21,IRMAA!$D$16:$D$21,0,-1)+_xlfn.XLOOKUP(_xlpm.magi,IRMAA!$B$16:$B$21,IRMAA!$E$16:$E$21,0,-1))))</f>
        <v>0</v>
      </c>
      <c r="AO98" s="95">
        <f>IF(AO4&lt;65,0,_xlfn.LET(_xlpm.magi,AM24,24*(_xlfn.XLOOKUP(_xlpm.magi,IRMAA!$B$16:$B$21,IRMAA!$D$16:$D$21,0,-1)+_xlfn.XLOOKUP(_xlpm.magi,IRMAA!$B$16:$B$21,IRMAA!$E$16:$E$21,0,-1))))</f>
        <v>0</v>
      </c>
      <c r="AP98" s="95">
        <f>IF(AP4&lt;65,0,_xlfn.LET(_xlpm.magi,AN24,24*(_xlfn.XLOOKUP(_xlpm.magi,IRMAA!$B$16:$B$21,IRMAA!$D$16:$D$21,0,-1)+_xlfn.XLOOKUP(_xlpm.magi,IRMAA!$B$16:$B$21,IRMAA!$E$16:$E$21,0,-1))))</f>
        <v>0</v>
      </c>
      <c r="AQ98" s="95">
        <f>IF(AQ4&lt;65,0,_xlfn.LET(_xlpm.magi,AO24,24*(_xlfn.XLOOKUP(_xlpm.magi,IRMAA!$B$16:$B$21,IRMAA!$D$16:$D$21,0,-1)+_xlfn.XLOOKUP(_xlpm.magi,IRMAA!$B$16:$B$21,IRMAA!$E$16:$E$21,0,-1))))</f>
        <v>0</v>
      </c>
      <c r="AR98" s="95">
        <f>IF(AR4&lt;65,0,_xlfn.LET(_xlpm.magi,AP24,24*(_xlfn.XLOOKUP(_xlpm.magi,IRMAA!$B$16:$B$21,IRMAA!$D$16:$D$21,0,-1)+_xlfn.XLOOKUP(_xlpm.magi,IRMAA!$B$16:$B$21,IRMAA!$E$16:$E$21,0,-1))))</f>
        <v>0</v>
      </c>
      <c r="AS98" s="95">
        <f>IF(AS4&lt;65,0,_xlfn.LET(_xlpm.magi,AQ24,24*(_xlfn.XLOOKUP(_xlpm.magi,IRMAA!$B$16:$B$21,IRMAA!$D$16:$D$21,0,-1)+_xlfn.XLOOKUP(_xlpm.magi,IRMAA!$B$16:$B$21,IRMAA!$E$16:$E$21,0,-1))))</f>
        <v>0</v>
      </c>
      <c r="AT98" s="95">
        <f>IF(AT4&lt;65,0,_xlfn.LET(_xlpm.magi,AR24,24*(_xlfn.XLOOKUP(_xlpm.magi,IRMAA!$B$16:$B$21,IRMAA!$D$16:$D$21,0,-1)+_xlfn.XLOOKUP(_xlpm.magi,IRMAA!$B$16:$B$21,IRMAA!$E$16:$E$21,0,-1))))</f>
        <v>0</v>
      </c>
      <c r="AU98" s="95">
        <f>IF(AU4&lt;65,0,_xlfn.LET(_xlpm.magi,AS24,24*(_xlfn.XLOOKUP(_xlpm.magi,IRMAA!$B$16:$B$21,IRMAA!$D$16:$D$21,0,-1)+_xlfn.XLOOKUP(_xlpm.magi,IRMAA!$B$16:$B$21,IRMAA!$E$16:$E$21,0,-1))))</f>
        <v>0</v>
      </c>
      <c r="AV98" s="95">
        <f>IF(AV4&lt;65,0,_xlfn.LET(_xlpm.magi,AT24,24*(_xlfn.XLOOKUP(_xlpm.magi,IRMAA!$B$16:$B$21,IRMAA!$D$16:$D$21,0,-1)+_xlfn.XLOOKUP(_xlpm.magi,IRMAA!$B$16:$B$21,IRMAA!$E$16:$E$21,0,-1))))</f>
        <v>0</v>
      </c>
      <c r="AW98" s="95">
        <f>IF(AW4&lt;65,0,_xlfn.LET(_xlpm.magi,AU24,24*(_xlfn.XLOOKUP(_xlpm.magi,IRMAA!$B$16:$B$21,IRMAA!$D$16:$D$21,0,-1)+_xlfn.XLOOKUP(_xlpm.magi,IRMAA!$B$16:$B$21,IRMAA!$E$16:$E$21,0,-1))))</f>
        <v>0</v>
      </c>
      <c r="AX98" s="95">
        <f>IF(AX4&lt;65,0,_xlfn.LET(_xlpm.magi,AV24,24*(_xlfn.XLOOKUP(_xlpm.magi,IRMAA!$B$16:$B$21,IRMAA!$D$16:$D$21,0,-1)+_xlfn.XLOOKUP(_xlpm.magi,IRMAA!$B$16:$B$21,IRMAA!$E$16:$E$21,0,-1))))</f>
        <v>0</v>
      </c>
      <c r="AY98" s="95">
        <f>IF(AY4&lt;65,0,_xlfn.LET(_xlpm.magi,AW24,24*(_xlfn.XLOOKUP(_xlpm.magi,IRMAA!$B$16:$B$21,IRMAA!$D$16:$D$21,0,-1)+_xlfn.XLOOKUP(_xlpm.magi,IRMAA!$B$16:$B$21,IRMAA!$E$16:$E$21,0,-1))))</f>
        <v>0</v>
      </c>
      <c r="BA98" s="188"/>
      <c r="BB98" s="188"/>
      <c r="BC98" s="188"/>
      <c r="BD98" s="188"/>
    </row>
    <row r="99" spans="1:56" ht="20.100000000000001" customHeight="1" thickTop="1" thickBot="1" x14ac:dyDescent="0.6">
      <c r="A99" s="245" t="s">
        <v>439</v>
      </c>
      <c r="B99" s="245" t="s">
        <v>685</v>
      </c>
      <c r="C99" s="246" t="s">
        <v>699</v>
      </c>
      <c r="D99" s="247">
        <f>SUM(D98:AY98)</f>
        <v>0</v>
      </c>
      <c r="E99" s="129"/>
      <c r="F99" s="130"/>
      <c r="G99" s="131"/>
      <c r="H99" s="104"/>
      <c r="I99" s="104"/>
      <c r="J99" s="104"/>
      <c r="K99" s="104"/>
      <c r="L99" s="104"/>
      <c r="M99" s="104"/>
      <c r="N99" s="104"/>
      <c r="O99" s="104"/>
      <c r="P99" s="104"/>
      <c r="Q99" s="104"/>
      <c r="R99" s="104"/>
      <c r="S99" s="104"/>
      <c r="T99" s="104"/>
      <c r="U99" s="104"/>
      <c r="V99" s="104"/>
      <c r="W99" s="104"/>
      <c r="X99" s="104"/>
      <c r="Y99" s="104"/>
      <c r="Z99" s="104"/>
      <c r="AA99" s="104"/>
      <c r="AB99" s="104"/>
      <c r="AC99" s="104"/>
      <c r="AD99" s="104"/>
      <c r="AE99" s="104"/>
      <c r="AF99" s="104"/>
      <c r="AG99" s="104"/>
      <c r="AH99" s="104"/>
      <c r="AI99" s="104"/>
      <c r="AJ99" s="104"/>
      <c r="AK99" s="104"/>
      <c r="AL99" s="104"/>
      <c r="AM99" s="104"/>
      <c r="AN99" s="104"/>
      <c r="AO99" s="104"/>
      <c r="AP99" s="104"/>
      <c r="AQ99" s="104"/>
      <c r="AR99" s="104"/>
      <c r="AS99" s="104"/>
      <c r="AT99" s="104"/>
      <c r="AU99" s="104"/>
      <c r="AV99" s="104"/>
      <c r="AW99" s="104"/>
      <c r="AX99" s="104"/>
      <c r="AY99" s="104"/>
      <c r="BA99" s="188"/>
      <c r="BB99" s="188"/>
      <c r="BC99" s="188"/>
      <c r="BD99" s="188"/>
    </row>
    <row r="100" spans="1:56" ht="20.100000000000001" customHeight="1" thickBot="1" x14ac:dyDescent="0.6">
      <c r="A100" s="242" t="s">
        <v>439</v>
      </c>
      <c r="B100" s="242" t="s">
        <v>686</v>
      </c>
      <c r="C100" s="243" t="s">
        <v>687</v>
      </c>
      <c r="D100" s="244">
        <f>AY36+AY38+AY37*(1-$BB$80)</f>
        <v>1745129.9685042307</v>
      </c>
      <c r="E100" s="133"/>
      <c r="F100" s="134"/>
      <c r="G100" s="135"/>
      <c r="H100" s="106"/>
      <c r="I100" s="106"/>
      <c r="J100" s="106"/>
      <c r="K100" s="106"/>
      <c r="L100" s="106"/>
      <c r="M100" s="106"/>
      <c r="N100" s="106"/>
      <c r="O100" s="106"/>
      <c r="P100" s="106"/>
      <c r="Q100" s="106"/>
      <c r="R100" s="106"/>
      <c r="S100" s="106"/>
      <c r="T100" s="106"/>
      <c r="U100" s="106"/>
      <c r="V100" s="106"/>
      <c r="W100" s="106"/>
      <c r="X100" s="106"/>
      <c r="Y100" s="106"/>
      <c r="Z100" s="106"/>
      <c r="AA100" s="106"/>
      <c r="AB100" s="106"/>
      <c r="AC100" s="106"/>
      <c r="AD100" s="106"/>
      <c r="AE100" s="106"/>
      <c r="AF100" s="106"/>
      <c r="AG100" s="106"/>
      <c r="AH100" s="106"/>
      <c r="AI100" s="106"/>
      <c r="AJ100" s="106"/>
      <c r="AK100" s="106"/>
      <c r="AL100" s="106"/>
      <c r="AM100" s="106"/>
      <c r="AN100" s="106"/>
      <c r="AO100" s="106"/>
      <c r="AP100" s="106"/>
      <c r="AQ100" s="106"/>
      <c r="AR100" s="106"/>
      <c r="AS100" s="106"/>
      <c r="AT100" s="106"/>
      <c r="AU100" s="106"/>
      <c r="AV100" s="106"/>
      <c r="AW100" s="106"/>
      <c r="AX100" s="106"/>
      <c r="AY100" s="106"/>
      <c r="BA100" s="188"/>
      <c r="BB100" s="188"/>
      <c r="BC100" s="188"/>
      <c r="BD100" s="188"/>
    </row>
    <row r="101" spans="1:56" ht="20.100000000000001" customHeight="1" thickBot="1" x14ac:dyDescent="0.6">
      <c r="A101" s="236" t="s">
        <v>439</v>
      </c>
      <c r="B101" s="236" t="s">
        <v>688</v>
      </c>
      <c r="C101" s="237" t="s">
        <v>689</v>
      </c>
      <c r="D101" s="238">
        <f>AY57+AY59+AY58*(1-$BB$80)</f>
        <v>1745129.9685042307</v>
      </c>
      <c r="E101" s="133"/>
      <c r="F101" s="134"/>
      <c r="G101" s="135"/>
      <c r="H101" s="106"/>
      <c r="I101" s="106"/>
      <c r="J101" s="106"/>
      <c r="K101" s="106"/>
      <c r="L101" s="106"/>
      <c r="M101" s="106"/>
      <c r="N101" s="106"/>
      <c r="O101" s="106"/>
      <c r="P101" s="106"/>
      <c r="Q101" s="106"/>
      <c r="R101" s="106"/>
      <c r="S101" s="106"/>
      <c r="T101" s="106"/>
      <c r="U101" s="106"/>
      <c r="V101" s="106"/>
      <c r="W101" s="106"/>
      <c r="X101" s="106"/>
      <c r="Y101" s="106"/>
      <c r="Z101" s="106"/>
      <c r="AA101" s="106"/>
      <c r="AB101" s="106"/>
      <c r="AC101" s="106"/>
      <c r="AD101" s="106"/>
      <c r="AE101" s="106"/>
      <c r="AF101" s="106"/>
      <c r="AG101" s="106"/>
      <c r="AH101" s="106"/>
      <c r="AI101" s="106"/>
      <c r="AJ101" s="106"/>
      <c r="AK101" s="106"/>
      <c r="AL101" s="106"/>
      <c r="AM101" s="106"/>
      <c r="AN101" s="106"/>
      <c r="AO101" s="106"/>
      <c r="AP101" s="106"/>
      <c r="AQ101" s="106"/>
      <c r="AR101" s="106"/>
      <c r="AS101" s="106"/>
      <c r="AT101" s="106"/>
      <c r="AU101" s="106"/>
      <c r="AV101" s="106"/>
      <c r="AW101" s="106"/>
      <c r="AX101" s="106"/>
      <c r="AY101" s="106"/>
      <c r="BA101" s="188"/>
      <c r="BB101" s="188"/>
      <c r="BC101" s="188"/>
      <c r="BD101" s="188"/>
    </row>
    <row r="102" spans="1:56" ht="20.100000000000001" customHeight="1" thickBot="1" x14ac:dyDescent="0.6">
      <c r="A102" s="236" t="s">
        <v>439</v>
      </c>
      <c r="B102" s="236" t="s">
        <v>690</v>
      </c>
      <c r="C102" s="237" t="s">
        <v>691</v>
      </c>
      <c r="D102" s="238">
        <f>AY64+AY66+AY65*(1-$BB$80)</f>
        <v>3350430.0475923708</v>
      </c>
      <c r="E102" s="133"/>
      <c r="F102" s="134"/>
      <c r="G102" s="135"/>
      <c r="H102" s="106"/>
      <c r="I102" s="106"/>
      <c r="J102" s="106"/>
      <c r="K102" s="106"/>
      <c r="L102" s="106"/>
      <c r="M102" s="106"/>
      <c r="N102" s="106"/>
      <c r="O102" s="106"/>
      <c r="P102" s="106"/>
      <c r="Q102" s="106"/>
      <c r="R102" s="106"/>
      <c r="S102" s="106"/>
      <c r="T102" s="106"/>
      <c r="U102" s="106"/>
      <c r="V102" s="106"/>
      <c r="W102" s="106"/>
      <c r="X102" s="106"/>
      <c r="Y102" s="106"/>
      <c r="Z102" s="106"/>
      <c r="AA102" s="106"/>
      <c r="AB102" s="106"/>
      <c r="AC102" s="106"/>
      <c r="AD102" s="106"/>
      <c r="AE102" s="106"/>
      <c r="AF102" s="106"/>
      <c r="AG102" s="106"/>
      <c r="AH102" s="106"/>
      <c r="AI102" s="106"/>
      <c r="AJ102" s="106"/>
      <c r="AK102" s="106"/>
      <c r="AL102" s="106"/>
      <c r="AM102" s="106"/>
      <c r="AN102" s="106"/>
      <c r="AO102" s="106"/>
      <c r="AP102" s="106"/>
      <c r="AQ102" s="106"/>
      <c r="AR102" s="106"/>
      <c r="AS102" s="106"/>
      <c r="AT102" s="106"/>
      <c r="AU102" s="106"/>
      <c r="AV102" s="106"/>
      <c r="AW102" s="106"/>
      <c r="AX102" s="106"/>
      <c r="AY102" s="106"/>
      <c r="BA102" s="188"/>
      <c r="BB102" s="188"/>
      <c r="BC102" s="188"/>
      <c r="BD102" s="188"/>
    </row>
    <row r="103" spans="1:56" ht="20.100000000000001" customHeight="1" thickBot="1" x14ac:dyDescent="0.6">
      <c r="A103" s="239" t="s">
        <v>439</v>
      </c>
      <c r="B103" s="239" t="s">
        <v>692</v>
      </c>
      <c r="C103" s="240" t="s">
        <v>693</v>
      </c>
      <c r="D103" s="241">
        <f>SUM(D95:AY95)</f>
        <v>15325</v>
      </c>
      <c r="E103" s="137"/>
      <c r="F103" s="138"/>
      <c r="G103" s="139"/>
      <c r="H103" s="108"/>
      <c r="I103" s="108"/>
      <c r="J103" s="108"/>
      <c r="K103" s="108"/>
      <c r="L103" s="108"/>
      <c r="M103" s="108"/>
      <c r="N103" s="108"/>
      <c r="O103" s="108"/>
      <c r="P103" s="108"/>
      <c r="Q103" s="108"/>
      <c r="R103" s="108"/>
      <c r="S103" s="108"/>
      <c r="T103" s="108"/>
      <c r="U103" s="108"/>
      <c r="V103" s="108"/>
      <c r="W103" s="108"/>
      <c r="X103" s="108"/>
      <c r="Y103" s="108"/>
      <c r="Z103" s="108"/>
      <c r="AA103" s="108"/>
      <c r="AB103" s="108"/>
      <c r="AC103" s="108"/>
      <c r="AD103" s="108"/>
      <c r="AE103" s="108"/>
      <c r="AF103" s="108"/>
      <c r="AG103" s="108"/>
      <c r="AH103" s="108"/>
      <c r="AI103" s="108"/>
      <c r="AJ103" s="108"/>
      <c r="AK103" s="108"/>
      <c r="AL103" s="108"/>
      <c r="AM103" s="108"/>
      <c r="AN103" s="108"/>
      <c r="AO103" s="108"/>
      <c r="AP103" s="108"/>
      <c r="AQ103" s="108"/>
      <c r="AR103" s="108"/>
      <c r="AS103" s="108"/>
      <c r="AT103" s="108"/>
      <c r="AU103" s="108"/>
      <c r="AV103" s="108"/>
      <c r="AW103" s="108"/>
      <c r="AX103" s="108"/>
      <c r="AY103" s="108"/>
      <c r="BA103" s="188"/>
      <c r="BB103" s="188"/>
      <c r="BC103" s="188"/>
      <c r="BD103" s="188"/>
    </row>
    <row r="104" spans="1:56" hidden="1" x14ac:dyDescent="0.55000000000000004">
      <c r="A104" s="161" t="s">
        <v>665</v>
      </c>
      <c r="B104" s="161" t="s">
        <v>666</v>
      </c>
      <c r="C104" s="162" t="s">
        <v>667</v>
      </c>
      <c r="D104" s="96">
        <f>_xlfn.LET(_xlpm.c,0,_xlpm.o,D6+D7+D15+_xlpm.c,_xlpm.prov,_xlpm.o+D8*0.5,_xlpm.tSS,D8*IF(AND($BB$38&lt;=0,$BB$39&lt;=0),IF(D8&gt;0,0.85,0),IF(_xlpm.prov&lt;$BB$38,0,IF(_xlpm.prov&lt;$BB$39,0.5,0.85))),_xlpm.Ordinary,_xlpm.o+_xlpm.tSS,_xlpm.LTCG,D21,_xlpm.TaxableOrd,MAX(0,_xlpm.Ordinary-$BB$7),_xlpm.OrdTax,MAX(0,MIN(_xlpm.TaxableOrd,$BB$35))*0.1+MAX(0,MIN(_xlpm.TaxableOrd,$BB$10)-$BB$35)*0.12+MAX(0,MIN(_xlpm.TaxableOrd,$BB$11)-$BB$10)*0.22+MAX(0,MIN(_xlpm.TaxableOrd,$BB$12)-$BB$11)*0.24+MAX(0,MIN(_xlpm.TaxableOrd,$BB$36)-$BB$12)*0.32+MAX(0,MIN(_xlpm.TaxableOrd,$BB$37)-$BB$36)*0.35+MAX(0,_xlpm.TaxableOrd-$BB$37)*0.37,_xlpm.lo,_xlpm.TaxableOrd,_xlpm.hi,_xlpm.TaxableOrd+_xlpm.LTCG,_xlpm.CGTax,MAX(0,MIN(_xlpm.hi,$BB$15)-_xlpm.lo)*0+MAX(0,MIN(_xlpm.hi,$BB$16)-MAX(_xlpm.lo,$BB$15))*0.15+MAX(0,_xlpm.hi-MAX(_xlpm.lo,$BB$16))*0.2,_xlpm.NIIT,MAX(0,(_xlpm.Ordinary+_xlpm.LTCG-$BB$14))*0.038,_xlpm.OrdTax+_xlpm.CGTax+_xlpm.NIIT)</f>
        <v>23260</v>
      </c>
      <c r="E104" s="96">
        <f t="shared" ref="E104:AY104" si="133">_xlfn.LET(_xlpm.c,0,_xlpm.o,E6+E7+E15+_xlpm.c,_xlpm.prov,_xlpm.o+E8*0.5,_xlpm.tSS,E8*IF(AND($BB$38&lt;=0,$BB$39&lt;=0),IF(E8&gt;0,0.85,0),IF(_xlpm.prov&lt;$BB$38,0,IF(_xlpm.prov&lt;$BB$39,0.5,0.85))),_xlpm.Ordinary,_xlpm.o+_xlpm.tSS,_xlpm.LTCG,E21,_xlpm.TaxableOrd,MAX(0,_xlpm.Ordinary-$BB$7),_xlpm.OrdTax,MAX(0,MIN(_xlpm.TaxableOrd,$BB$35))*0.1+MAX(0,MIN(_xlpm.TaxableOrd,$BB$10)-$BB$35)*0.12+MAX(0,MIN(_xlpm.TaxableOrd,$BB$11)-$BB$10)*0.22+MAX(0,MIN(_xlpm.TaxableOrd,$BB$12)-$BB$11)*0.24+MAX(0,MIN(_xlpm.TaxableOrd,$BB$36)-$BB$12)*0.32+MAX(0,MIN(_xlpm.TaxableOrd,$BB$37)-$BB$36)*0.35+MAX(0,_xlpm.TaxableOrd-$BB$37)*0.37,_xlpm.lo,_xlpm.TaxableOrd,_xlpm.hi,_xlpm.TaxableOrd+_xlpm.LTCG,_xlpm.CGTax,MAX(0,MIN(_xlpm.hi,$BB$15)-_xlpm.lo)*0+MAX(0,MIN(_xlpm.hi,$BB$16)-MAX(_xlpm.lo,$BB$15))*0.15+MAX(0,_xlpm.hi-MAX(_xlpm.lo,$BB$16))*0.2,_xlpm.NIIT,MAX(0,(_xlpm.Ordinary+_xlpm.LTCG-$BB$14))*0.038,_xlpm.OrdTax+_xlpm.CGTax+_xlpm.NIIT)</f>
        <v>23260</v>
      </c>
      <c r="F104" s="96">
        <f t="shared" si="133"/>
        <v>23260</v>
      </c>
      <c r="G104" s="96">
        <f t="shared" si="133"/>
        <v>23260</v>
      </c>
      <c r="H104" s="96">
        <f t="shared" si="133"/>
        <v>23260</v>
      </c>
      <c r="I104" s="96">
        <f t="shared" si="133"/>
        <v>23260</v>
      </c>
      <c r="J104" s="96">
        <f t="shared" si="133"/>
        <v>23260</v>
      </c>
      <c r="K104" s="96">
        <f t="shared" si="133"/>
        <v>23260</v>
      </c>
      <c r="L104" s="96">
        <f t="shared" si="133"/>
        <v>23260</v>
      </c>
      <c r="M104" s="96">
        <f t="shared" si="133"/>
        <v>23260</v>
      </c>
      <c r="N104" s="96">
        <f t="shared" si="133"/>
        <v>23260</v>
      </c>
      <c r="O104" s="96">
        <f t="shared" si="133"/>
        <v>23260</v>
      </c>
      <c r="P104" s="96">
        <f t="shared" si="133"/>
        <v>23260</v>
      </c>
      <c r="Q104" s="96">
        <f t="shared" si="133"/>
        <v>23260</v>
      </c>
      <c r="R104" s="96">
        <f t="shared" si="133"/>
        <v>23260</v>
      </c>
      <c r="S104" s="96">
        <f t="shared" si="133"/>
        <v>23260</v>
      </c>
      <c r="T104" s="96">
        <f t="shared" si="133"/>
        <v>23260</v>
      </c>
      <c r="U104" s="96">
        <f t="shared" si="133"/>
        <v>23260</v>
      </c>
      <c r="V104" s="96">
        <f t="shared" si="133"/>
        <v>23260</v>
      </c>
      <c r="W104" s="96">
        <f t="shared" si="133"/>
        <v>23260</v>
      </c>
      <c r="X104" s="96">
        <f t="shared" si="133"/>
        <v>23260</v>
      </c>
      <c r="Y104" s="96">
        <f t="shared" si="133"/>
        <v>23260</v>
      </c>
      <c r="Z104" s="96">
        <f t="shared" si="133"/>
        <v>23260</v>
      </c>
      <c r="AA104" s="96">
        <f t="shared" si="133"/>
        <v>0</v>
      </c>
      <c r="AB104" s="96">
        <f t="shared" si="133"/>
        <v>0</v>
      </c>
      <c r="AC104" s="96">
        <f t="shared" si="133"/>
        <v>0</v>
      </c>
      <c r="AD104" s="96">
        <f t="shared" si="133"/>
        <v>0</v>
      </c>
      <c r="AE104" s="96">
        <f t="shared" si="133"/>
        <v>0</v>
      </c>
      <c r="AF104" s="96">
        <f t="shared" si="133"/>
        <v>0</v>
      </c>
      <c r="AG104" s="96">
        <f t="shared" si="133"/>
        <v>0</v>
      </c>
      <c r="AH104" s="96">
        <f t="shared" si="133"/>
        <v>0</v>
      </c>
      <c r="AI104" s="96">
        <f t="shared" si="133"/>
        <v>0</v>
      </c>
      <c r="AJ104" s="96">
        <f t="shared" si="133"/>
        <v>0</v>
      </c>
      <c r="AK104" s="96">
        <f t="shared" si="133"/>
        <v>0</v>
      </c>
      <c r="AL104" s="96">
        <f t="shared" si="133"/>
        <v>0</v>
      </c>
      <c r="AM104" s="96">
        <f t="shared" si="133"/>
        <v>0</v>
      </c>
      <c r="AN104" s="96">
        <f t="shared" si="133"/>
        <v>0</v>
      </c>
      <c r="AO104" s="96">
        <f t="shared" si="133"/>
        <v>10198.909842679364</v>
      </c>
      <c r="AP104" s="96">
        <f t="shared" si="133"/>
        <v>10693.271101393577</v>
      </c>
      <c r="AQ104" s="96">
        <f t="shared" si="133"/>
        <v>11174.021862175365</v>
      </c>
      <c r="AR104" s="96">
        <f t="shared" si="133"/>
        <v>11826.552177689118</v>
      </c>
      <c r="AS104" s="96">
        <f t="shared" si="133"/>
        <v>12890.766860948866</v>
      </c>
      <c r="AT104" s="96">
        <f t="shared" si="133"/>
        <v>14014.62316826899</v>
      </c>
      <c r="AU104" s="96">
        <f t="shared" si="133"/>
        <v>15088.895136428182</v>
      </c>
      <c r="AV104" s="96">
        <f t="shared" si="133"/>
        <v>16335.099277896263</v>
      </c>
      <c r="AW104" s="96">
        <f t="shared" si="133"/>
        <v>17513.175369584718</v>
      </c>
      <c r="AX104" s="96">
        <f t="shared" si="133"/>
        <v>18892.746550628792</v>
      </c>
      <c r="AY104" s="96">
        <f t="shared" si="133"/>
        <v>20179.076215435554</v>
      </c>
      <c r="BA104" s="188"/>
      <c r="BB104" s="188"/>
      <c r="BC104" s="188"/>
      <c r="BD104" s="188"/>
    </row>
    <row r="105" spans="1:56" hidden="1" x14ac:dyDescent="0.55000000000000004">
      <c r="A105" s="161" t="s">
        <v>665</v>
      </c>
      <c r="B105" s="161" t="s">
        <v>668</v>
      </c>
      <c r="C105" s="162" t="s">
        <v>669</v>
      </c>
      <c r="D105" s="96">
        <f>_xlfn.LET(_xlpm.c,D85,_xlpm.o,D6+D7+D15+_xlpm.c,_xlpm.prov,_xlpm.o+D8*0.5,_xlpm.tSS,D8*IF(AND($BB$38&lt;=0,$BB$39&lt;=0),IF(D8&gt;0,0.85,0),IF(_xlpm.prov&lt;$BB$38,0,IF(_xlpm.prov&lt;$BB$39,0.5,0.85))),_xlpm.Ordinary,_xlpm.o+_xlpm.tSS,_xlpm.LTCG,D21,_xlpm.TaxableOrd,MAX(0,_xlpm.Ordinary-$BB$7),_xlpm.OrdTax,MAX(0,MIN(_xlpm.TaxableOrd,$BB$35))*0.1+MAX(0,MIN(_xlpm.TaxableOrd,$BB$10)-$BB$35)*0.12+MAX(0,MIN(_xlpm.TaxableOrd,$BB$11)-$BB$10)*0.22+MAX(0,MIN(_xlpm.TaxableOrd,$BB$12)-$BB$11)*0.24+MAX(0,MIN(_xlpm.TaxableOrd,$BB$36)-$BB$12)*0.32+MAX(0,MIN(_xlpm.TaxableOrd,$BB$37)-$BB$36)*0.35+MAX(0,_xlpm.TaxableOrd-$BB$37)*0.37,_xlpm.lo,_xlpm.TaxableOrd,_xlpm.hi,_xlpm.TaxableOrd+_xlpm.LTCG,_xlpm.CGTax,MAX(0,MIN(_xlpm.hi,$BB$15)-_xlpm.lo)*0+MAX(0,MIN(_xlpm.hi,$BB$16)-MAX(_xlpm.lo,$BB$15))*0.15+MAX(0,_xlpm.hi-MAX(_xlpm.lo,$BB$16))*0.2,_xlpm.NIIT,MAX(0,(_xlpm.Ordinary+_xlpm.LTCG-$BB$14))*0.038,_xlpm.OrdTax+_xlpm.CGTax+_xlpm.NIIT)</f>
        <v>23260</v>
      </c>
      <c r="E105" s="96">
        <f t="shared" ref="E105:AY105" si="134">_xlfn.LET(_xlpm.c,E85,_xlpm.o,E6+E7+E15+_xlpm.c,_xlpm.prov,_xlpm.o+E8*0.5,_xlpm.tSS,E8*IF(AND($BB$38&lt;=0,$BB$39&lt;=0),IF(E8&gt;0,0.85,0),IF(_xlpm.prov&lt;$BB$38,0,IF(_xlpm.prov&lt;$BB$39,0.5,0.85))),_xlpm.Ordinary,_xlpm.o+_xlpm.tSS,_xlpm.LTCG,E21,_xlpm.TaxableOrd,MAX(0,_xlpm.Ordinary-$BB$7),_xlpm.OrdTax,MAX(0,MIN(_xlpm.TaxableOrd,$BB$35))*0.1+MAX(0,MIN(_xlpm.TaxableOrd,$BB$10)-$BB$35)*0.12+MAX(0,MIN(_xlpm.TaxableOrd,$BB$11)-$BB$10)*0.22+MAX(0,MIN(_xlpm.TaxableOrd,$BB$12)-$BB$11)*0.24+MAX(0,MIN(_xlpm.TaxableOrd,$BB$36)-$BB$12)*0.32+MAX(0,MIN(_xlpm.TaxableOrd,$BB$37)-$BB$36)*0.35+MAX(0,_xlpm.TaxableOrd-$BB$37)*0.37,_xlpm.lo,_xlpm.TaxableOrd,_xlpm.hi,_xlpm.TaxableOrd+_xlpm.LTCG,_xlpm.CGTax,MAX(0,MIN(_xlpm.hi,$BB$15)-_xlpm.lo)*0+MAX(0,MIN(_xlpm.hi,$BB$16)-MAX(_xlpm.lo,$BB$15))*0.15+MAX(0,_xlpm.hi-MAX(_xlpm.lo,$BB$16))*0.2,_xlpm.NIIT,MAX(0,(_xlpm.Ordinary+_xlpm.LTCG-$BB$14))*0.038,_xlpm.OrdTax+_xlpm.CGTax+_xlpm.NIIT)</f>
        <v>23260</v>
      </c>
      <c r="F105" s="96">
        <f t="shared" si="134"/>
        <v>23260</v>
      </c>
      <c r="G105" s="96">
        <f t="shared" si="134"/>
        <v>23260</v>
      </c>
      <c r="H105" s="96">
        <f t="shared" si="134"/>
        <v>23260</v>
      </c>
      <c r="I105" s="96">
        <f t="shared" si="134"/>
        <v>23260</v>
      </c>
      <c r="J105" s="96">
        <f t="shared" si="134"/>
        <v>23260</v>
      </c>
      <c r="K105" s="96">
        <f t="shared" si="134"/>
        <v>23260</v>
      </c>
      <c r="L105" s="96">
        <f t="shared" si="134"/>
        <v>23260</v>
      </c>
      <c r="M105" s="96">
        <f t="shared" si="134"/>
        <v>23260</v>
      </c>
      <c r="N105" s="96">
        <f t="shared" si="134"/>
        <v>23260</v>
      </c>
      <c r="O105" s="96">
        <f t="shared" si="134"/>
        <v>23260</v>
      </c>
      <c r="P105" s="96">
        <f t="shared" si="134"/>
        <v>23260</v>
      </c>
      <c r="Q105" s="96">
        <f t="shared" si="134"/>
        <v>23260</v>
      </c>
      <c r="R105" s="96">
        <f t="shared" si="134"/>
        <v>23260</v>
      </c>
      <c r="S105" s="96">
        <f t="shared" si="134"/>
        <v>23260</v>
      </c>
      <c r="T105" s="96">
        <f t="shared" si="134"/>
        <v>23260</v>
      </c>
      <c r="U105" s="96">
        <f t="shared" si="134"/>
        <v>23260</v>
      </c>
      <c r="V105" s="96">
        <f t="shared" si="134"/>
        <v>23260</v>
      </c>
      <c r="W105" s="96">
        <f t="shared" si="134"/>
        <v>23260</v>
      </c>
      <c r="X105" s="96">
        <f t="shared" si="134"/>
        <v>23260</v>
      </c>
      <c r="Y105" s="96">
        <f t="shared" si="134"/>
        <v>23260</v>
      </c>
      <c r="Z105" s="96">
        <f t="shared" si="134"/>
        <v>23260</v>
      </c>
      <c r="AA105" s="96">
        <f t="shared" si="134"/>
        <v>8441</v>
      </c>
      <c r="AB105" s="96">
        <f t="shared" si="134"/>
        <v>8441</v>
      </c>
      <c r="AC105" s="96">
        <f t="shared" si="134"/>
        <v>8441</v>
      </c>
      <c r="AD105" s="96">
        <f t="shared" si="134"/>
        <v>7736</v>
      </c>
      <c r="AE105" s="96">
        <f t="shared" si="134"/>
        <v>19346.872000000003</v>
      </c>
      <c r="AF105" s="96">
        <f t="shared" si="134"/>
        <v>17246.872000000003</v>
      </c>
      <c r="AG105" s="96">
        <f t="shared" si="134"/>
        <v>15596.872000000001</v>
      </c>
      <c r="AH105" s="96">
        <f t="shared" si="134"/>
        <v>15596.872000000001</v>
      </c>
      <c r="AI105" s="96">
        <f t="shared" si="134"/>
        <v>15596.872000000001</v>
      </c>
      <c r="AJ105" s="96">
        <f t="shared" si="134"/>
        <v>15596.872000000001</v>
      </c>
      <c r="AK105" s="96">
        <f t="shared" si="134"/>
        <v>15596.872000000001</v>
      </c>
      <c r="AL105" s="96">
        <f t="shared" si="134"/>
        <v>15596.872000000001</v>
      </c>
      <c r="AM105" s="96">
        <f t="shared" si="134"/>
        <v>15596.872000000001</v>
      </c>
      <c r="AN105" s="96">
        <f t="shared" si="134"/>
        <v>15596.872000000001</v>
      </c>
      <c r="AO105" s="96">
        <f t="shared" si="134"/>
        <v>11600</v>
      </c>
      <c r="AP105" s="96">
        <f t="shared" si="134"/>
        <v>11600</v>
      </c>
      <c r="AQ105" s="96">
        <f t="shared" si="134"/>
        <v>11600</v>
      </c>
      <c r="AR105" s="96">
        <f t="shared" si="134"/>
        <v>11826.552177689118</v>
      </c>
      <c r="AS105" s="96">
        <f t="shared" si="134"/>
        <v>12890.766860948866</v>
      </c>
      <c r="AT105" s="96">
        <f t="shared" si="134"/>
        <v>14014.62316826899</v>
      </c>
      <c r="AU105" s="96">
        <f t="shared" si="134"/>
        <v>15088.895136428182</v>
      </c>
      <c r="AV105" s="96">
        <f t="shared" si="134"/>
        <v>16335.099277896263</v>
      </c>
      <c r="AW105" s="96">
        <f t="shared" si="134"/>
        <v>17513.175369584718</v>
      </c>
      <c r="AX105" s="96">
        <f t="shared" si="134"/>
        <v>18892.746550628792</v>
      </c>
      <c r="AY105" s="96">
        <f t="shared" si="134"/>
        <v>20179.076215435554</v>
      </c>
      <c r="BA105" s="188"/>
      <c r="BB105" s="188"/>
      <c r="BC105" s="188"/>
      <c r="BD105" s="188"/>
    </row>
    <row r="106" spans="1:56" hidden="1" x14ac:dyDescent="0.55000000000000004">
      <c r="A106" s="161" t="s">
        <v>665</v>
      </c>
      <c r="B106" s="161" t="s">
        <v>670</v>
      </c>
      <c r="C106" s="162" t="s">
        <v>671</v>
      </c>
      <c r="D106" s="96">
        <f>_xlfn.LET(_xlpm.c,D86,_xlpm.o,D6+D7+D15+_xlpm.c,_xlpm.prov,_xlpm.o+D8*0.5,_xlpm.tSS,D8*IF(AND($BB$38&lt;=0,$BB$39&lt;=0),IF(D8&gt;0,0.85,0),IF(_xlpm.prov&lt;$BB$38,0,IF(_xlpm.prov&lt;$BB$39,0.5,0.85))),_xlpm.Ordinary,_xlpm.o+_xlpm.tSS,_xlpm.LTCG,D21,_xlpm.TaxableOrd,MAX(0,_xlpm.Ordinary-$BB$7),_xlpm.OrdTax,MAX(0,MIN(_xlpm.TaxableOrd,$BB$35))*0.1+MAX(0,MIN(_xlpm.TaxableOrd,$BB$10)-$BB$35)*0.12+MAX(0,MIN(_xlpm.TaxableOrd,$BB$11)-$BB$10)*0.22+MAX(0,MIN(_xlpm.TaxableOrd,$BB$12)-$BB$11)*0.24+MAX(0,MIN(_xlpm.TaxableOrd,$BB$36)-$BB$12)*0.32+MAX(0,MIN(_xlpm.TaxableOrd,$BB$37)-$BB$36)*0.35+MAX(0,_xlpm.TaxableOrd-$BB$37)*0.37,_xlpm.lo,_xlpm.TaxableOrd,_xlpm.hi,_xlpm.TaxableOrd+_xlpm.LTCG,_xlpm.CGTax,MAX(0,MIN(_xlpm.hi,$BB$15)-_xlpm.lo)*0+MAX(0,MIN(_xlpm.hi,$BB$16)-MAX(_xlpm.lo,$BB$15))*0.15+MAX(0,_xlpm.hi-MAX(_xlpm.lo,$BB$16))*0.2,_xlpm.NIIT,MAX(0,(_xlpm.Ordinary+_xlpm.LTCG-$BB$14))*0.038,_xlpm.OrdTax+_xlpm.CGTax+_xlpm.NIIT)</f>
        <v>23260</v>
      </c>
      <c r="E106" s="96">
        <f t="shared" ref="E106:AY106" si="135">_xlfn.LET(_xlpm.c,E86,_xlpm.o,E6+E7+E15+_xlpm.c,_xlpm.prov,_xlpm.o+E8*0.5,_xlpm.tSS,E8*IF(AND($BB$38&lt;=0,$BB$39&lt;=0),IF(E8&gt;0,0.85,0),IF(_xlpm.prov&lt;$BB$38,0,IF(_xlpm.prov&lt;$BB$39,0.5,0.85))),_xlpm.Ordinary,_xlpm.o+_xlpm.tSS,_xlpm.LTCG,E21,_xlpm.TaxableOrd,MAX(0,_xlpm.Ordinary-$BB$7),_xlpm.OrdTax,MAX(0,MIN(_xlpm.TaxableOrd,$BB$35))*0.1+MAX(0,MIN(_xlpm.TaxableOrd,$BB$10)-$BB$35)*0.12+MAX(0,MIN(_xlpm.TaxableOrd,$BB$11)-$BB$10)*0.22+MAX(0,MIN(_xlpm.TaxableOrd,$BB$12)-$BB$11)*0.24+MAX(0,MIN(_xlpm.TaxableOrd,$BB$36)-$BB$12)*0.32+MAX(0,MIN(_xlpm.TaxableOrd,$BB$37)-$BB$36)*0.35+MAX(0,_xlpm.TaxableOrd-$BB$37)*0.37,_xlpm.lo,_xlpm.TaxableOrd,_xlpm.hi,_xlpm.TaxableOrd+_xlpm.LTCG,_xlpm.CGTax,MAX(0,MIN(_xlpm.hi,$BB$15)-_xlpm.lo)*0+MAX(0,MIN(_xlpm.hi,$BB$16)-MAX(_xlpm.lo,$BB$15))*0.15+MAX(0,_xlpm.hi-MAX(_xlpm.lo,$BB$16))*0.2,_xlpm.NIIT,MAX(0,(_xlpm.Ordinary+_xlpm.LTCG-$BB$14))*0.038,_xlpm.OrdTax+_xlpm.CGTax+_xlpm.NIIT)</f>
        <v>23260</v>
      </c>
      <c r="F106" s="96">
        <f t="shared" si="135"/>
        <v>23260</v>
      </c>
      <c r="G106" s="96">
        <f t="shared" si="135"/>
        <v>23260</v>
      </c>
      <c r="H106" s="96">
        <f t="shared" si="135"/>
        <v>23260</v>
      </c>
      <c r="I106" s="96">
        <f t="shared" si="135"/>
        <v>23260</v>
      </c>
      <c r="J106" s="96">
        <f t="shared" si="135"/>
        <v>23260</v>
      </c>
      <c r="K106" s="96">
        <f t="shared" si="135"/>
        <v>23260</v>
      </c>
      <c r="L106" s="96">
        <f t="shared" si="135"/>
        <v>23260</v>
      </c>
      <c r="M106" s="96">
        <f t="shared" si="135"/>
        <v>23260</v>
      </c>
      <c r="N106" s="96">
        <f t="shared" si="135"/>
        <v>23260</v>
      </c>
      <c r="O106" s="96">
        <f t="shared" si="135"/>
        <v>23260</v>
      </c>
      <c r="P106" s="96">
        <f t="shared" si="135"/>
        <v>23260</v>
      </c>
      <c r="Q106" s="96">
        <f t="shared" si="135"/>
        <v>23260</v>
      </c>
      <c r="R106" s="96">
        <f t="shared" si="135"/>
        <v>23260</v>
      </c>
      <c r="S106" s="96">
        <f t="shared" si="135"/>
        <v>23260</v>
      </c>
      <c r="T106" s="96">
        <f t="shared" si="135"/>
        <v>23260</v>
      </c>
      <c r="U106" s="96">
        <f t="shared" si="135"/>
        <v>23260</v>
      </c>
      <c r="V106" s="96">
        <f t="shared" si="135"/>
        <v>23260</v>
      </c>
      <c r="W106" s="96">
        <f t="shared" si="135"/>
        <v>23260</v>
      </c>
      <c r="X106" s="96">
        <f t="shared" si="135"/>
        <v>23260</v>
      </c>
      <c r="Y106" s="96">
        <f t="shared" si="135"/>
        <v>23260</v>
      </c>
      <c r="Z106" s="96">
        <f t="shared" si="135"/>
        <v>23260</v>
      </c>
      <c r="AA106" s="96">
        <f t="shared" si="135"/>
        <v>8441</v>
      </c>
      <c r="AB106" s="96">
        <f t="shared" si="135"/>
        <v>8441</v>
      </c>
      <c r="AC106" s="96">
        <f t="shared" si="135"/>
        <v>8441</v>
      </c>
      <c r="AD106" s="96">
        <f t="shared" si="135"/>
        <v>7736</v>
      </c>
      <c r="AE106" s="96">
        <f t="shared" si="135"/>
        <v>19346.872000000003</v>
      </c>
      <c r="AF106" s="96">
        <f t="shared" si="135"/>
        <v>17246.872000000003</v>
      </c>
      <c r="AG106" s="96">
        <f t="shared" si="135"/>
        <v>15596.872000000001</v>
      </c>
      <c r="AH106" s="96">
        <f t="shared" si="135"/>
        <v>15596.872000000001</v>
      </c>
      <c r="AI106" s="96">
        <f t="shared" si="135"/>
        <v>15596.872000000001</v>
      </c>
      <c r="AJ106" s="96">
        <f t="shared" si="135"/>
        <v>15596.872000000001</v>
      </c>
      <c r="AK106" s="96">
        <f t="shared" si="135"/>
        <v>15596.872000000001</v>
      </c>
      <c r="AL106" s="96">
        <f t="shared" si="135"/>
        <v>15596.872000000001</v>
      </c>
      <c r="AM106" s="96">
        <f t="shared" si="135"/>
        <v>15596.872000000001</v>
      </c>
      <c r="AN106" s="96">
        <f t="shared" si="135"/>
        <v>15596.872000000001</v>
      </c>
      <c r="AO106" s="96">
        <f t="shared" si="135"/>
        <v>11600</v>
      </c>
      <c r="AP106" s="96">
        <f t="shared" si="135"/>
        <v>11600</v>
      </c>
      <c r="AQ106" s="96">
        <f t="shared" si="135"/>
        <v>11600</v>
      </c>
      <c r="AR106" s="96">
        <f t="shared" si="135"/>
        <v>11826.552177689118</v>
      </c>
      <c r="AS106" s="96">
        <f t="shared" si="135"/>
        <v>12890.766860948866</v>
      </c>
      <c r="AT106" s="96">
        <f t="shared" si="135"/>
        <v>14014.62316826899</v>
      </c>
      <c r="AU106" s="96">
        <f t="shared" si="135"/>
        <v>15088.895136428182</v>
      </c>
      <c r="AV106" s="96">
        <f t="shared" si="135"/>
        <v>16335.099277896263</v>
      </c>
      <c r="AW106" s="96">
        <f t="shared" si="135"/>
        <v>17513.175369584718</v>
      </c>
      <c r="AX106" s="96">
        <f t="shared" si="135"/>
        <v>18892.746550628792</v>
      </c>
      <c r="AY106" s="96">
        <f t="shared" si="135"/>
        <v>20179.076215435554</v>
      </c>
      <c r="BA106" s="188"/>
      <c r="BB106" s="188"/>
      <c r="BC106" s="188"/>
      <c r="BD106" s="188"/>
    </row>
    <row r="107" spans="1:56" hidden="1" x14ac:dyDescent="0.55000000000000004">
      <c r="A107" s="161" t="s">
        <v>665</v>
      </c>
      <c r="B107" s="161" t="s">
        <v>672</v>
      </c>
      <c r="C107" s="162" t="s">
        <v>673</v>
      </c>
      <c r="D107" s="96">
        <f>_xlfn.LET(_xlpm.c,D87,_xlpm.o,D6+D7+D15+_xlpm.c,_xlpm.prov,_xlpm.o+D8*0.5,_xlpm.tSS,D8*IF(AND($BB$38&lt;=0,$BB$39&lt;=0),IF(D8&gt;0,0.85,0),IF(_xlpm.prov&lt;$BB$38,0,IF(_xlpm.prov&lt;$BB$39,0.5,0.85))),_xlpm.Ordinary,_xlpm.o+_xlpm.tSS,_xlpm.LTCG,D21,_xlpm.TaxableOrd,MAX(0,_xlpm.Ordinary-$BB$7),_xlpm.OrdTax,MAX(0,MIN(_xlpm.TaxableOrd,$BB$35))*0.1+MAX(0,MIN(_xlpm.TaxableOrd,$BB$10)-$BB$35)*0.12+MAX(0,MIN(_xlpm.TaxableOrd,$BB$11)-$BB$10)*0.22+MAX(0,MIN(_xlpm.TaxableOrd,$BB$12)-$BB$11)*0.24+MAX(0,MIN(_xlpm.TaxableOrd,$BB$36)-$BB$12)*0.32+MAX(0,MIN(_xlpm.TaxableOrd,$BB$37)-$BB$36)*0.35+MAX(0,_xlpm.TaxableOrd-$BB$37)*0.37,_xlpm.lo,_xlpm.TaxableOrd,_xlpm.hi,_xlpm.TaxableOrd+_xlpm.LTCG,_xlpm.CGTax,MAX(0,MIN(_xlpm.hi,$BB$15)-_xlpm.lo)*0+MAX(0,MIN(_xlpm.hi,$BB$16)-MAX(_xlpm.lo,$BB$15))*0.15+MAX(0,_xlpm.hi-MAX(_xlpm.lo,$BB$16))*0.2,_xlpm.NIIT,MAX(0,(_xlpm.Ordinary+_xlpm.LTCG-$BB$14))*0.038,_xlpm.OrdTax+_xlpm.CGTax+_xlpm.NIIT)</f>
        <v>23260</v>
      </c>
      <c r="E107" s="96">
        <f t="shared" ref="E107:AY107" si="136">_xlfn.LET(_xlpm.c,E87,_xlpm.o,E6+E7+E15+_xlpm.c,_xlpm.prov,_xlpm.o+E8*0.5,_xlpm.tSS,E8*IF(AND($BB$38&lt;=0,$BB$39&lt;=0),IF(E8&gt;0,0.85,0),IF(_xlpm.prov&lt;$BB$38,0,IF(_xlpm.prov&lt;$BB$39,0.5,0.85))),_xlpm.Ordinary,_xlpm.o+_xlpm.tSS,_xlpm.LTCG,E21,_xlpm.TaxableOrd,MAX(0,_xlpm.Ordinary-$BB$7),_xlpm.OrdTax,MAX(0,MIN(_xlpm.TaxableOrd,$BB$35))*0.1+MAX(0,MIN(_xlpm.TaxableOrd,$BB$10)-$BB$35)*0.12+MAX(0,MIN(_xlpm.TaxableOrd,$BB$11)-$BB$10)*0.22+MAX(0,MIN(_xlpm.TaxableOrd,$BB$12)-$BB$11)*0.24+MAX(0,MIN(_xlpm.TaxableOrd,$BB$36)-$BB$12)*0.32+MAX(0,MIN(_xlpm.TaxableOrd,$BB$37)-$BB$36)*0.35+MAX(0,_xlpm.TaxableOrd-$BB$37)*0.37,_xlpm.lo,_xlpm.TaxableOrd,_xlpm.hi,_xlpm.TaxableOrd+_xlpm.LTCG,_xlpm.CGTax,MAX(0,MIN(_xlpm.hi,$BB$15)-_xlpm.lo)*0+MAX(0,MIN(_xlpm.hi,$BB$16)-MAX(_xlpm.lo,$BB$15))*0.15+MAX(0,_xlpm.hi-MAX(_xlpm.lo,$BB$16))*0.2,_xlpm.NIIT,MAX(0,(_xlpm.Ordinary+_xlpm.LTCG-$BB$14))*0.038,_xlpm.OrdTax+_xlpm.CGTax+_xlpm.NIIT)</f>
        <v>23260</v>
      </c>
      <c r="F107" s="96">
        <f t="shared" si="136"/>
        <v>23260</v>
      </c>
      <c r="G107" s="96">
        <f t="shared" si="136"/>
        <v>23260</v>
      </c>
      <c r="H107" s="96">
        <f t="shared" si="136"/>
        <v>23260</v>
      </c>
      <c r="I107" s="96">
        <f t="shared" si="136"/>
        <v>23260</v>
      </c>
      <c r="J107" s="96">
        <f t="shared" si="136"/>
        <v>23260</v>
      </c>
      <c r="K107" s="96">
        <f t="shared" si="136"/>
        <v>23260</v>
      </c>
      <c r="L107" s="96">
        <f t="shared" si="136"/>
        <v>23260</v>
      </c>
      <c r="M107" s="96">
        <f t="shared" si="136"/>
        <v>23260</v>
      </c>
      <c r="N107" s="96">
        <f t="shared" si="136"/>
        <v>23260</v>
      </c>
      <c r="O107" s="96">
        <f t="shared" si="136"/>
        <v>23260</v>
      </c>
      <c r="P107" s="96">
        <f t="shared" si="136"/>
        <v>23260</v>
      </c>
      <c r="Q107" s="96">
        <f t="shared" si="136"/>
        <v>23260</v>
      </c>
      <c r="R107" s="96">
        <f t="shared" si="136"/>
        <v>23260</v>
      </c>
      <c r="S107" s="96">
        <f t="shared" si="136"/>
        <v>23260</v>
      </c>
      <c r="T107" s="96">
        <f t="shared" si="136"/>
        <v>23260</v>
      </c>
      <c r="U107" s="96">
        <f t="shared" si="136"/>
        <v>23260</v>
      </c>
      <c r="V107" s="96">
        <f t="shared" si="136"/>
        <v>23260</v>
      </c>
      <c r="W107" s="96">
        <f t="shared" si="136"/>
        <v>23260</v>
      </c>
      <c r="X107" s="96">
        <f t="shared" si="136"/>
        <v>23260</v>
      </c>
      <c r="Y107" s="96">
        <f t="shared" si="136"/>
        <v>23260</v>
      </c>
      <c r="Z107" s="96">
        <f t="shared" si="136"/>
        <v>23260</v>
      </c>
      <c r="AA107" s="96">
        <f t="shared" si="136"/>
        <v>242977.19257467592</v>
      </c>
      <c r="AB107" s="96">
        <f t="shared" si="136"/>
        <v>263010.99412915652</v>
      </c>
      <c r="AC107" s="96">
        <f t="shared" si="136"/>
        <v>284246.82377690589</v>
      </c>
      <c r="AD107" s="96">
        <f t="shared" si="136"/>
        <v>304376.80320352031</v>
      </c>
      <c r="AE107" s="96">
        <f t="shared" si="136"/>
        <v>348787.36219573155</v>
      </c>
      <c r="AF107" s="96">
        <f t="shared" si="136"/>
        <v>370747.57507947547</v>
      </c>
      <c r="AG107" s="96">
        <f t="shared" si="136"/>
        <v>394939.32073624403</v>
      </c>
      <c r="AH107" s="96">
        <f t="shared" si="136"/>
        <v>423357.65113241872</v>
      </c>
      <c r="AI107" s="96">
        <f t="shared" si="136"/>
        <v>453481.08135236381</v>
      </c>
      <c r="AJ107" s="96">
        <f t="shared" si="136"/>
        <v>485411.91738550575</v>
      </c>
      <c r="AK107" s="96">
        <f t="shared" si="136"/>
        <v>519258.60358063603</v>
      </c>
      <c r="AL107" s="96">
        <f t="shared" si="136"/>
        <v>555136.09094747424</v>
      </c>
      <c r="AM107" s="96">
        <f t="shared" si="136"/>
        <v>593166.2275563227</v>
      </c>
      <c r="AN107" s="96">
        <f t="shared" si="136"/>
        <v>633478.17236170208</v>
      </c>
      <c r="AO107" s="96">
        <f t="shared" si="136"/>
        <v>676208.83385540429</v>
      </c>
      <c r="AP107" s="96">
        <f t="shared" si="136"/>
        <v>690816.00361371203</v>
      </c>
      <c r="AQ107" s="96">
        <f t="shared" si="136"/>
        <v>704517.92558111239</v>
      </c>
      <c r="AR107" s="96">
        <f t="shared" si="136"/>
        <v>717309.33712469914</v>
      </c>
      <c r="AS107" s="96">
        <f t="shared" si="136"/>
        <v>728887.64776214934</v>
      </c>
      <c r="AT107" s="96">
        <f t="shared" si="136"/>
        <v>739068.60446413676</v>
      </c>
      <c r="AU107" s="96">
        <f t="shared" si="136"/>
        <v>747651.12140556227</v>
      </c>
      <c r="AV107" s="96">
        <f t="shared" si="136"/>
        <v>754636.76599624846</v>
      </c>
      <c r="AW107" s="96">
        <f t="shared" si="136"/>
        <v>759591.73850282084</v>
      </c>
      <c r="AX107" s="96">
        <f t="shared" si="136"/>
        <v>762528.12595918099</v>
      </c>
      <c r="AY107" s="96">
        <f t="shared" si="136"/>
        <v>762928.71055211406</v>
      </c>
      <c r="BA107" s="188"/>
      <c r="BB107" s="188"/>
      <c r="BC107" s="188"/>
      <c r="BD107" s="188"/>
    </row>
    <row r="108" spans="1:56" hidden="1" x14ac:dyDescent="0.55000000000000004">
      <c r="A108" s="161" t="s">
        <v>665</v>
      </c>
      <c r="B108" s="161" t="s">
        <v>674</v>
      </c>
      <c r="C108" s="162" t="s">
        <v>675</v>
      </c>
      <c r="D108" s="96">
        <f>IF(D4&lt;$BB$82,0,_xlfn.LET(_xlpm.c,D85,_xlpm.base,D6+D7+D15+D8+D21,24*MAX(0,(_xlfn.XLOOKUP(_xlpm.base+_xlpm.c,IRMAA!$B$16:$B$21,IRMAA!$D$16:$D$21,0,-1)+_xlfn.XLOOKUP(_xlpm.base+_xlpm.c,IRMAA!$B$16:$B$21,IRMAA!$E$16:$E$21,0,-1))-(_xlfn.XLOOKUP(_xlpm.base,IRMAA!$B$16:$B$21,IRMAA!$D$16:$D$21,0,-1)+_xlfn.XLOOKUP(_xlpm.base,IRMAA!$B$16:$B$21,IRMAA!$E$16:$E$21,0,-1)))))</f>
        <v>0</v>
      </c>
      <c r="E108" s="96">
        <f>IF(E4&lt;$BB$82,0,_xlfn.LET(_xlpm.c,E85,_xlpm.base,E6+E7+E15+E8+E21,24*MAX(0,(_xlfn.XLOOKUP(_xlpm.base+_xlpm.c,IRMAA!$B$16:$B$21,IRMAA!$D$16:$D$21,0,-1)+_xlfn.XLOOKUP(_xlpm.base+_xlpm.c,IRMAA!$B$16:$B$21,IRMAA!$E$16:$E$21,0,-1))-(_xlfn.XLOOKUP(_xlpm.base,IRMAA!$B$16:$B$21,IRMAA!$D$16:$D$21,0,-1)+_xlfn.XLOOKUP(_xlpm.base,IRMAA!$B$16:$B$21,IRMAA!$E$16:$E$21,0,-1)))))</f>
        <v>0</v>
      </c>
      <c r="F108" s="96">
        <f>IF(F4&lt;$BB$82,0,_xlfn.LET(_xlpm.c,F85,_xlpm.base,F6+F7+F15+F8+F21,24*MAX(0,(_xlfn.XLOOKUP(_xlpm.base+_xlpm.c,IRMAA!$B$16:$B$21,IRMAA!$D$16:$D$21,0,-1)+_xlfn.XLOOKUP(_xlpm.base+_xlpm.c,IRMAA!$B$16:$B$21,IRMAA!$E$16:$E$21,0,-1))-(_xlfn.XLOOKUP(_xlpm.base,IRMAA!$B$16:$B$21,IRMAA!$D$16:$D$21,0,-1)+_xlfn.XLOOKUP(_xlpm.base,IRMAA!$B$16:$B$21,IRMAA!$E$16:$E$21,0,-1)))))</f>
        <v>0</v>
      </c>
      <c r="G108" s="96">
        <f>IF(G4&lt;$BB$82,0,_xlfn.LET(_xlpm.c,G85,_xlpm.base,G6+G7+G15+G8+G21,24*MAX(0,(_xlfn.XLOOKUP(_xlpm.base+_xlpm.c,IRMAA!$B$16:$B$21,IRMAA!$D$16:$D$21,0,-1)+_xlfn.XLOOKUP(_xlpm.base+_xlpm.c,IRMAA!$B$16:$B$21,IRMAA!$E$16:$E$21,0,-1))-(_xlfn.XLOOKUP(_xlpm.base,IRMAA!$B$16:$B$21,IRMAA!$D$16:$D$21,0,-1)+_xlfn.XLOOKUP(_xlpm.base,IRMAA!$B$16:$B$21,IRMAA!$E$16:$E$21,0,-1)))))</f>
        <v>0</v>
      </c>
      <c r="H108" s="96">
        <f>IF(H4&lt;$BB$82,0,_xlfn.LET(_xlpm.c,H85,_xlpm.base,H6+H7+H15+H8+H21,24*MAX(0,(_xlfn.XLOOKUP(_xlpm.base+_xlpm.c,IRMAA!$B$16:$B$21,IRMAA!$D$16:$D$21,0,-1)+_xlfn.XLOOKUP(_xlpm.base+_xlpm.c,IRMAA!$B$16:$B$21,IRMAA!$E$16:$E$21,0,-1))-(_xlfn.XLOOKUP(_xlpm.base,IRMAA!$B$16:$B$21,IRMAA!$D$16:$D$21,0,-1)+_xlfn.XLOOKUP(_xlpm.base,IRMAA!$B$16:$B$21,IRMAA!$E$16:$E$21,0,-1)))))</f>
        <v>0</v>
      </c>
      <c r="I108" s="96">
        <f>IF(I4&lt;$BB$82,0,_xlfn.LET(_xlpm.c,I85,_xlpm.base,I6+I7+I15+I8+I21,24*MAX(0,(_xlfn.XLOOKUP(_xlpm.base+_xlpm.c,IRMAA!$B$16:$B$21,IRMAA!$D$16:$D$21,0,-1)+_xlfn.XLOOKUP(_xlpm.base+_xlpm.c,IRMAA!$B$16:$B$21,IRMAA!$E$16:$E$21,0,-1))-(_xlfn.XLOOKUP(_xlpm.base,IRMAA!$B$16:$B$21,IRMAA!$D$16:$D$21,0,-1)+_xlfn.XLOOKUP(_xlpm.base,IRMAA!$B$16:$B$21,IRMAA!$E$16:$E$21,0,-1)))))</f>
        <v>0</v>
      </c>
      <c r="J108" s="96">
        <f>IF(J4&lt;$BB$82,0,_xlfn.LET(_xlpm.c,J85,_xlpm.base,J6+J7+J15+J8+J21,24*MAX(0,(_xlfn.XLOOKUP(_xlpm.base+_xlpm.c,IRMAA!$B$16:$B$21,IRMAA!$D$16:$D$21,0,-1)+_xlfn.XLOOKUP(_xlpm.base+_xlpm.c,IRMAA!$B$16:$B$21,IRMAA!$E$16:$E$21,0,-1))-(_xlfn.XLOOKUP(_xlpm.base,IRMAA!$B$16:$B$21,IRMAA!$D$16:$D$21,0,-1)+_xlfn.XLOOKUP(_xlpm.base,IRMAA!$B$16:$B$21,IRMAA!$E$16:$E$21,0,-1)))))</f>
        <v>0</v>
      </c>
      <c r="K108" s="96">
        <f>IF(K4&lt;$BB$82,0,_xlfn.LET(_xlpm.c,K85,_xlpm.base,K6+K7+K15+K8+K21,24*MAX(0,(_xlfn.XLOOKUP(_xlpm.base+_xlpm.c,IRMAA!$B$16:$B$21,IRMAA!$D$16:$D$21,0,-1)+_xlfn.XLOOKUP(_xlpm.base+_xlpm.c,IRMAA!$B$16:$B$21,IRMAA!$E$16:$E$21,0,-1))-(_xlfn.XLOOKUP(_xlpm.base,IRMAA!$B$16:$B$21,IRMAA!$D$16:$D$21,0,-1)+_xlfn.XLOOKUP(_xlpm.base,IRMAA!$B$16:$B$21,IRMAA!$E$16:$E$21,0,-1)))))</f>
        <v>0</v>
      </c>
      <c r="L108" s="96">
        <f>IF(L4&lt;$BB$82,0,_xlfn.LET(_xlpm.c,L85,_xlpm.base,L6+L7+L15+L8+L21,24*MAX(0,(_xlfn.XLOOKUP(_xlpm.base+_xlpm.c,IRMAA!$B$16:$B$21,IRMAA!$D$16:$D$21,0,-1)+_xlfn.XLOOKUP(_xlpm.base+_xlpm.c,IRMAA!$B$16:$B$21,IRMAA!$E$16:$E$21,0,-1))-(_xlfn.XLOOKUP(_xlpm.base,IRMAA!$B$16:$B$21,IRMAA!$D$16:$D$21,0,-1)+_xlfn.XLOOKUP(_xlpm.base,IRMAA!$B$16:$B$21,IRMAA!$E$16:$E$21,0,-1)))))</f>
        <v>0</v>
      </c>
      <c r="M108" s="96">
        <f>IF(M4&lt;$BB$82,0,_xlfn.LET(_xlpm.c,M85,_xlpm.base,M6+M7+M15+M8+M21,24*MAX(0,(_xlfn.XLOOKUP(_xlpm.base+_xlpm.c,IRMAA!$B$16:$B$21,IRMAA!$D$16:$D$21,0,-1)+_xlfn.XLOOKUP(_xlpm.base+_xlpm.c,IRMAA!$B$16:$B$21,IRMAA!$E$16:$E$21,0,-1))-(_xlfn.XLOOKUP(_xlpm.base,IRMAA!$B$16:$B$21,IRMAA!$D$16:$D$21,0,-1)+_xlfn.XLOOKUP(_xlpm.base,IRMAA!$B$16:$B$21,IRMAA!$E$16:$E$21,0,-1)))))</f>
        <v>0</v>
      </c>
      <c r="N108" s="96">
        <f>IF(N4&lt;$BB$82,0,_xlfn.LET(_xlpm.c,N85,_xlpm.base,N6+N7+N15+N8+N21,24*MAX(0,(_xlfn.XLOOKUP(_xlpm.base+_xlpm.c,IRMAA!$B$16:$B$21,IRMAA!$D$16:$D$21,0,-1)+_xlfn.XLOOKUP(_xlpm.base+_xlpm.c,IRMAA!$B$16:$B$21,IRMAA!$E$16:$E$21,0,-1))-(_xlfn.XLOOKUP(_xlpm.base,IRMAA!$B$16:$B$21,IRMAA!$D$16:$D$21,0,-1)+_xlfn.XLOOKUP(_xlpm.base,IRMAA!$B$16:$B$21,IRMAA!$E$16:$E$21,0,-1)))))</f>
        <v>0</v>
      </c>
      <c r="O108" s="96">
        <f>IF(O4&lt;$BB$82,0,_xlfn.LET(_xlpm.c,O85,_xlpm.base,O6+O7+O15+O8+O21,24*MAX(0,(_xlfn.XLOOKUP(_xlpm.base+_xlpm.c,IRMAA!$B$16:$B$21,IRMAA!$D$16:$D$21,0,-1)+_xlfn.XLOOKUP(_xlpm.base+_xlpm.c,IRMAA!$B$16:$B$21,IRMAA!$E$16:$E$21,0,-1))-(_xlfn.XLOOKUP(_xlpm.base,IRMAA!$B$16:$B$21,IRMAA!$D$16:$D$21,0,-1)+_xlfn.XLOOKUP(_xlpm.base,IRMAA!$B$16:$B$21,IRMAA!$E$16:$E$21,0,-1)))))</f>
        <v>0</v>
      </c>
      <c r="P108" s="96">
        <f>IF(P4&lt;$BB$82,0,_xlfn.LET(_xlpm.c,P85,_xlpm.base,P6+P7+P15+P8+P21,24*MAX(0,(_xlfn.XLOOKUP(_xlpm.base+_xlpm.c,IRMAA!$B$16:$B$21,IRMAA!$D$16:$D$21,0,-1)+_xlfn.XLOOKUP(_xlpm.base+_xlpm.c,IRMAA!$B$16:$B$21,IRMAA!$E$16:$E$21,0,-1))-(_xlfn.XLOOKUP(_xlpm.base,IRMAA!$B$16:$B$21,IRMAA!$D$16:$D$21,0,-1)+_xlfn.XLOOKUP(_xlpm.base,IRMAA!$B$16:$B$21,IRMAA!$E$16:$E$21,0,-1)))))</f>
        <v>0</v>
      </c>
      <c r="Q108" s="96">
        <f>IF(Q4&lt;$BB$82,0,_xlfn.LET(_xlpm.c,Q85,_xlpm.base,Q6+Q7+Q15+Q8+Q21,24*MAX(0,(_xlfn.XLOOKUP(_xlpm.base+_xlpm.c,IRMAA!$B$16:$B$21,IRMAA!$D$16:$D$21,0,-1)+_xlfn.XLOOKUP(_xlpm.base+_xlpm.c,IRMAA!$B$16:$B$21,IRMAA!$E$16:$E$21,0,-1))-(_xlfn.XLOOKUP(_xlpm.base,IRMAA!$B$16:$B$21,IRMAA!$D$16:$D$21,0,-1)+_xlfn.XLOOKUP(_xlpm.base,IRMAA!$B$16:$B$21,IRMAA!$E$16:$E$21,0,-1)))))</f>
        <v>0</v>
      </c>
      <c r="R108" s="96">
        <f>IF(R4&lt;$BB$82,0,_xlfn.LET(_xlpm.c,R85,_xlpm.base,R6+R7+R15+R8+R21,24*MAX(0,(_xlfn.XLOOKUP(_xlpm.base+_xlpm.c,IRMAA!$B$16:$B$21,IRMAA!$D$16:$D$21,0,-1)+_xlfn.XLOOKUP(_xlpm.base+_xlpm.c,IRMAA!$B$16:$B$21,IRMAA!$E$16:$E$21,0,-1))-(_xlfn.XLOOKUP(_xlpm.base,IRMAA!$B$16:$B$21,IRMAA!$D$16:$D$21,0,-1)+_xlfn.XLOOKUP(_xlpm.base,IRMAA!$B$16:$B$21,IRMAA!$E$16:$E$21,0,-1)))))</f>
        <v>0</v>
      </c>
      <c r="S108" s="96">
        <f>IF(S4&lt;$BB$82,0,_xlfn.LET(_xlpm.c,S85,_xlpm.base,S6+S7+S15+S8+S21,24*MAX(0,(_xlfn.XLOOKUP(_xlpm.base+_xlpm.c,IRMAA!$B$16:$B$21,IRMAA!$D$16:$D$21,0,-1)+_xlfn.XLOOKUP(_xlpm.base+_xlpm.c,IRMAA!$B$16:$B$21,IRMAA!$E$16:$E$21,0,-1))-(_xlfn.XLOOKUP(_xlpm.base,IRMAA!$B$16:$B$21,IRMAA!$D$16:$D$21,0,-1)+_xlfn.XLOOKUP(_xlpm.base,IRMAA!$B$16:$B$21,IRMAA!$E$16:$E$21,0,-1)))))</f>
        <v>0</v>
      </c>
      <c r="T108" s="96">
        <f>IF(T4&lt;$BB$82,0,_xlfn.LET(_xlpm.c,T85,_xlpm.base,T6+T7+T15+T8+T21,24*MAX(0,(_xlfn.XLOOKUP(_xlpm.base+_xlpm.c,IRMAA!$B$16:$B$21,IRMAA!$D$16:$D$21,0,-1)+_xlfn.XLOOKUP(_xlpm.base+_xlpm.c,IRMAA!$B$16:$B$21,IRMAA!$E$16:$E$21,0,-1))-(_xlfn.XLOOKUP(_xlpm.base,IRMAA!$B$16:$B$21,IRMAA!$D$16:$D$21,0,-1)+_xlfn.XLOOKUP(_xlpm.base,IRMAA!$B$16:$B$21,IRMAA!$E$16:$E$21,0,-1)))))</f>
        <v>0</v>
      </c>
      <c r="U108" s="96">
        <f>IF(U4&lt;$BB$82,0,_xlfn.LET(_xlpm.c,U85,_xlpm.base,U6+U7+U15+U8+U21,24*MAX(0,(_xlfn.XLOOKUP(_xlpm.base+_xlpm.c,IRMAA!$B$16:$B$21,IRMAA!$D$16:$D$21,0,-1)+_xlfn.XLOOKUP(_xlpm.base+_xlpm.c,IRMAA!$B$16:$B$21,IRMAA!$E$16:$E$21,0,-1))-(_xlfn.XLOOKUP(_xlpm.base,IRMAA!$B$16:$B$21,IRMAA!$D$16:$D$21,0,-1)+_xlfn.XLOOKUP(_xlpm.base,IRMAA!$B$16:$B$21,IRMAA!$E$16:$E$21,0,-1)))))</f>
        <v>0</v>
      </c>
      <c r="V108" s="96">
        <f>IF(V4&lt;$BB$82,0,_xlfn.LET(_xlpm.c,V85,_xlpm.base,V6+V7+V15+V8+V21,24*MAX(0,(_xlfn.XLOOKUP(_xlpm.base+_xlpm.c,IRMAA!$B$16:$B$21,IRMAA!$D$16:$D$21,0,-1)+_xlfn.XLOOKUP(_xlpm.base+_xlpm.c,IRMAA!$B$16:$B$21,IRMAA!$E$16:$E$21,0,-1))-(_xlfn.XLOOKUP(_xlpm.base,IRMAA!$B$16:$B$21,IRMAA!$D$16:$D$21,0,-1)+_xlfn.XLOOKUP(_xlpm.base,IRMAA!$B$16:$B$21,IRMAA!$E$16:$E$21,0,-1)))))</f>
        <v>0</v>
      </c>
      <c r="W108" s="96">
        <f>IF(W4&lt;$BB$82,0,_xlfn.LET(_xlpm.c,W85,_xlpm.base,W6+W7+W15+W8+W21,24*MAX(0,(_xlfn.XLOOKUP(_xlpm.base+_xlpm.c,IRMAA!$B$16:$B$21,IRMAA!$D$16:$D$21,0,-1)+_xlfn.XLOOKUP(_xlpm.base+_xlpm.c,IRMAA!$B$16:$B$21,IRMAA!$E$16:$E$21,0,-1))-(_xlfn.XLOOKUP(_xlpm.base,IRMAA!$B$16:$B$21,IRMAA!$D$16:$D$21,0,-1)+_xlfn.XLOOKUP(_xlpm.base,IRMAA!$B$16:$B$21,IRMAA!$E$16:$E$21,0,-1)))))</f>
        <v>0</v>
      </c>
      <c r="X108" s="96">
        <f>IF(X4&lt;$BB$82,0,_xlfn.LET(_xlpm.c,X85,_xlpm.base,X6+X7+X15+X8+X21,24*MAX(0,(_xlfn.XLOOKUP(_xlpm.base+_xlpm.c,IRMAA!$B$16:$B$21,IRMAA!$D$16:$D$21,0,-1)+_xlfn.XLOOKUP(_xlpm.base+_xlpm.c,IRMAA!$B$16:$B$21,IRMAA!$E$16:$E$21,0,-1))-(_xlfn.XLOOKUP(_xlpm.base,IRMAA!$B$16:$B$21,IRMAA!$D$16:$D$21,0,-1)+_xlfn.XLOOKUP(_xlpm.base,IRMAA!$B$16:$B$21,IRMAA!$E$16:$E$21,0,-1)))))</f>
        <v>0</v>
      </c>
      <c r="Y108" s="96">
        <f>IF(Y4&lt;$BB$82,0,_xlfn.LET(_xlpm.c,Y85,_xlpm.base,Y6+Y7+Y15+Y8+Y21,24*MAX(0,(_xlfn.XLOOKUP(_xlpm.base+_xlpm.c,IRMAA!$B$16:$B$21,IRMAA!$D$16:$D$21,0,-1)+_xlfn.XLOOKUP(_xlpm.base+_xlpm.c,IRMAA!$B$16:$B$21,IRMAA!$E$16:$E$21,0,-1))-(_xlfn.XLOOKUP(_xlpm.base,IRMAA!$B$16:$B$21,IRMAA!$D$16:$D$21,0,-1)+_xlfn.XLOOKUP(_xlpm.base,IRMAA!$B$16:$B$21,IRMAA!$E$16:$E$21,0,-1)))))</f>
        <v>0</v>
      </c>
      <c r="Z108" s="96">
        <f>IF(Z4&lt;$BB$82,0,_xlfn.LET(_xlpm.c,Z85,_xlpm.base,Z6+Z7+Z15+Z8+Z21,24*MAX(0,(_xlfn.XLOOKUP(_xlpm.base+_xlpm.c,IRMAA!$B$16:$B$21,IRMAA!$D$16:$D$21,0,-1)+_xlfn.XLOOKUP(_xlpm.base+_xlpm.c,IRMAA!$B$16:$B$21,IRMAA!$E$16:$E$21,0,-1))-(_xlfn.XLOOKUP(_xlpm.base,IRMAA!$B$16:$B$21,IRMAA!$D$16:$D$21,0,-1)+_xlfn.XLOOKUP(_xlpm.base,IRMAA!$B$16:$B$21,IRMAA!$E$16:$E$21,0,-1)))))</f>
        <v>0</v>
      </c>
      <c r="AA108" s="96">
        <f>IF(AA4&lt;$BB$82,0,_xlfn.LET(_xlpm.c,AA85,_xlpm.base,AA6+AA7+AA15+AA8+AA21,24*MAX(0,(_xlfn.XLOOKUP(_xlpm.base+_xlpm.c,IRMAA!$B$16:$B$21,IRMAA!$D$16:$D$21,0,-1)+_xlfn.XLOOKUP(_xlpm.base+_xlpm.c,IRMAA!$B$16:$B$21,IRMAA!$E$16:$E$21,0,-1))-(_xlfn.XLOOKUP(_xlpm.base,IRMAA!$B$16:$B$21,IRMAA!$D$16:$D$21,0,-1)+_xlfn.XLOOKUP(_xlpm.base,IRMAA!$B$16:$B$21,IRMAA!$E$16:$E$21,0,-1)))))</f>
        <v>0</v>
      </c>
      <c r="AB108" s="96">
        <f>IF(AB4&lt;$BB$82,0,_xlfn.LET(_xlpm.c,AB85,_xlpm.base,AB6+AB7+AB15+AB8+AB21,24*MAX(0,(_xlfn.XLOOKUP(_xlpm.base+_xlpm.c,IRMAA!$B$16:$B$21,IRMAA!$D$16:$D$21,0,-1)+_xlfn.XLOOKUP(_xlpm.base+_xlpm.c,IRMAA!$B$16:$B$21,IRMAA!$E$16:$E$21,0,-1))-(_xlfn.XLOOKUP(_xlpm.base,IRMAA!$B$16:$B$21,IRMAA!$D$16:$D$21,0,-1)+_xlfn.XLOOKUP(_xlpm.base,IRMAA!$B$16:$B$21,IRMAA!$E$16:$E$21,0,-1)))))</f>
        <v>0</v>
      </c>
      <c r="AC108" s="96">
        <f>IF(AC4&lt;$BB$82,0,_xlfn.LET(_xlpm.c,AC85,_xlpm.base,AC6+AC7+AC15+AC8+AC21,24*MAX(0,(_xlfn.XLOOKUP(_xlpm.base+_xlpm.c,IRMAA!$B$16:$B$21,IRMAA!$D$16:$D$21,0,-1)+_xlfn.XLOOKUP(_xlpm.base+_xlpm.c,IRMAA!$B$16:$B$21,IRMAA!$E$16:$E$21,0,-1))-(_xlfn.XLOOKUP(_xlpm.base,IRMAA!$B$16:$B$21,IRMAA!$D$16:$D$21,0,-1)+_xlfn.XLOOKUP(_xlpm.base,IRMAA!$B$16:$B$21,IRMAA!$E$16:$E$21,0,-1)))))</f>
        <v>0</v>
      </c>
      <c r="AD108" s="96">
        <f>IF(AD4&lt;$BB$82,0,_xlfn.LET(_xlpm.c,AD85,_xlpm.base,AD6+AD7+AD15+AD8+AD21,24*MAX(0,(_xlfn.XLOOKUP(_xlpm.base+_xlpm.c,IRMAA!$B$16:$B$21,IRMAA!$D$16:$D$21,0,-1)+_xlfn.XLOOKUP(_xlpm.base+_xlpm.c,IRMAA!$B$16:$B$21,IRMAA!$E$16:$E$21,0,-1))-(_xlfn.XLOOKUP(_xlpm.base,IRMAA!$B$16:$B$21,IRMAA!$D$16:$D$21,0,-1)+_xlfn.XLOOKUP(_xlpm.base,IRMAA!$B$16:$B$21,IRMAA!$E$16:$E$21,0,-1)))))</f>
        <v>0</v>
      </c>
      <c r="AE108" s="96">
        <f>IF(AE4&lt;$BB$82,0,_xlfn.LET(_xlpm.c,AE85,_xlpm.base,AE6+AE7+AE15+AE8+AE21,24*MAX(0,(_xlfn.XLOOKUP(_xlpm.base+_xlpm.c,IRMAA!$B$16:$B$21,IRMAA!$D$16:$D$21,0,-1)+_xlfn.XLOOKUP(_xlpm.base+_xlpm.c,IRMAA!$B$16:$B$21,IRMAA!$E$16:$E$21,0,-1))-(_xlfn.XLOOKUP(_xlpm.base,IRMAA!$B$16:$B$21,IRMAA!$D$16:$D$21,0,-1)+_xlfn.XLOOKUP(_xlpm.base,IRMAA!$B$16:$B$21,IRMAA!$E$16:$E$21,0,-1)))))</f>
        <v>0</v>
      </c>
      <c r="AF108" s="96">
        <f>IF(AF4&lt;$BB$82,0,_xlfn.LET(_xlpm.c,AF85,_xlpm.base,AF6+AF7+AF15+AF8+AF21,24*MAX(0,(_xlfn.XLOOKUP(_xlpm.base+_xlpm.c,IRMAA!$B$16:$B$21,IRMAA!$D$16:$D$21,0,-1)+_xlfn.XLOOKUP(_xlpm.base+_xlpm.c,IRMAA!$B$16:$B$21,IRMAA!$E$16:$E$21,0,-1))-(_xlfn.XLOOKUP(_xlpm.base,IRMAA!$B$16:$B$21,IRMAA!$D$16:$D$21,0,-1)+_xlfn.XLOOKUP(_xlpm.base,IRMAA!$B$16:$B$21,IRMAA!$E$16:$E$21,0,-1)))))</f>
        <v>0</v>
      </c>
      <c r="AG108" s="96">
        <f>IF(AG4&lt;$BB$82,0,_xlfn.LET(_xlpm.c,AG85,_xlpm.base,AG6+AG7+AG15+AG8+AG21,24*MAX(0,(_xlfn.XLOOKUP(_xlpm.base+_xlpm.c,IRMAA!$B$16:$B$21,IRMAA!$D$16:$D$21,0,-1)+_xlfn.XLOOKUP(_xlpm.base+_xlpm.c,IRMAA!$B$16:$B$21,IRMAA!$E$16:$E$21,0,-1))-(_xlfn.XLOOKUP(_xlpm.base,IRMAA!$B$16:$B$21,IRMAA!$D$16:$D$21,0,-1)+_xlfn.XLOOKUP(_xlpm.base,IRMAA!$B$16:$B$21,IRMAA!$E$16:$E$21,0,-1)))))</f>
        <v>0</v>
      </c>
      <c r="AH108" s="96">
        <f>IF(AH4&lt;$BB$82,0,_xlfn.LET(_xlpm.c,AH85,_xlpm.base,AH6+AH7+AH15+AH8+AH21,24*MAX(0,(_xlfn.XLOOKUP(_xlpm.base+_xlpm.c,IRMAA!$B$16:$B$21,IRMAA!$D$16:$D$21,0,-1)+_xlfn.XLOOKUP(_xlpm.base+_xlpm.c,IRMAA!$B$16:$B$21,IRMAA!$E$16:$E$21,0,-1))-(_xlfn.XLOOKUP(_xlpm.base,IRMAA!$B$16:$B$21,IRMAA!$D$16:$D$21,0,-1)+_xlfn.XLOOKUP(_xlpm.base,IRMAA!$B$16:$B$21,IRMAA!$E$16:$E$21,0,-1)))))</f>
        <v>0</v>
      </c>
      <c r="AI108" s="96">
        <f>IF(AI4&lt;$BB$82,0,_xlfn.LET(_xlpm.c,AI85,_xlpm.base,AI6+AI7+AI15+AI8+AI21,24*MAX(0,(_xlfn.XLOOKUP(_xlpm.base+_xlpm.c,IRMAA!$B$16:$B$21,IRMAA!$D$16:$D$21,0,-1)+_xlfn.XLOOKUP(_xlpm.base+_xlpm.c,IRMAA!$B$16:$B$21,IRMAA!$E$16:$E$21,0,-1))-(_xlfn.XLOOKUP(_xlpm.base,IRMAA!$B$16:$B$21,IRMAA!$D$16:$D$21,0,-1)+_xlfn.XLOOKUP(_xlpm.base,IRMAA!$B$16:$B$21,IRMAA!$E$16:$E$21,0,-1)))))</f>
        <v>0</v>
      </c>
      <c r="AJ108" s="96">
        <f>IF(AJ4&lt;$BB$82,0,_xlfn.LET(_xlpm.c,AJ85,_xlpm.base,AJ6+AJ7+AJ15+AJ8+AJ21,24*MAX(0,(_xlfn.XLOOKUP(_xlpm.base+_xlpm.c,IRMAA!$B$16:$B$21,IRMAA!$D$16:$D$21,0,-1)+_xlfn.XLOOKUP(_xlpm.base+_xlpm.c,IRMAA!$B$16:$B$21,IRMAA!$E$16:$E$21,0,-1))-(_xlfn.XLOOKUP(_xlpm.base,IRMAA!$B$16:$B$21,IRMAA!$D$16:$D$21,0,-1)+_xlfn.XLOOKUP(_xlpm.base,IRMAA!$B$16:$B$21,IRMAA!$E$16:$E$21,0,-1)))))</f>
        <v>0</v>
      </c>
      <c r="AK108" s="96">
        <f>IF(AK4&lt;$BB$82,0,_xlfn.LET(_xlpm.c,AK85,_xlpm.base,AK6+AK7+AK15+AK8+AK21,24*MAX(0,(_xlfn.XLOOKUP(_xlpm.base+_xlpm.c,IRMAA!$B$16:$B$21,IRMAA!$D$16:$D$21,0,-1)+_xlfn.XLOOKUP(_xlpm.base+_xlpm.c,IRMAA!$B$16:$B$21,IRMAA!$E$16:$E$21,0,-1))-(_xlfn.XLOOKUP(_xlpm.base,IRMAA!$B$16:$B$21,IRMAA!$D$16:$D$21,0,-1)+_xlfn.XLOOKUP(_xlpm.base,IRMAA!$B$16:$B$21,IRMAA!$E$16:$E$21,0,-1)))))</f>
        <v>0</v>
      </c>
      <c r="AL108" s="96">
        <f>IF(AL4&lt;$BB$82,0,_xlfn.LET(_xlpm.c,AL85,_xlpm.base,AL6+AL7+AL15+AL8+AL21,24*MAX(0,(_xlfn.XLOOKUP(_xlpm.base+_xlpm.c,IRMAA!$B$16:$B$21,IRMAA!$D$16:$D$21,0,-1)+_xlfn.XLOOKUP(_xlpm.base+_xlpm.c,IRMAA!$B$16:$B$21,IRMAA!$E$16:$E$21,0,-1))-(_xlfn.XLOOKUP(_xlpm.base,IRMAA!$B$16:$B$21,IRMAA!$D$16:$D$21,0,-1)+_xlfn.XLOOKUP(_xlpm.base,IRMAA!$B$16:$B$21,IRMAA!$E$16:$E$21,0,-1)))))</f>
        <v>0</v>
      </c>
      <c r="AM108" s="96">
        <f>IF(AM4&lt;$BB$82,0,_xlfn.LET(_xlpm.c,AM85,_xlpm.base,AM6+AM7+AM15+AM8+AM21,24*MAX(0,(_xlfn.XLOOKUP(_xlpm.base+_xlpm.c,IRMAA!$B$16:$B$21,IRMAA!$D$16:$D$21,0,-1)+_xlfn.XLOOKUP(_xlpm.base+_xlpm.c,IRMAA!$B$16:$B$21,IRMAA!$E$16:$E$21,0,-1))-(_xlfn.XLOOKUP(_xlpm.base,IRMAA!$B$16:$B$21,IRMAA!$D$16:$D$21,0,-1)+_xlfn.XLOOKUP(_xlpm.base,IRMAA!$B$16:$B$21,IRMAA!$E$16:$E$21,0,-1)))))</f>
        <v>0</v>
      </c>
      <c r="AN108" s="96">
        <f>IF(AN4&lt;$BB$82,0,_xlfn.LET(_xlpm.c,AN85,_xlpm.base,AN6+AN7+AN15+AN8+AN21,24*MAX(0,(_xlfn.XLOOKUP(_xlpm.base+_xlpm.c,IRMAA!$B$16:$B$21,IRMAA!$D$16:$D$21,0,-1)+_xlfn.XLOOKUP(_xlpm.base+_xlpm.c,IRMAA!$B$16:$B$21,IRMAA!$E$16:$E$21,0,-1))-(_xlfn.XLOOKUP(_xlpm.base,IRMAA!$B$16:$B$21,IRMAA!$D$16:$D$21,0,-1)+_xlfn.XLOOKUP(_xlpm.base,IRMAA!$B$16:$B$21,IRMAA!$E$16:$E$21,0,-1)))))</f>
        <v>0</v>
      </c>
      <c r="AO108" s="96">
        <f>IF(AO4&lt;$BB$82,0,_xlfn.LET(_xlpm.c,AO85,_xlpm.base,AO6+AO7+AO15+AO8+AO21,24*MAX(0,(_xlfn.XLOOKUP(_xlpm.base+_xlpm.c,IRMAA!$B$16:$B$21,IRMAA!$D$16:$D$21,0,-1)+_xlfn.XLOOKUP(_xlpm.base+_xlpm.c,IRMAA!$B$16:$B$21,IRMAA!$E$16:$E$21,0,-1))-(_xlfn.XLOOKUP(_xlpm.base,IRMAA!$B$16:$B$21,IRMAA!$D$16:$D$21,0,-1)+_xlfn.XLOOKUP(_xlpm.base,IRMAA!$B$16:$B$21,IRMAA!$E$16:$E$21,0,-1)))))</f>
        <v>0</v>
      </c>
      <c r="AP108" s="96">
        <f>IF(AP4&lt;$BB$82,0,_xlfn.LET(_xlpm.c,AP85,_xlpm.base,AP6+AP7+AP15+AP8+AP21,24*MAX(0,(_xlfn.XLOOKUP(_xlpm.base+_xlpm.c,IRMAA!$B$16:$B$21,IRMAA!$D$16:$D$21,0,-1)+_xlfn.XLOOKUP(_xlpm.base+_xlpm.c,IRMAA!$B$16:$B$21,IRMAA!$E$16:$E$21,0,-1))-(_xlfn.XLOOKUP(_xlpm.base,IRMAA!$B$16:$B$21,IRMAA!$D$16:$D$21,0,-1)+_xlfn.XLOOKUP(_xlpm.base,IRMAA!$B$16:$B$21,IRMAA!$E$16:$E$21,0,-1)))))</f>
        <v>0</v>
      </c>
      <c r="AQ108" s="96">
        <f>IF(AQ4&lt;$BB$82,0,_xlfn.LET(_xlpm.c,AQ85,_xlpm.base,AQ6+AQ7+AQ15+AQ8+AQ21,24*MAX(0,(_xlfn.XLOOKUP(_xlpm.base+_xlpm.c,IRMAA!$B$16:$B$21,IRMAA!$D$16:$D$21,0,-1)+_xlfn.XLOOKUP(_xlpm.base+_xlpm.c,IRMAA!$B$16:$B$21,IRMAA!$E$16:$E$21,0,-1))-(_xlfn.XLOOKUP(_xlpm.base,IRMAA!$B$16:$B$21,IRMAA!$D$16:$D$21,0,-1)+_xlfn.XLOOKUP(_xlpm.base,IRMAA!$B$16:$B$21,IRMAA!$E$16:$E$21,0,-1)))))</f>
        <v>0</v>
      </c>
      <c r="AR108" s="96">
        <f>IF(AR4&lt;$BB$82,0,_xlfn.LET(_xlpm.c,AR85,_xlpm.base,AR6+AR7+AR15+AR8+AR21,24*MAX(0,(_xlfn.XLOOKUP(_xlpm.base+_xlpm.c,IRMAA!$B$16:$B$21,IRMAA!$D$16:$D$21,0,-1)+_xlfn.XLOOKUP(_xlpm.base+_xlpm.c,IRMAA!$B$16:$B$21,IRMAA!$E$16:$E$21,0,-1))-(_xlfn.XLOOKUP(_xlpm.base,IRMAA!$B$16:$B$21,IRMAA!$D$16:$D$21,0,-1)+_xlfn.XLOOKUP(_xlpm.base,IRMAA!$B$16:$B$21,IRMAA!$E$16:$E$21,0,-1)))))</f>
        <v>0</v>
      </c>
      <c r="AS108" s="96">
        <f>IF(AS4&lt;$BB$82,0,_xlfn.LET(_xlpm.c,AS85,_xlpm.base,AS6+AS7+AS15+AS8+AS21,24*MAX(0,(_xlfn.XLOOKUP(_xlpm.base+_xlpm.c,IRMAA!$B$16:$B$21,IRMAA!$D$16:$D$21,0,-1)+_xlfn.XLOOKUP(_xlpm.base+_xlpm.c,IRMAA!$B$16:$B$21,IRMAA!$E$16:$E$21,0,-1))-(_xlfn.XLOOKUP(_xlpm.base,IRMAA!$B$16:$B$21,IRMAA!$D$16:$D$21,0,-1)+_xlfn.XLOOKUP(_xlpm.base,IRMAA!$B$16:$B$21,IRMAA!$E$16:$E$21,0,-1)))))</f>
        <v>0</v>
      </c>
      <c r="AT108" s="96">
        <f>IF(AT4&lt;$BB$82,0,_xlfn.LET(_xlpm.c,AT85,_xlpm.base,AT6+AT7+AT15+AT8+AT21,24*MAX(0,(_xlfn.XLOOKUP(_xlpm.base+_xlpm.c,IRMAA!$B$16:$B$21,IRMAA!$D$16:$D$21,0,-1)+_xlfn.XLOOKUP(_xlpm.base+_xlpm.c,IRMAA!$B$16:$B$21,IRMAA!$E$16:$E$21,0,-1))-(_xlfn.XLOOKUP(_xlpm.base,IRMAA!$B$16:$B$21,IRMAA!$D$16:$D$21,0,-1)+_xlfn.XLOOKUP(_xlpm.base,IRMAA!$B$16:$B$21,IRMAA!$E$16:$E$21,0,-1)))))</f>
        <v>0</v>
      </c>
      <c r="AU108" s="96">
        <f>IF(AU4&lt;$BB$82,0,_xlfn.LET(_xlpm.c,AU85,_xlpm.base,AU6+AU7+AU15+AU8+AU21,24*MAX(0,(_xlfn.XLOOKUP(_xlpm.base+_xlpm.c,IRMAA!$B$16:$B$21,IRMAA!$D$16:$D$21,0,-1)+_xlfn.XLOOKUP(_xlpm.base+_xlpm.c,IRMAA!$B$16:$B$21,IRMAA!$E$16:$E$21,0,-1))-(_xlfn.XLOOKUP(_xlpm.base,IRMAA!$B$16:$B$21,IRMAA!$D$16:$D$21,0,-1)+_xlfn.XLOOKUP(_xlpm.base,IRMAA!$B$16:$B$21,IRMAA!$E$16:$E$21,0,-1)))))</f>
        <v>0</v>
      </c>
      <c r="AV108" s="96">
        <f>IF(AV4&lt;$BB$82,0,_xlfn.LET(_xlpm.c,AV85,_xlpm.base,AV6+AV7+AV15+AV8+AV21,24*MAX(0,(_xlfn.XLOOKUP(_xlpm.base+_xlpm.c,IRMAA!$B$16:$B$21,IRMAA!$D$16:$D$21,0,-1)+_xlfn.XLOOKUP(_xlpm.base+_xlpm.c,IRMAA!$B$16:$B$21,IRMAA!$E$16:$E$21,0,-1))-(_xlfn.XLOOKUP(_xlpm.base,IRMAA!$B$16:$B$21,IRMAA!$D$16:$D$21,0,-1)+_xlfn.XLOOKUP(_xlpm.base,IRMAA!$B$16:$B$21,IRMAA!$E$16:$E$21,0,-1)))))</f>
        <v>0</v>
      </c>
      <c r="AW108" s="96">
        <f>IF(AW4&lt;$BB$82,0,_xlfn.LET(_xlpm.c,AW85,_xlpm.base,AW6+AW7+AW15+AW8+AW21,24*MAX(0,(_xlfn.XLOOKUP(_xlpm.base+_xlpm.c,IRMAA!$B$16:$B$21,IRMAA!$D$16:$D$21,0,-1)+_xlfn.XLOOKUP(_xlpm.base+_xlpm.c,IRMAA!$B$16:$B$21,IRMAA!$E$16:$E$21,0,-1))-(_xlfn.XLOOKUP(_xlpm.base,IRMAA!$B$16:$B$21,IRMAA!$D$16:$D$21,0,-1)+_xlfn.XLOOKUP(_xlpm.base,IRMAA!$B$16:$B$21,IRMAA!$E$16:$E$21,0,-1)))))</f>
        <v>0</v>
      </c>
      <c r="AX108" s="96">
        <f>IF(AX4&lt;$BB$82,0,_xlfn.LET(_xlpm.c,AX85,_xlpm.base,AX6+AX7+AX15+AX8+AX21,24*MAX(0,(_xlfn.XLOOKUP(_xlpm.base+_xlpm.c,IRMAA!$B$16:$B$21,IRMAA!$D$16:$D$21,0,-1)+_xlfn.XLOOKUP(_xlpm.base+_xlpm.c,IRMAA!$B$16:$B$21,IRMAA!$E$16:$E$21,0,-1))-(_xlfn.XLOOKUP(_xlpm.base,IRMAA!$B$16:$B$21,IRMAA!$D$16:$D$21,0,-1)+_xlfn.XLOOKUP(_xlpm.base,IRMAA!$B$16:$B$21,IRMAA!$E$16:$E$21,0,-1)))))</f>
        <v>0</v>
      </c>
      <c r="AY108" s="96">
        <f>IF(AY4&lt;$BB$82,0,_xlfn.LET(_xlpm.c,AY85,_xlpm.base,AY6+AY7+AY15+AY8+AY21,24*MAX(0,(_xlfn.XLOOKUP(_xlpm.base+_xlpm.c,IRMAA!$B$16:$B$21,IRMAA!$D$16:$D$21,0,-1)+_xlfn.XLOOKUP(_xlpm.base+_xlpm.c,IRMAA!$B$16:$B$21,IRMAA!$E$16:$E$21,0,-1))-(_xlfn.XLOOKUP(_xlpm.base,IRMAA!$B$16:$B$21,IRMAA!$D$16:$D$21,0,-1)+_xlfn.XLOOKUP(_xlpm.base,IRMAA!$B$16:$B$21,IRMAA!$E$16:$E$21,0,-1)))))</f>
        <v>0</v>
      </c>
      <c r="BA108" s="188"/>
      <c r="BB108" s="188"/>
      <c r="BC108" s="188"/>
      <c r="BD108" s="188"/>
    </row>
    <row r="109" spans="1:56" hidden="1" x14ac:dyDescent="0.55000000000000004">
      <c r="A109" s="161" t="s">
        <v>665</v>
      </c>
      <c r="B109" s="161" t="s">
        <v>676</v>
      </c>
      <c r="C109" s="162" t="s">
        <v>675</v>
      </c>
      <c r="D109" s="96">
        <f>IF(D4&lt;$BB$82,0,_xlfn.LET(_xlpm.c,D86,_xlpm.base,D6+D7+D15+D8+D21,24*MAX(0,(_xlfn.XLOOKUP(_xlpm.base+_xlpm.c,IRMAA!$B$16:$B$21,IRMAA!$D$16:$D$21,0,-1)+_xlfn.XLOOKUP(_xlpm.base+_xlpm.c,IRMAA!$B$16:$B$21,IRMAA!$E$16:$E$21,0,-1))-(_xlfn.XLOOKUP(_xlpm.base,IRMAA!$B$16:$B$21,IRMAA!$D$16:$D$21,0,-1)+_xlfn.XLOOKUP(_xlpm.base,IRMAA!$B$16:$B$21,IRMAA!$E$16:$E$21,0,-1)))))</f>
        <v>0</v>
      </c>
      <c r="E109" s="96">
        <f>IF(E4&lt;$BB$82,0,_xlfn.LET(_xlpm.c,E86,_xlpm.base,E6+E7+E15+E8+E21,24*MAX(0,(_xlfn.XLOOKUP(_xlpm.base+_xlpm.c,IRMAA!$B$16:$B$21,IRMAA!$D$16:$D$21,0,-1)+_xlfn.XLOOKUP(_xlpm.base+_xlpm.c,IRMAA!$B$16:$B$21,IRMAA!$E$16:$E$21,0,-1))-(_xlfn.XLOOKUP(_xlpm.base,IRMAA!$B$16:$B$21,IRMAA!$D$16:$D$21,0,-1)+_xlfn.XLOOKUP(_xlpm.base,IRMAA!$B$16:$B$21,IRMAA!$E$16:$E$21,0,-1)))))</f>
        <v>0</v>
      </c>
      <c r="F109" s="96">
        <f>IF(F4&lt;$BB$82,0,_xlfn.LET(_xlpm.c,F86,_xlpm.base,F6+F7+F15+F8+F21,24*MAX(0,(_xlfn.XLOOKUP(_xlpm.base+_xlpm.c,IRMAA!$B$16:$B$21,IRMAA!$D$16:$D$21,0,-1)+_xlfn.XLOOKUP(_xlpm.base+_xlpm.c,IRMAA!$B$16:$B$21,IRMAA!$E$16:$E$21,0,-1))-(_xlfn.XLOOKUP(_xlpm.base,IRMAA!$B$16:$B$21,IRMAA!$D$16:$D$21,0,-1)+_xlfn.XLOOKUP(_xlpm.base,IRMAA!$B$16:$B$21,IRMAA!$E$16:$E$21,0,-1)))))</f>
        <v>0</v>
      </c>
      <c r="G109" s="96">
        <f>IF(G4&lt;$BB$82,0,_xlfn.LET(_xlpm.c,G86,_xlpm.base,G6+G7+G15+G8+G21,24*MAX(0,(_xlfn.XLOOKUP(_xlpm.base+_xlpm.c,IRMAA!$B$16:$B$21,IRMAA!$D$16:$D$21,0,-1)+_xlfn.XLOOKUP(_xlpm.base+_xlpm.c,IRMAA!$B$16:$B$21,IRMAA!$E$16:$E$21,0,-1))-(_xlfn.XLOOKUP(_xlpm.base,IRMAA!$B$16:$B$21,IRMAA!$D$16:$D$21,0,-1)+_xlfn.XLOOKUP(_xlpm.base,IRMAA!$B$16:$B$21,IRMAA!$E$16:$E$21,0,-1)))))</f>
        <v>0</v>
      </c>
      <c r="H109" s="96">
        <f>IF(H4&lt;$BB$82,0,_xlfn.LET(_xlpm.c,H86,_xlpm.base,H6+H7+H15+H8+H21,24*MAX(0,(_xlfn.XLOOKUP(_xlpm.base+_xlpm.c,IRMAA!$B$16:$B$21,IRMAA!$D$16:$D$21,0,-1)+_xlfn.XLOOKUP(_xlpm.base+_xlpm.c,IRMAA!$B$16:$B$21,IRMAA!$E$16:$E$21,0,-1))-(_xlfn.XLOOKUP(_xlpm.base,IRMAA!$B$16:$B$21,IRMAA!$D$16:$D$21,0,-1)+_xlfn.XLOOKUP(_xlpm.base,IRMAA!$B$16:$B$21,IRMAA!$E$16:$E$21,0,-1)))))</f>
        <v>0</v>
      </c>
      <c r="I109" s="96">
        <f>IF(I4&lt;$BB$82,0,_xlfn.LET(_xlpm.c,I86,_xlpm.base,I6+I7+I15+I8+I21,24*MAX(0,(_xlfn.XLOOKUP(_xlpm.base+_xlpm.c,IRMAA!$B$16:$B$21,IRMAA!$D$16:$D$21,0,-1)+_xlfn.XLOOKUP(_xlpm.base+_xlpm.c,IRMAA!$B$16:$B$21,IRMAA!$E$16:$E$21,0,-1))-(_xlfn.XLOOKUP(_xlpm.base,IRMAA!$B$16:$B$21,IRMAA!$D$16:$D$21,0,-1)+_xlfn.XLOOKUP(_xlpm.base,IRMAA!$B$16:$B$21,IRMAA!$E$16:$E$21,0,-1)))))</f>
        <v>0</v>
      </c>
      <c r="J109" s="96">
        <f>IF(J4&lt;$BB$82,0,_xlfn.LET(_xlpm.c,J86,_xlpm.base,J6+J7+J15+J8+J21,24*MAX(0,(_xlfn.XLOOKUP(_xlpm.base+_xlpm.c,IRMAA!$B$16:$B$21,IRMAA!$D$16:$D$21,0,-1)+_xlfn.XLOOKUP(_xlpm.base+_xlpm.c,IRMAA!$B$16:$B$21,IRMAA!$E$16:$E$21,0,-1))-(_xlfn.XLOOKUP(_xlpm.base,IRMAA!$B$16:$B$21,IRMAA!$D$16:$D$21,0,-1)+_xlfn.XLOOKUP(_xlpm.base,IRMAA!$B$16:$B$21,IRMAA!$E$16:$E$21,0,-1)))))</f>
        <v>0</v>
      </c>
      <c r="K109" s="96">
        <f>IF(K4&lt;$BB$82,0,_xlfn.LET(_xlpm.c,K86,_xlpm.base,K6+K7+K15+K8+K21,24*MAX(0,(_xlfn.XLOOKUP(_xlpm.base+_xlpm.c,IRMAA!$B$16:$B$21,IRMAA!$D$16:$D$21,0,-1)+_xlfn.XLOOKUP(_xlpm.base+_xlpm.c,IRMAA!$B$16:$B$21,IRMAA!$E$16:$E$21,0,-1))-(_xlfn.XLOOKUP(_xlpm.base,IRMAA!$B$16:$B$21,IRMAA!$D$16:$D$21,0,-1)+_xlfn.XLOOKUP(_xlpm.base,IRMAA!$B$16:$B$21,IRMAA!$E$16:$E$21,0,-1)))))</f>
        <v>0</v>
      </c>
      <c r="L109" s="96">
        <f>IF(L4&lt;$BB$82,0,_xlfn.LET(_xlpm.c,L86,_xlpm.base,L6+L7+L15+L8+L21,24*MAX(0,(_xlfn.XLOOKUP(_xlpm.base+_xlpm.c,IRMAA!$B$16:$B$21,IRMAA!$D$16:$D$21,0,-1)+_xlfn.XLOOKUP(_xlpm.base+_xlpm.c,IRMAA!$B$16:$B$21,IRMAA!$E$16:$E$21,0,-1))-(_xlfn.XLOOKUP(_xlpm.base,IRMAA!$B$16:$B$21,IRMAA!$D$16:$D$21,0,-1)+_xlfn.XLOOKUP(_xlpm.base,IRMAA!$B$16:$B$21,IRMAA!$E$16:$E$21,0,-1)))))</f>
        <v>0</v>
      </c>
      <c r="M109" s="96">
        <f>IF(M4&lt;$BB$82,0,_xlfn.LET(_xlpm.c,M86,_xlpm.base,M6+M7+M15+M8+M21,24*MAX(0,(_xlfn.XLOOKUP(_xlpm.base+_xlpm.c,IRMAA!$B$16:$B$21,IRMAA!$D$16:$D$21,0,-1)+_xlfn.XLOOKUP(_xlpm.base+_xlpm.c,IRMAA!$B$16:$B$21,IRMAA!$E$16:$E$21,0,-1))-(_xlfn.XLOOKUP(_xlpm.base,IRMAA!$B$16:$B$21,IRMAA!$D$16:$D$21,0,-1)+_xlfn.XLOOKUP(_xlpm.base,IRMAA!$B$16:$B$21,IRMAA!$E$16:$E$21,0,-1)))))</f>
        <v>0</v>
      </c>
      <c r="N109" s="96">
        <f>IF(N4&lt;$BB$82,0,_xlfn.LET(_xlpm.c,N86,_xlpm.base,N6+N7+N15+N8+N21,24*MAX(0,(_xlfn.XLOOKUP(_xlpm.base+_xlpm.c,IRMAA!$B$16:$B$21,IRMAA!$D$16:$D$21,0,-1)+_xlfn.XLOOKUP(_xlpm.base+_xlpm.c,IRMAA!$B$16:$B$21,IRMAA!$E$16:$E$21,0,-1))-(_xlfn.XLOOKUP(_xlpm.base,IRMAA!$B$16:$B$21,IRMAA!$D$16:$D$21,0,-1)+_xlfn.XLOOKUP(_xlpm.base,IRMAA!$B$16:$B$21,IRMAA!$E$16:$E$21,0,-1)))))</f>
        <v>0</v>
      </c>
      <c r="O109" s="96">
        <f>IF(O4&lt;$BB$82,0,_xlfn.LET(_xlpm.c,O86,_xlpm.base,O6+O7+O15+O8+O21,24*MAX(0,(_xlfn.XLOOKUP(_xlpm.base+_xlpm.c,IRMAA!$B$16:$B$21,IRMAA!$D$16:$D$21,0,-1)+_xlfn.XLOOKUP(_xlpm.base+_xlpm.c,IRMAA!$B$16:$B$21,IRMAA!$E$16:$E$21,0,-1))-(_xlfn.XLOOKUP(_xlpm.base,IRMAA!$B$16:$B$21,IRMAA!$D$16:$D$21,0,-1)+_xlfn.XLOOKUP(_xlpm.base,IRMAA!$B$16:$B$21,IRMAA!$E$16:$E$21,0,-1)))))</f>
        <v>0</v>
      </c>
      <c r="P109" s="96">
        <f>IF(P4&lt;$BB$82,0,_xlfn.LET(_xlpm.c,P86,_xlpm.base,P6+P7+P15+P8+P21,24*MAX(0,(_xlfn.XLOOKUP(_xlpm.base+_xlpm.c,IRMAA!$B$16:$B$21,IRMAA!$D$16:$D$21,0,-1)+_xlfn.XLOOKUP(_xlpm.base+_xlpm.c,IRMAA!$B$16:$B$21,IRMAA!$E$16:$E$21,0,-1))-(_xlfn.XLOOKUP(_xlpm.base,IRMAA!$B$16:$B$21,IRMAA!$D$16:$D$21,0,-1)+_xlfn.XLOOKUP(_xlpm.base,IRMAA!$B$16:$B$21,IRMAA!$E$16:$E$21,0,-1)))))</f>
        <v>0</v>
      </c>
      <c r="Q109" s="96">
        <f>IF(Q4&lt;$BB$82,0,_xlfn.LET(_xlpm.c,Q86,_xlpm.base,Q6+Q7+Q15+Q8+Q21,24*MAX(0,(_xlfn.XLOOKUP(_xlpm.base+_xlpm.c,IRMAA!$B$16:$B$21,IRMAA!$D$16:$D$21,0,-1)+_xlfn.XLOOKUP(_xlpm.base+_xlpm.c,IRMAA!$B$16:$B$21,IRMAA!$E$16:$E$21,0,-1))-(_xlfn.XLOOKUP(_xlpm.base,IRMAA!$B$16:$B$21,IRMAA!$D$16:$D$21,0,-1)+_xlfn.XLOOKUP(_xlpm.base,IRMAA!$B$16:$B$21,IRMAA!$E$16:$E$21,0,-1)))))</f>
        <v>0</v>
      </c>
      <c r="R109" s="96">
        <f>IF(R4&lt;$BB$82,0,_xlfn.LET(_xlpm.c,R86,_xlpm.base,R6+R7+R15+R8+R21,24*MAX(0,(_xlfn.XLOOKUP(_xlpm.base+_xlpm.c,IRMAA!$B$16:$B$21,IRMAA!$D$16:$D$21,0,-1)+_xlfn.XLOOKUP(_xlpm.base+_xlpm.c,IRMAA!$B$16:$B$21,IRMAA!$E$16:$E$21,0,-1))-(_xlfn.XLOOKUP(_xlpm.base,IRMAA!$B$16:$B$21,IRMAA!$D$16:$D$21,0,-1)+_xlfn.XLOOKUP(_xlpm.base,IRMAA!$B$16:$B$21,IRMAA!$E$16:$E$21,0,-1)))))</f>
        <v>0</v>
      </c>
      <c r="S109" s="96">
        <f>IF(S4&lt;$BB$82,0,_xlfn.LET(_xlpm.c,S86,_xlpm.base,S6+S7+S15+S8+S21,24*MAX(0,(_xlfn.XLOOKUP(_xlpm.base+_xlpm.c,IRMAA!$B$16:$B$21,IRMAA!$D$16:$D$21,0,-1)+_xlfn.XLOOKUP(_xlpm.base+_xlpm.c,IRMAA!$B$16:$B$21,IRMAA!$E$16:$E$21,0,-1))-(_xlfn.XLOOKUP(_xlpm.base,IRMAA!$B$16:$B$21,IRMAA!$D$16:$D$21,0,-1)+_xlfn.XLOOKUP(_xlpm.base,IRMAA!$B$16:$B$21,IRMAA!$E$16:$E$21,0,-1)))))</f>
        <v>0</v>
      </c>
      <c r="T109" s="96">
        <f>IF(T4&lt;$BB$82,0,_xlfn.LET(_xlpm.c,T86,_xlpm.base,T6+T7+T15+T8+T21,24*MAX(0,(_xlfn.XLOOKUP(_xlpm.base+_xlpm.c,IRMAA!$B$16:$B$21,IRMAA!$D$16:$D$21,0,-1)+_xlfn.XLOOKUP(_xlpm.base+_xlpm.c,IRMAA!$B$16:$B$21,IRMAA!$E$16:$E$21,0,-1))-(_xlfn.XLOOKUP(_xlpm.base,IRMAA!$B$16:$B$21,IRMAA!$D$16:$D$21,0,-1)+_xlfn.XLOOKUP(_xlpm.base,IRMAA!$B$16:$B$21,IRMAA!$E$16:$E$21,0,-1)))))</f>
        <v>0</v>
      </c>
      <c r="U109" s="96">
        <f>IF(U4&lt;$BB$82,0,_xlfn.LET(_xlpm.c,U86,_xlpm.base,U6+U7+U15+U8+U21,24*MAX(0,(_xlfn.XLOOKUP(_xlpm.base+_xlpm.c,IRMAA!$B$16:$B$21,IRMAA!$D$16:$D$21,0,-1)+_xlfn.XLOOKUP(_xlpm.base+_xlpm.c,IRMAA!$B$16:$B$21,IRMAA!$E$16:$E$21,0,-1))-(_xlfn.XLOOKUP(_xlpm.base,IRMAA!$B$16:$B$21,IRMAA!$D$16:$D$21,0,-1)+_xlfn.XLOOKUP(_xlpm.base,IRMAA!$B$16:$B$21,IRMAA!$E$16:$E$21,0,-1)))))</f>
        <v>0</v>
      </c>
      <c r="V109" s="96">
        <f>IF(V4&lt;$BB$82,0,_xlfn.LET(_xlpm.c,V86,_xlpm.base,V6+V7+V15+V8+V21,24*MAX(0,(_xlfn.XLOOKUP(_xlpm.base+_xlpm.c,IRMAA!$B$16:$B$21,IRMAA!$D$16:$D$21,0,-1)+_xlfn.XLOOKUP(_xlpm.base+_xlpm.c,IRMAA!$B$16:$B$21,IRMAA!$E$16:$E$21,0,-1))-(_xlfn.XLOOKUP(_xlpm.base,IRMAA!$B$16:$B$21,IRMAA!$D$16:$D$21,0,-1)+_xlfn.XLOOKUP(_xlpm.base,IRMAA!$B$16:$B$21,IRMAA!$E$16:$E$21,0,-1)))))</f>
        <v>0</v>
      </c>
      <c r="W109" s="96">
        <f>IF(W4&lt;$BB$82,0,_xlfn.LET(_xlpm.c,W86,_xlpm.base,W6+W7+W15+W8+W21,24*MAX(0,(_xlfn.XLOOKUP(_xlpm.base+_xlpm.c,IRMAA!$B$16:$B$21,IRMAA!$D$16:$D$21,0,-1)+_xlfn.XLOOKUP(_xlpm.base+_xlpm.c,IRMAA!$B$16:$B$21,IRMAA!$E$16:$E$21,0,-1))-(_xlfn.XLOOKUP(_xlpm.base,IRMAA!$B$16:$B$21,IRMAA!$D$16:$D$21,0,-1)+_xlfn.XLOOKUP(_xlpm.base,IRMAA!$B$16:$B$21,IRMAA!$E$16:$E$21,0,-1)))))</f>
        <v>0</v>
      </c>
      <c r="X109" s="96">
        <f>IF(X4&lt;$BB$82,0,_xlfn.LET(_xlpm.c,X86,_xlpm.base,X6+X7+X15+X8+X21,24*MAX(0,(_xlfn.XLOOKUP(_xlpm.base+_xlpm.c,IRMAA!$B$16:$B$21,IRMAA!$D$16:$D$21,0,-1)+_xlfn.XLOOKUP(_xlpm.base+_xlpm.c,IRMAA!$B$16:$B$21,IRMAA!$E$16:$E$21,0,-1))-(_xlfn.XLOOKUP(_xlpm.base,IRMAA!$B$16:$B$21,IRMAA!$D$16:$D$21,0,-1)+_xlfn.XLOOKUP(_xlpm.base,IRMAA!$B$16:$B$21,IRMAA!$E$16:$E$21,0,-1)))))</f>
        <v>0</v>
      </c>
      <c r="Y109" s="96">
        <f>IF(Y4&lt;$BB$82,0,_xlfn.LET(_xlpm.c,Y86,_xlpm.base,Y6+Y7+Y15+Y8+Y21,24*MAX(0,(_xlfn.XLOOKUP(_xlpm.base+_xlpm.c,IRMAA!$B$16:$B$21,IRMAA!$D$16:$D$21,0,-1)+_xlfn.XLOOKUP(_xlpm.base+_xlpm.c,IRMAA!$B$16:$B$21,IRMAA!$E$16:$E$21,0,-1))-(_xlfn.XLOOKUP(_xlpm.base,IRMAA!$B$16:$B$21,IRMAA!$D$16:$D$21,0,-1)+_xlfn.XLOOKUP(_xlpm.base,IRMAA!$B$16:$B$21,IRMAA!$E$16:$E$21,0,-1)))))</f>
        <v>0</v>
      </c>
      <c r="Z109" s="96">
        <f>IF(Z4&lt;$BB$82,0,_xlfn.LET(_xlpm.c,Z86,_xlpm.base,Z6+Z7+Z15+Z8+Z21,24*MAX(0,(_xlfn.XLOOKUP(_xlpm.base+_xlpm.c,IRMAA!$B$16:$B$21,IRMAA!$D$16:$D$21,0,-1)+_xlfn.XLOOKUP(_xlpm.base+_xlpm.c,IRMAA!$B$16:$B$21,IRMAA!$E$16:$E$21,0,-1))-(_xlfn.XLOOKUP(_xlpm.base,IRMAA!$B$16:$B$21,IRMAA!$D$16:$D$21,0,-1)+_xlfn.XLOOKUP(_xlpm.base,IRMAA!$B$16:$B$21,IRMAA!$E$16:$E$21,0,-1)))))</f>
        <v>0</v>
      </c>
      <c r="AA109" s="96">
        <f>IF(AA4&lt;$BB$82,0,_xlfn.LET(_xlpm.c,AA86,_xlpm.base,AA6+AA7+AA15+AA8+AA21,24*MAX(0,(_xlfn.XLOOKUP(_xlpm.base+_xlpm.c,IRMAA!$B$16:$B$21,IRMAA!$D$16:$D$21,0,-1)+_xlfn.XLOOKUP(_xlpm.base+_xlpm.c,IRMAA!$B$16:$B$21,IRMAA!$E$16:$E$21,0,-1))-(_xlfn.XLOOKUP(_xlpm.base,IRMAA!$B$16:$B$21,IRMAA!$D$16:$D$21,0,-1)+_xlfn.XLOOKUP(_xlpm.base,IRMAA!$B$16:$B$21,IRMAA!$E$16:$E$21,0,-1)))))</f>
        <v>0</v>
      </c>
      <c r="AB109" s="96">
        <f>IF(AB4&lt;$BB$82,0,_xlfn.LET(_xlpm.c,AB86,_xlpm.base,AB6+AB7+AB15+AB8+AB21,24*MAX(0,(_xlfn.XLOOKUP(_xlpm.base+_xlpm.c,IRMAA!$B$16:$B$21,IRMAA!$D$16:$D$21,0,-1)+_xlfn.XLOOKUP(_xlpm.base+_xlpm.c,IRMAA!$B$16:$B$21,IRMAA!$E$16:$E$21,0,-1))-(_xlfn.XLOOKUP(_xlpm.base,IRMAA!$B$16:$B$21,IRMAA!$D$16:$D$21,0,-1)+_xlfn.XLOOKUP(_xlpm.base,IRMAA!$B$16:$B$21,IRMAA!$E$16:$E$21,0,-1)))))</f>
        <v>0</v>
      </c>
      <c r="AC109" s="96">
        <f>IF(AC4&lt;$BB$82,0,_xlfn.LET(_xlpm.c,AC86,_xlpm.base,AC6+AC7+AC15+AC8+AC21,24*MAX(0,(_xlfn.XLOOKUP(_xlpm.base+_xlpm.c,IRMAA!$B$16:$B$21,IRMAA!$D$16:$D$21,0,-1)+_xlfn.XLOOKUP(_xlpm.base+_xlpm.c,IRMAA!$B$16:$B$21,IRMAA!$E$16:$E$21,0,-1))-(_xlfn.XLOOKUP(_xlpm.base,IRMAA!$B$16:$B$21,IRMAA!$D$16:$D$21,0,-1)+_xlfn.XLOOKUP(_xlpm.base,IRMAA!$B$16:$B$21,IRMAA!$E$16:$E$21,0,-1)))))</f>
        <v>0</v>
      </c>
      <c r="AD109" s="96">
        <f>IF(AD4&lt;$BB$82,0,_xlfn.LET(_xlpm.c,AD86,_xlpm.base,AD6+AD7+AD15+AD8+AD21,24*MAX(0,(_xlfn.XLOOKUP(_xlpm.base+_xlpm.c,IRMAA!$B$16:$B$21,IRMAA!$D$16:$D$21,0,-1)+_xlfn.XLOOKUP(_xlpm.base+_xlpm.c,IRMAA!$B$16:$B$21,IRMAA!$E$16:$E$21,0,-1))-(_xlfn.XLOOKUP(_xlpm.base,IRMAA!$B$16:$B$21,IRMAA!$D$16:$D$21,0,-1)+_xlfn.XLOOKUP(_xlpm.base,IRMAA!$B$16:$B$21,IRMAA!$E$16:$E$21,0,-1)))))</f>
        <v>0</v>
      </c>
      <c r="AE109" s="96">
        <f>IF(AE4&lt;$BB$82,0,_xlfn.LET(_xlpm.c,AE86,_xlpm.base,AE6+AE7+AE15+AE8+AE21,24*MAX(0,(_xlfn.XLOOKUP(_xlpm.base+_xlpm.c,IRMAA!$B$16:$B$21,IRMAA!$D$16:$D$21,0,-1)+_xlfn.XLOOKUP(_xlpm.base+_xlpm.c,IRMAA!$B$16:$B$21,IRMAA!$E$16:$E$21,0,-1))-(_xlfn.XLOOKUP(_xlpm.base,IRMAA!$B$16:$B$21,IRMAA!$D$16:$D$21,0,-1)+_xlfn.XLOOKUP(_xlpm.base,IRMAA!$B$16:$B$21,IRMAA!$E$16:$E$21,0,-1)))))</f>
        <v>0</v>
      </c>
      <c r="AF109" s="96">
        <f>IF(AF4&lt;$BB$82,0,_xlfn.LET(_xlpm.c,AF86,_xlpm.base,AF6+AF7+AF15+AF8+AF21,24*MAX(0,(_xlfn.XLOOKUP(_xlpm.base+_xlpm.c,IRMAA!$B$16:$B$21,IRMAA!$D$16:$D$21,0,-1)+_xlfn.XLOOKUP(_xlpm.base+_xlpm.c,IRMAA!$B$16:$B$21,IRMAA!$E$16:$E$21,0,-1))-(_xlfn.XLOOKUP(_xlpm.base,IRMAA!$B$16:$B$21,IRMAA!$D$16:$D$21,0,-1)+_xlfn.XLOOKUP(_xlpm.base,IRMAA!$B$16:$B$21,IRMAA!$E$16:$E$21,0,-1)))))</f>
        <v>0</v>
      </c>
      <c r="AG109" s="96">
        <f>IF(AG4&lt;$BB$82,0,_xlfn.LET(_xlpm.c,AG86,_xlpm.base,AG6+AG7+AG15+AG8+AG21,24*MAX(0,(_xlfn.XLOOKUP(_xlpm.base+_xlpm.c,IRMAA!$B$16:$B$21,IRMAA!$D$16:$D$21,0,-1)+_xlfn.XLOOKUP(_xlpm.base+_xlpm.c,IRMAA!$B$16:$B$21,IRMAA!$E$16:$E$21,0,-1))-(_xlfn.XLOOKUP(_xlpm.base,IRMAA!$B$16:$B$21,IRMAA!$D$16:$D$21,0,-1)+_xlfn.XLOOKUP(_xlpm.base,IRMAA!$B$16:$B$21,IRMAA!$E$16:$E$21,0,-1)))))</f>
        <v>0</v>
      </c>
      <c r="AH109" s="96">
        <f>IF(AH4&lt;$BB$82,0,_xlfn.LET(_xlpm.c,AH86,_xlpm.base,AH6+AH7+AH15+AH8+AH21,24*MAX(0,(_xlfn.XLOOKUP(_xlpm.base+_xlpm.c,IRMAA!$B$16:$B$21,IRMAA!$D$16:$D$21,0,-1)+_xlfn.XLOOKUP(_xlpm.base+_xlpm.c,IRMAA!$B$16:$B$21,IRMAA!$E$16:$E$21,0,-1))-(_xlfn.XLOOKUP(_xlpm.base,IRMAA!$B$16:$B$21,IRMAA!$D$16:$D$21,0,-1)+_xlfn.XLOOKUP(_xlpm.base,IRMAA!$B$16:$B$21,IRMAA!$E$16:$E$21,0,-1)))))</f>
        <v>0</v>
      </c>
      <c r="AI109" s="96">
        <f>IF(AI4&lt;$BB$82,0,_xlfn.LET(_xlpm.c,AI86,_xlpm.base,AI6+AI7+AI15+AI8+AI21,24*MAX(0,(_xlfn.XLOOKUP(_xlpm.base+_xlpm.c,IRMAA!$B$16:$B$21,IRMAA!$D$16:$D$21,0,-1)+_xlfn.XLOOKUP(_xlpm.base+_xlpm.c,IRMAA!$B$16:$B$21,IRMAA!$E$16:$E$21,0,-1))-(_xlfn.XLOOKUP(_xlpm.base,IRMAA!$B$16:$B$21,IRMAA!$D$16:$D$21,0,-1)+_xlfn.XLOOKUP(_xlpm.base,IRMAA!$B$16:$B$21,IRMAA!$E$16:$E$21,0,-1)))))</f>
        <v>0</v>
      </c>
      <c r="AJ109" s="96">
        <f>IF(AJ4&lt;$BB$82,0,_xlfn.LET(_xlpm.c,AJ86,_xlpm.base,AJ6+AJ7+AJ15+AJ8+AJ21,24*MAX(0,(_xlfn.XLOOKUP(_xlpm.base+_xlpm.c,IRMAA!$B$16:$B$21,IRMAA!$D$16:$D$21,0,-1)+_xlfn.XLOOKUP(_xlpm.base+_xlpm.c,IRMAA!$B$16:$B$21,IRMAA!$E$16:$E$21,0,-1))-(_xlfn.XLOOKUP(_xlpm.base,IRMAA!$B$16:$B$21,IRMAA!$D$16:$D$21,0,-1)+_xlfn.XLOOKUP(_xlpm.base,IRMAA!$B$16:$B$21,IRMAA!$E$16:$E$21,0,-1)))))</f>
        <v>0</v>
      </c>
      <c r="AK109" s="96">
        <f>IF(AK4&lt;$BB$82,0,_xlfn.LET(_xlpm.c,AK86,_xlpm.base,AK6+AK7+AK15+AK8+AK21,24*MAX(0,(_xlfn.XLOOKUP(_xlpm.base+_xlpm.c,IRMAA!$B$16:$B$21,IRMAA!$D$16:$D$21,0,-1)+_xlfn.XLOOKUP(_xlpm.base+_xlpm.c,IRMAA!$B$16:$B$21,IRMAA!$E$16:$E$21,0,-1))-(_xlfn.XLOOKUP(_xlpm.base,IRMAA!$B$16:$B$21,IRMAA!$D$16:$D$21,0,-1)+_xlfn.XLOOKUP(_xlpm.base,IRMAA!$B$16:$B$21,IRMAA!$E$16:$E$21,0,-1)))))</f>
        <v>0</v>
      </c>
      <c r="AL109" s="96">
        <f>IF(AL4&lt;$BB$82,0,_xlfn.LET(_xlpm.c,AL86,_xlpm.base,AL6+AL7+AL15+AL8+AL21,24*MAX(0,(_xlfn.XLOOKUP(_xlpm.base+_xlpm.c,IRMAA!$B$16:$B$21,IRMAA!$D$16:$D$21,0,-1)+_xlfn.XLOOKUP(_xlpm.base+_xlpm.c,IRMAA!$B$16:$B$21,IRMAA!$E$16:$E$21,0,-1))-(_xlfn.XLOOKUP(_xlpm.base,IRMAA!$B$16:$B$21,IRMAA!$D$16:$D$21,0,-1)+_xlfn.XLOOKUP(_xlpm.base,IRMAA!$B$16:$B$21,IRMAA!$E$16:$E$21,0,-1)))))</f>
        <v>0</v>
      </c>
      <c r="AM109" s="96">
        <f>IF(AM4&lt;$BB$82,0,_xlfn.LET(_xlpm.c,AM86,_xlpm.base,AM6+AM7+AM15+AM8+AM21,24*MAX(0,(_xlfn.XLOOKUP(_xlpm.base+_xlpm.c,IRMAA!$B$16:$B$21,IRMAA!$D$16:$D$21,0,-1)+_xlfn.XLOOKUP(_xlpm.base+_xlpm.c,IRMAA!$B$16:$B$21,IRMAA!$E$16:$E$21,0,-1))-(_xlfn.XLOOKUP(_xlpm.base,IRMAA!$B$16:$B$21,IRMAA!$D$16:$D$21,0,-1)+_xlfn.XLOOKUP(_xlpm.base,IRMAA!$B$16:$B$21,IRMAA!$E$16:$E$21,0,-1)))))</f>
        <v>0</v>
      </c>
      <c r="AN109" s="96">
        <f>IF(AN4&lt;$BB$82,0,_xlfn.LET(_xlpm.c,AN86,_xlpm.base,AN6+AN7+AN15+AN8+AN21,24*MAX(0,(_xlfn.XLOOKUP(_xlpm.base+_xlpm.c,IRMAA!$B$16:$B$21,IRMAA!$D$16:$D$21,0,-1)+_xlfn.XLOOKUP(_xlpm.base+_xlpm.c,IRMAA!$B$16:$B$21,IRMAA!$E$16:$E$21,0,-1))-(_xlfn.XLOOKUP(_xlpm.base,IRMAA!$B$16:$B$21,IRMAA!$D$16:$D$21,0,-1)+_xlfn.XLOOKUP(_xlpm.base,IRMAA!$B$16:$B$21,IRMAA!$E$16:$E$21,0,-1)))))</f>
        <v>0</v>
      </c>
      <c r="AO109" s="96">
        <f>IF(AO4&lt;$BB$82,0,_xlfn.LET(_xlpm.c,AO86,_xlpm.base,AO6+AO7+AO15+AO8+AO21,24*MAX(0,(_xlfn.XLOOKUP(_xlpm.base+_xlpm.c,IRMAA!$B$16:$B$21,IRMAA!$D$16:$D$21,0,-1)+_xlfn.XLOOKUP(_xlpm.base+_xlpm.c,IRMAA!$B$16:$B$21,IRMAA!$E$16:$E$21,0,-1))-(_xlfn.XLOOKUP(_xlpm.base,IRMAA!$B$16:$B$21,IRMAA!$D$16:$D$21,0,-1)+_xlfn.XLOOKUP(_xlpm.base,IRMAA!$B$16:$B$21,IRMAA!$E$16:$E$21,0,-1)))))</f>
        <v>0</v>
      </c>
      <c r="AP109" s="96">
        <f>IF(AP4&lt;$BB$82,0,_xlfn.LET(_xlpm.c,AP86,_xlpm.base,AP6+AP7+AP15+AP8+AP21,24*MAX(0,(_xlfn.XLOOKUP(_xlpm.base+_xlpm.c,IRMAA!$B$16:$B$21,IRMAA!$D$16:$D$21,0,-1)+_xlfn.XLOOKUP(_xlpm.base+_xlpm.c,IRMAA!$B$16:$B$21,IRMAA!$E$16:$E$21,0,-1))-(_xlfn.XLOOKUP(_xlpm.base,IRMAA!$B$16:$B$21,IRMAA!$D$16:$D$21,0,-1)+_xlfn.XLOOKUP(_xlpm.base,IRMAA!$B$16:$B$21,IRMAA!$E$16:$E$21,0,-1)))))</f>
        <v>0</v>
      </c>
      <c r="AQ109" s="96">
        <f>IF(AQ4&lt;$BB$82,0,_xlfn.LET(_xlpm.c,AQ86,_xlpm.base,AQ6+AQ7+AQ15+AQ8+AQ21,24*MAX(0,(_xlfn.XLOOKUP(_xlpm.base+_xlpm.c,IRMAA!$B$16:$B$21,IRMAA!$D$16:$D$21,0,-1)+_xlfn.XLOOKUP(_xlpm.base+_xlpm.c,IRMAA!$B$16:$B$21,IRMAA!$E$16:$E$21,0,-1))-(_xlfn.XLOOKUP(_xlpm.base,IRMAA!$B$16:$B$21,IRMAA!$D$16:$D$21,0,-1)+_xlfn.XLOOKUP(_xlpm.base,IRMAA!$B$16:$B$21,IRMAA!$E$16:$E$21,0,-1)))))</f>
        <v>0</v>
      </c>
      <c r="AR109" s="96">
        <f>IF(AR4&lt;$BB$82,0,_xlfn.LET(_xlpm.c,AR86,_xlpm.base,AR6+AR7+AR15+AR8+AR21,24*MAX(0,(_xlfn.XLOOKUP(_xlpm.base+_xlpm.c,IRMAA!$B$16:$B$21,IRMAA!$D$16:$D$21,0,-1)+_xlfn.XLOOKUP(_xlpm.base+_xlpm.c,IRMAA!$B$16:$B$21,IRMAA!$E$16:$E$21,0,-1))-(_xlfn.XLOOKUP(_xlpm.base,IRMAA!$B$16:$B$21,IRMAA!$D$16:$D$21,0,-1)+_xlfn.XLOOKUP(_xlpm.base,IRMAA!$B$16:$B$21,IRMAA!$E$16:$E$21,0,-1)))))</f>
        <v>0</v>
      </c>
      <c r="AS109" s="96">
        <f>IF(AS4&lt;$BB$82,0,_xlfn.LET(_xlpm.c,AS86,_xlpm.base,AS6+AS7+AS15+AS8+AS21,24*MAX(0,(_xlfn.XLOOKUP(_xlpm.base+_xlpm.c,IRMAA!$B$16:$B$21,IRMAA!$D$16:$D$21,0,-1)+_xlfn.XLOOKUP(_xlpm.base+_xlpm.c,IRMAA!$B$16:$B$21,IRMAA!$E$16:$E$21,0,-1))-(_xlfn.XLOOKUP(_xlpm.base,IRMAA!$B$16:$B$21,IRMAA!$D$16:$D$21,0,-1)+_xlfn.XLOOKUP(_xlpm.base,IRMAA!$B$16:$B$21,IRMAA!$E$16:$E$21,0,-1)))))</f>
        <v>0</v>
      </c>
      <c r="AT109" s="96">
        <f>IF(AT4&lt;$BB$82,0,_xlfn.LET(_xlpm.c,AT86,_xlpm.base,AT6+AT7+AT15+AT8+AT21,24*MAX(0,(_xlfn.XLOOKUP(_xlpm.base+_xlpm.c,IRMAA!$B$16:$B$21,IRMAA!$D$16:$D$21,0,-1)+_xlfn.XLOOKUP(_xlpm.base+_xlpm.c,IRMAA!$B$16:$B$21,IRMAA!$E$16:$E$21,0,-1))-(_xlfn.XLOOKUP(_xlpm.base,IRMAA!$B$16:$B$21,IRMAA!$D$16:$D$21,0,-1)+_xlfn.XLOOKUP(_xlpm.base,IRMAA!$B$16:$B$21,IRMAA!$E$16:$E$21,0,-1)))))</f>
        <v>0</v>
      </c>
      <c r="AU109" s="96">
        <f>IF(AU4&lt;$BB$82,0,_xlfn.LET(_xlpm.c,AU86,_xlpm.base,AU6+AU7+AU15+AU8+AU21,24*MAX(0,(_xlfn.XLOOKUP(_xlpm.base+_xlpm.c,IRMAA!$B$16:$B$21,IRMAA!$D$16:$D$21,0,-1)+_xlfn.XLOOKUP(_xlpm.base+_xlpm.c,IRMAA!$B$16:$B$21,IRMAA!$E$16:$E$21,0,-1))-(_xlfn.XLOOKUP(_xlpm.base,IRMAA!$B$16:$B$21,IRMAA!$D$16:$D$21,0,-1)+_xlfn.XLOOKUP(_xlpm.base,IRMAA!$B$16:$B$21,IRMAA!$E$16:$E$21,0,-1)))))</f>
        <v>0</v>
      </c>
      <c r="AV109" s="96">
        <f>IF(AV4&lt;$BB$82,0,_xlfn.LET(_xlpm.c,AV86,_xlpm.base,AV6+AV7+AV15+AV8+AV21,24*MAX(0,(_xlfn.XLOOKUP(_xlpm.base+_xlpm.c,IRMAA!$B$16:$B$21,IRMAA!$D$16:$D$21,0,-1)+_xlfn.XLOOKUP(_xlpm.base+_xlpm.c,IRMAA!$B$16:$B$21,IRMAA!$E$16:$E$21,0,-1))-(_xlfn.XLOOKUP(_xlpm.base,IRMAA!$B$16:$B$21,IRMAA!$D$16:$D$21,0,-1)+_xlfn.XLOOKUP(_xlpm.base,IRMAA!$B$16:$B$21,IRMAA!$E$16:$E$21,0,-1)))))</f>
        <v>0</v>
      </c>
      <c r="AW109" s="96">
        <f>IF(AW4&lt;$BB$82,0,_xlfn.LET(_xlpm.c,AW86,_xlpm.base,AW6+AW7+AW15+AW8+AW21,24*MAX(0,(_xlfn.XLOOKUP(_xlpm.base+_xlpm.c,IRMAA!$B$16:$B$21,IRMAA!$D$16:$D$21,0,-1)+_xlfn.XLOOKUP(_xlpm.base+_xlpm.c,IRMAA!$B$16:$B$21,IRMAA!$E$16:$E$21,0,-1))-(_xlfn.XLOOKUP(_xlpm.base,IRMAA!$B$16:$B$21,IRMAA!$D$16:$D$21,0,-1)+_xlfn.XLOOKUP(_xlpm.base,IRMAA!$B$16:$B$21,IRMAA!$E$16:$E$21,0,-1)))))</f>
        <v>0</v>
      </c>
      <c r="AX109" s="96">
        <f>IF(AX4&lt;$BB$82,0,_xlfn.LET(_xlpm.c,AX86,_xlpm.base,AX6+AX7+AX15+AX8+AX21,24*MAX(0,(_xlfn.XLOOKUP(_xlpm.base+_xlpm.c,IRMAA!$B$16:$B$21,IRMAA!$D$16:$D$21,0,-1)+_xlfn.XLOOKUP(_xlpm.base+_xlpm.c,IRMAA!$B$16:$B$21,IRMAA!$E$16:$E$21,0,-1))-(_xlfn.XLOOKUP(_xlpm.base,IRMAA!$B$16:$B$21,IRMAA!$D$16:$D$21,0,-1)+_xlfn.XLOOKUP(_xlpm.base,IRMAA!$B$16:$B$21,IRMAA!$E$16:$E$21,0,-1)))))</f>
        <v>0</v>
      </c>
      <c r="AY109" s="96">
        <f>IF(AY4&lt;$BB$82,0,_xlfn.LET(_xlpm.c,AY86,_xlpm.base,AY6+AY7+AY15+AY8+AY21,24*MAX(0,(_xlfn.XLOOKUP(_xlpm.base+_xlpm.c,IRMAA!$B$16:$B$21,IRMAA!$D$16:$D$21,0,-1)+_xlfn.XLOOKUP(_xlpm.base+_xlpm.c,IRMAA!$B$16:$B$21,IRMAA!$E$16:$E$21,0,-1))-(_xlfn.XLOOKUP(_xlpm.base,IRMAA!$B$16:$B$21,IRMAA!$D$16:$D$21,0,-1)+_xlfn.XLOOKUP(_xlpm.base,IRMAA!$B$16:$B$21,IRMAA!$E$16:$E$21,0,-1)))))</f>
        <v>0</v>
      </c>
      <c r="BA109" s="188"/>
      <c r="BB109" s="188"/>
      <c r="BC109" s="188"/>
      <c r="BD109" s="188"/>
    </row>
    <row r="110" spans="1:56" hidden="1" x14ac:dyDescent="0.55000000000000004">
      <c r="A110" s="161" t="s">
        <v>665</v>
      </c>
      <c r="B110" s="161" t="s">
        <v>677</v>
      </c>
      <c r="C110" s="162" t="s">
        <v>675</v>
      </c>
      <c r="D110" s="96">
        <f>IF(D4&lt;$BB$82,0,_xlfn.LET(_xlpm.c,D87,_xlpm.base,D6+D7+D15+D8+D21,24*MAX(0,(_xlfn.XLOOKUP(_xlpm.base+_xlpm.c,IRMAA!$B$16:$B$21,IRMAA!$D$16:$D$21,0,-1)+_xlfn.XLOOKUP(_xlpm.base+_xlpm.c,IRMAA!$B$16:$B$21,IRMAA!$E$16:$E$21,0,-1))-(_xlfn.XLOOKUP(_xlpm.base,IRMAA!$B$16:$B$21,IRMAA!$D$16:$D$21,0,-1)+_xlfn.XLOOKUP(_xlpm.base,IRMAA!$B$16:$B$21,IRMAA!$E$16:$E$21,0,-1)))))</f>
        <v>0</v>
      </c>
      <c r="E110" s="96">
        <f>IF(E4&lt;$BB$82,0,_xlfn.LET(_xlpm.c,E87,_xlpm.base,E6+E7+E15+E8+E21,24*MAX(0,(_xlfn.XLOOKUP(_xlpm.base+_xlpm.c,IRMAA!$B$16:$B$21,IRMAA!$D$16:$D$21,0,-1)+_xlfn.XLOOKUP(_xlpm.base+_xlpm.c,IRMAA!$B$16:$B$21,IRMAA!$E$16:$E$21,0,-1))-(_xlfn.XLOOKUP(_xlpm.base,IRMAA!$B$16:$B$21,IRMAA!$D$16:$D$21,0,-1)+_xlfn.XLOOKUP(_xlpm.base,IRMAA!$B$16:$B$21,IRMAA!$E$16:$E$21,0,-1)))))</f>
        <v>0</v>
      </c>
      <c r="F110" s="96">
        <f>IF(F4&lt;$BB$82,0,_xlfn.LET(_xlpm.c,F87,_xlpm.base,F6+F7+F15+F8+F21,24*MAX(0,(_xlfn.XLOOKUP(_xlpm.base+_xlpm.c,IRMAA!$B$16:$B$21,IRMAA!$D$16:$D$21,0,-1)+_xlfn.XLOOKUP(_xlpm.base+_xlpm.c,IRMAA!$B$16:$B$21,IRMAA!$E$16:$E$21,0,-1))-(_xlfn.XLOOKUP(_xlpm.base,IRMAA!$B$16:$B$21,IRMAA!$D$16:$D$21,0,-1)+_xlfn.XLOOKUP(_xlpm.base,IRMAA!$B$16:$B$21,IRMAA!$E$16:$E$21,0,-1)))))</f>
        <v>0</v>
      </c>
      <c r="G110" s="96">
        <f>IF(G4&lt;$BB$82,0,_xlfn.LET(_xlpm.c,G87,_xlpm.base,G6+G7+G15+G8+G21,24*MAX(0,(_xlfn.XLOOKUP(_xlpm.base+_xlpm.c,IRMAA!$B$16:$B$21,IRMAA!$D$16:$D$21,0,-1)+_xlfn.XLOOKUP(_xlpm.base+_xlpm.c,IRMAA!$B$16:$B$21,IRMAA!$E$16:$E$21,0,-1))-(_xlfn.XLOOKUP(_xlpm.base,IRMAA!$B$16:$B$21,IRMAA!$D$16:$D$21,0,-1)+_xlfn.XLOOKUP(_xlpm.base,IRMAA!$B$16:$B$21,IRMAA!$E$16:$E$21,0,-1)))))</f>
        <v>0</v>
      </c>
      <c r="H110" s="96">
        <f>IF(H4&lt;$BB$82,0,_xlfn.LET(_xlpm.c,H87,_xlpm.base,H6+H7+H15+H8+H21,24*MAX(0,(_xlfn.XLOOKUP(_xlpm.base+_xlpm.c,IRMAA!$B$16:$B$21,IRMAA!$D$16:$D$21,0,-1)+_xlfn.XLOOKUP(_xlpm.base+_xlpm.c,IRMAA!$B$16:$B$21,IRMAA!$E$16:$E$21,0,-1))-(_xlfn.XLOOKUP(_xlpm.base,IRMAA!$B$16:$B$21,IRMAA!$D$16:$D$21,0,-1)+_xlfn.XLOOKUP(_xlpm.base,IRMAA!$B$16:$B$21,IRMAA!$E$16:$E$21,0,-1)))))</f>
        <v>0</v>
      </c>
      <c r="I110" s="96">
        <f>IF(I4&lt;$BB$82,0,_xlfn.LET(_xlpm.c,I87,_xlpm.base,I6+I7+I15+I8+I21,24*MAX(0,(_xlfn.XLOOKUP(_xlpm.base+_xlpm.c,IRMAA!$B$16:$B$21,IRMAA!$D$16:$D$21,0,-1)+_xlfn.XLOOKUP(_xlpm.base+_xlpm.c,IRMAA!$B$16:$B$21,IRMAA!$E$16:$E$21,0,-1))-(_xlfn.XLOOKUP(_xlpm.base,IRMAA!$B$16:$B$21,IRMAA!$D$16:$D$21,0,-1)+_xlfn.XLOOKUP(_xlpm.base,IRMAA!$B$16:$B$21,IRMAA!$E$16:$E$21,0,-1)))))</f>
        <v>0</v>
      </c>
      <c r="J110" s="96">
        <f>IF(J4&lt;$BB$82,0,_xlfn.LET(_xlpm.c,J87,_xlpm.base,J6+J7+J15+J8+J21,24*MAX(0,(_xlfn.XLOOKUP(_xlpm.base+_xlpm.c,IRMAA!$B$16:$B$21,IRMAA!$D$16:$D$21,0,-1)+_xlfn.XLOOKUP(_xlpm.base+_xlpm.c,IRMAA!$B$16:$B$21,IRMAA!$E$16:$E$21,0,-1))-(_xlfn.XLOOKUP(_xlpm.base,IRMAA!$B$16:$B$21,IRMAA!$D$16:$D$21,0,-1)+_xlfn.XLOOKUP(_xlpm.base,IRMAA!$B$16:$B$21,IRMAA!$E$16:$E$21,0,-1)))))</f>
        <v>0</v>
      </c>
      <c r="K110" s="96">
        <f>IF(K4&lt;$BB$82,0,_xlfn.LET(_xlpm.c,K87,_xlpm.base,K6+K7+K15+K8+K21,24*MAX(0,(_xlfn.XLOOKUP(_xlpm.base+_xlpm.c,IRMAA!$B$16:$B$21,IRMAA!$D$16:$D$21,0,-1)+_xlfn.XLOOKUP(_xlpm.base+_xlpm.c,IRMAA!$B$16:$B$21,IRMAA!$E$16:$E$21,0,-1))-(_xlfn.XLOOKUP(_xlpm.base,IRMAA!$B$16:$B$21,IRMAA!$D$16:$D$21,0,-1)+_xlfn.XLOOKUP(_xlpm.base,IRMAA!$B$16:$B$21,IRMAA!$E$16:$E$21,0,-1)))))</f>
        <v>0</v>
      </c>
      <c r="L110" s="96">
        <f>IF(L4&lt;$BB$82,0,_xlfn.LET(_xlpm.c,L87,_xlpm.base,L6+L7+L15+L8+L21,24*MAX(0,(_xlfn.XLOOKUP(_xlpm.base+_xlpm.c,IRMAA!$B$16:$B$21,IRMAA!$D$16:$D$21,0,-1)+_xlfn.XLOOKUP(_xlpm.base+_xlpm.c,IRMAA!$B$16:$B$21,IRMAA!$E$16:$E$21,0,-1))-(_xlfn.XLOOKUP(_xlpm.base,IRMAA!$B$16:$B$21,IRMAA!$D$16:$D$21,0,-1)+_xlfn.XLOOKUP(_xlpm.base,IRMAA!$B$16:$B$21,IRMAA!$E$16:$E$21,0,-1)))))</f>
        <v>0</v>
      </c>
      <c r="M110" s="96">
        <f>IF(M4&lt;$BB$82,0,_xlfn.LET(_xlpm.c,M87,_xlpm.base,M6+M7+M15+M8+M21,24*MAX(0,(_xlfn.XLOOKUP(_xlpm.base+_xlpm.c,IRMAA!$B$16:$B$21,IRMAA!$D$16:$D$21,0,-1)+_xlfn.XLOOKUP(_xlpm.base+_xlpm.c,IRMAA!$B$16:$B$21,IRMAA!$E$16:$E$21,0,-1))-(_xlfn.XLOOKUP(_xlpm.base,IRMAA!$B$16:$B$21,IRMAA!$D$16:$D$21,0,-1)+_xlfn.XLOOKUP(_xlpm.base,IRMAA!$B$16:$B$21,IRMAA!$E$16:$E$21,0,-1)))))</f>
        <v>0</v>
      </c>
      <c r="N110" s="96">
        <f>IF(N4&lt;$BB$82,0,_xlfn.LET(_xlpm.c,N87,_xlpm.base,N6+N7+N15+N8+N21,24*MAX(0,(_xlfn.XLOOKUP(_xlpm.base+_xlpm.c,IRMAA!$B$16:$B$21,IRMAA!$D$16:$D$21,0,-1)+_xlfn.XLOOKUP(_xlpm.base+_xlpm.c,IRMAA!$B$16:$B$21,IRMAA!$E$16:$E$21,0,-1))-(_xlfn.XLOOKUP(_xlpm.base,IRMAA!$B$16:$B$21,IRMAA!$D$16:$D$21,0,-1)+_xlfn.XLOOKUP(_xlpm.base,IRMAA!$B$16:$B$21,IRMAA!$E$16:$E$21,0,-1)))))</f>
        <v>0</v>
      </c>
      <c r="O110" s="96">
        <f>IF(O4&lt;$BB$82,0,_xlfn.LET(_xlpm.c,O87,_xlpm.base,O6+O7+O15+O8+O21,24*MAX(0,(_xlfn.XLOOKUP(_xlpm.base+_xlpm.c,IRMAA!$B$16:$B$21,IRMAA!$D$16:$D$21,0,-1)+_xlfn.XLOOKUP(_xlpm.base+_xlpm.c,IRMAA!$B$16:$B$21,IRMAA!$E$16:$E$21,0,-1))-(_xlfn.XLOOKUP(_xlpm.base,IRMAA!$B$16:$B$21,IRMAA!$D$16:$D$21,0,-1)+_xlfn.XLOOKUP(_xlpm.base,IRMAA!$B$16:$B$21,IRMAA!$E$16:$E$21,0,-1)))))</f>
        <v>0</v>
      </c>
      <c r="P110" s="96">
        <f>IF(P4&lt;$BB$82,0,_xlfn.LET(_xlpm.c,P87,_xlpm.base,P6+P7+P15+P8+P21,24*MAX(0,(_xlfn.XLOOKUP(_xlpm.base+_xlpm.c,IRMAA!$B$16:$B$21,IRMAA!$D$16:$D$21,0,-1)+_xlfn.XLOOKUP(_xlpm.base+_xlpm.c,IRMAA!$B$16:$B$21,IRMAA!$E$16:$E$21,0,-1))-(_xlfn.XLOOKUP(_xlpm.base,IRMAA!$B$16:$B$21,IRMAA!$D$16:$D$21,0,-1)+_xlfn.XLOOKUP(_xlpm.base,IRMAA!$B$16:$B$21,IRMAA!$E$16:$E$21,0,-1)))))</f>
        <v>0</v>
      </c>
      <c r="Q110" s="96">
        <f>IF(Q4&lt;$BB$82,0,_xlfn.LET(_xlpm.c,Q87,_xlpm.base,Q6+Q7+Q15+Q8+Q21,24*MAX(0,(_xlfn.XLOOKUP(_xlpm.base+_xlpm.c,IRMAA!$B$16:$B$21,IRMAA!$D$16:$D$21,0,-1)+_xlfn.XLOOKUP(_xlpm.base+_xlpm.c,IRMAA!$B$16:$B$21,IRMAA!$E$16:$E$21,0,-1))-(_xlfn.XLOOKUP(_xlpm.base,IRMAA!$B$16:$B$21,IRMAA!$D$16:$D$21,0,-1)+_xlfn.XLOOKUP(_xlpm.base,IRMAA!$B$16:$B$21,IRMAA!$E$16:$E$21,0,-1)))))</f>
        <v>0</v>
      </c>
      <c r="R110" s="96">
        <f>IF(R4&lt;$BB$82,0,_xlfn.LET(_xlpm.c,R87,_xlpm.base,R6+R7+R15+R8+R21,24*MAX(0,(_xlfn.XLOOKUP(_xlpm.base+_xlpm.c,IRMAA!$B$16:$B$21,IRMAA!$D$16:$D$21,0,-1)+_xlfn.XLOOKUP(_xlpm.base+_xlpm.c,IRMAA!$B$16:$B$21,IRMAA!$E$16:$E$21,0,-1))-(_xlfn.XLOOKUP(_xlpm.base,IRMAA!$B$16:$B$21,IRMAA!$D$16:$D$21,0,-1)+_xlfn.XLOOKUP(_xlpm.base,IRMAA!$B$16:$B$21,IRMAA!$E$16:$E$21,0,-1)))))</f>
        <v>0</v>
      </c>
      <c r="S110" s="96">
        <f>IF(S4&lt;$BB$82,0,_xlfn.LET(_xlpm.c,S87,_xlpm.base,S6+S7+S15+S8+S21,24*MAX(0,(_xlfn.XLOOKUP(_xlpm.base+_xlpm.c,IRMAA!$B$16:$B$21,IRMAA!$D$16:$D$21,0,-1)+_xlfn.XLOOKUP(_xlpm.base+_xlpm.c,IRMAA!$B$16:$B$21,IRMAA!$E$16:$E$21,0,-1))-(_xlfn.XLOOKUP(_xlpm.base,IRMAA!$B$16:$B$21,IRMAA!$D$16:$D$21,0,-1)+_xlfn.XLOOKUP(_xlpm.base,IRMAA!$B$16:$B$21,IRMAA!$E$16:$E$21,0,-1)))))</f>
        <v>0</v>
      </c>
      <c r="T110" s="96">
        <f>IF(T4&lt;$BB$82,0,_xlfn.LET(_xlpm.c,T87,_xlpm.base,T6+T7+T15+T8+T21,24*MAX(0,(_xlfn.XLOOKUP(_xlpm.base+_xlpm.c,IRMAA!$B$16:$B$21,IRMAA!$D$16:$D$21,0,-1)+_xlfn.XLOOKUP(_xlpm.base+_xlpm.c,IRMAA!$B$16:$B$21,IRMAA!$E$16:$E$21,0,-1))-(_xlfn.XLOOKUP(_xlpm.base,IRMAA!$B$16:$B$21,IRMAA!$D$16:$D$21,0,-1)+_xlfn.XLOOKUP(_xlpm.base,IRMAA!$B$16:$B$21,IRMAA!$E$16:$E$21,0,-1)))))</f>
        <v>0</v>
      </c>
      <c r="U110" s="96">
        <f>IF(U4&lt;$BB$82,0,_xlfn.LET(_xlpm.c,U87,_xlpm.base,U6+U7+U15+U8+U21,24*MAX(0,(_xlfn.XLOOKUP(_xlpm.base+_xlpm.c,IRMAA!$B$16:$B$21,IRMAA!$D$16:$D$21,0,-1)+_xlfn.XLOOKUP(_xlpm.base+_xlpm.c,IRMAA!$B$16:$B$21,IRMAA!$E$16:$E$21,0,-1))-(_xlfn.XLOOKUP(_xlpm.base,IRMAA!$B$16:$B$21,IRMAA!$D$16:$D$21,0,-1)+_xlfn.XLOOKUP(_xlpm.base,IRMAA!$B$16:$B$21,IRMAA!$E$16:$E$21,0,-1)))))</f>
        <v>0</v>
      </c>
      <c r="V110" s="96">
        <f>IF(V4&lt;$BB$82,0,_xlfn.LET(_xlpm.c,V87,_xlpm.base,V6+V7+V15+V8+V21,24*MAX(0,(_xlfn.XLOOKUP(_xlpm.base+_xlpm.c,IRMAA!$B$16:$B$21,IRMAA!$D$16:$D$21,0,-1)+_xlfn.XLOOKUP(_xlpm.base+_xlpm.c,IRMAA!$B$16:$B$21,IRMAA!$E$16:$E$21,0,-1))-(_xlfn.XLOOKUP(_xlpm.base,IRMAA!$B$16:$B$21,IRMAA!$D$16:$D$21,0,-1)+_xlfn.XLOOKUP(_xlpm.base,IRMAA!$B$16:$B$21,IRMAA!$E$16:$E$21,0,-1)))))</f>
        <v>0</v>
      </c>
      <c r="W110" s="96">
        <f>IF(W4&lt;$BB$82,0,_xlfn.LET(_xlpm.c,W87,_xlpm.base,W6+W7+W15+W8+W21,24*MAX(0,(_xlfn.XLOOKUP(_xlpm.base+_xlpm.c,IRMAA!$B$16:$B$21,IRMAA!$D$16:$D$21,0,-1)+_xlfn.XLOOKUP(_xlpm.base+_xlpm.c,IRMAA!$B$16:$B$21,IRMAA!$E$16:$E$21,0,-1))-(_xlfn.XLOOKUP(_xlpm.base,IRMAA!$B$16:$B$21,IRMAA!$D$16:$D$21,0,-1)+_xlfn.XLOOKUP(_xlpm.base,IRMAA!$B$16:$B$21,IRMAA!$E$16:$E$21,0,-1)))))</f>
        <v>0</v>
      </c>
      <c r="X110" s="96">
        <f>IF(X4&lt;$BB$82,0,_xlfn.LET(_xlpm.c,X87,_xlpm.base,X6+X7+X15+X8+X21,24*MAX(0,(_xlfn.XLOOKUP(_xlpm.base+_xlpm.c,IRMAA!$B$16:$B$21,IRMAA!$D$16:$D$21,0,-1)+_xlfn.XLOOKUP(_xlpm.base+_xlpm.c,IRMAA!$B$16:$B$21,IRMAA!$E$16:$E$21,0,-1))-(_xlfn.XLOOKUP(_xlpm.base,IRMAA!$B$16:$B$21,IRMAA!$D$16:$D$21,0,-1)+_xlfn.XLOOKUP(_xlpm.base,IRMAA!$B$16:$B$21,IRMAA!$E$16:$E$21,0,-1)))))</f>
        <v>0</v>
      </c>
      <c r="Y110" s="96">
        <f>IF(Y4&lt;$BB$82,0,_xlfn.LET(_xlpm.c,Y87,_xlpm.base,Y6+Y7+Y15+Y8+Y21,24*MAX(0,(_xlfn.XLOOKUP(_xlpm.base+_xlpm.c,IRMAA!$B$16:$B$21,IRMAA!$D$16:$D$21,0,-1)+_xlfn.XLOOKUP(_xlpm.base+_xlpm.c,IRMAA!$B$16:$B$21,IRMAA!$E$16:$E$21,0,-1))-(_xlfn.XLOOKUP(_xlpm.base,IRMAA!$B$16:$B$21,IRMAA!$D$16:$D$21,0,-1)+_xlfn.XLOOKUP(_xlpm.base,IRMAA!$B$16:$B$21,IRMAA!$E$16:$E$21,0,-1)))))</f>
        <v>0</v>
      </c>
      <c r="Z110" s="96">
        <f>IF(Z4&lt;$BB$82,0,_xlfn.LET(_xlpm.c,Z87,_xlpm.base,Z6+Z7+Z15+Z8+Z21,24*MAX(0,(_xlfn.XLOOKUP(_xlpm.base+_xlpm.c,IRMAA!$B$16:$B$21,IRMAA!$D$16:$D$21,0,-1)+_xlfn.XLOOKUP(_xlpm.base+_xlpm.c,IRMAA!$B$16:$B$21,IRMAA!$E$16:$E$21,0,-1))-(_xlfn.XLOOKUP(_xlpm.base,IRMAA!$B$16:$B$21,IRMAA!$D$16:$D$21,0,-1)+_xlfn.XLOOKUP(_xlpm.base,IRMAA!$B$16:$B$21,IRMAA!$E$16:$E$21,0,-1)))))</f>
        <v>0</v>
      </c>
      <c r="AA110" s="96">
        <f>IF(AA4&lt;$BB$82,0,_xlfn.LET(_xlpm.c,AA87,_xlpm.base,AA6+AA7+AA15+AA8+AA21,24*MAX(0,(_xlfn.XLOOKUP(_xlpm.base+_xlpm.c,IRMAA!$B$16:$B$21,IRMAA!$D$16:$D$21,0,-1)+_xlfn.XLOOKUP(_xlpm.base+_xlpm.c,IRMAA!$B$16:$B$21,IRMAA!$E$16:$E$21,0,-1))-(_xlfn.XLOOKUP(_xlpm.base,IRMAA!$B$16:$B$21,IRMAA!$D$16:$D$21,0,-1)+_xlfn.XLOOKUP(_xlpm.base,IRMAA!$B$16:$B$21,IRMAA!$E$16:$E$21,0,-1)))))</f>
        <v>0</v>
      </c>
      <c r="AB110" s="96">
        <f>IF(AB4&lt;$BB$82,0,_xlfn.LET(_xlpm.c,AB87,_xlpm.base,AB6+AB7+AB15+AB8+AB21,24*MAX(0,(_xlfn.XLOOKUP(_xlpm.base+_xlpm.c,IRMAA!$B$16:$B$21,IRMAA!$D$16:$D$21,0,-1)+_xlfn.XLOOKUP(_xlpm.base+_xlpm.c,IRMAA!$B$16:$B$21,IRMAA!$E$16:$E$21,0,-1))-(_xlfn.XLOOKUP(_xlpm.base,IRMAA!$B$16:$B$21,IRMAA!$D$16:$D$21,0,-1)+_xlfn.XLOOKUP(_xlpm.base,IRMAA!$B$16:$B$21,IRMAA!$E$16:$E$21,0,-1)))))</f>
        <v>0</v>
      </c>
      <c r="AC110" s="96">
        <f>IF(AC4&lt;$BB$82,0,_xlfn.LET(_xlpm.c,AC87,_xlpm.base,AC6+AC7+AC15+AC8+AC21,24*MAX(0,(_xlfn.XLOOKUP(_xlpm.base+_xlpm.c,IRMAA!$B$16:$B$21,IRMAA!$D$16:$D$21,0,-1)+_xlfn.XLOOKUP(_xlpm.base+_xlpm.c,IRMAA!$B$16:$B$21,IRMAA!$E$16:$E$21,0,-1))-(_xlfn.XLOOKUP(_xlpm.base,IRMAA!$B$16:$B$21,IRMAA!$D$16:$D$21,0,-1)+_xlfn.XLOOKUP(_xlpm.base,IRMAA!$B$16:$B$21,IRMAA!$E$16:$E$21,0,-1)))))</f>
        <v>13872</v>
      </c>
      <c r="AD110" s="96">
        <f>IF(AD4&lt;$BB$82,0,_xlfn.LET(_xlpm.c,AD87,_xlpm.base,AD6+AD7+AD15+AD8+AD21,24*MAX(0,(_xlfn.XLOOKUP(_xlpm.base+_xlpm.c,IRMAA!$B$16:$B$21,IRMAA!$D$16:$D$21,0,-1)+_xlfn.XLOOKUP(_xlpm.base+_xlpm.c,IRMAA!$B$16:$B$21,IRMAA!$E$16:$E$21,0,-1))-(_xlfn.XLOOKUP(_xlpm.base,IRMAA!$B$16:$B$21,IRMAA!$D$16:$D$21,0,-1)+_xlfn.XLOOKUP(_xlpm.base,IRMAA!$B$16:$B$21,IRMAA!$E$16:$E$21,0,-1)))))</f>
        <v>13872</v>
      </c>
      <c r="AE110" s="96">
        <f>IF(AE4&lt;$BB$82,0,_xlfn.LET(_xlpm.c,AE87,_xlpm.base,AE6+AE7+AE15+AE8+AE21,24*MAX(0,(_xlfn.XLOOKUP(_xlpm.base+_xlpm.c,IRMAA!$B$16:$B$21,IRMAA!$D$16:$D$21,0,-1)+_xlfn.XLOOKUP(_xlpm.base+_xlpm.c,IRMAA!$B$16:$B$21,IRMAA!$E$16:$E$21,0,-1))-(_xlfn.XLOOKUP(_xlpm.base,IRMAA!$B$16:$B$21,IRMAA!$D$16:$D$21,0,-1)+_xlfn.XLOOKUP(_xlpm.base,IRMAA!$B$16:$B$21,IRMAA!$E$16:$E$21,0,-1)))))</f>
        <v>13872</v>
      </c>
      <c r="AF110" s="96">
        <f>IF(AF4&lt;$BB$82,0,_xlfn.LET(_xlpm.c,AF87,_xlpm.base,AF6+AF7+AF15+AF8+AF21,24*MAX(0,(_xlfn.XLOOKUP(_xlpm.base+_xlpm.c,IRMAA!$B$16:$B$21,IRMAA!$D$16:$D$21,0,-1)+_xlfn.XLOOKUP(_xlpm.base+_xlpm.c,IRMAA!$B$16:$B$21,IRMAA!$E$16:$E$21,0,-1))-(_xlfn.XLOOKUP(_xlpm.base,IRMAA!$B$16:$B$21,IRMAA!$D$16:$D$21,0,-1)+_xlfn.XLOOKUP(_xlpm.base,IRMAA!$B$16:$B$21,IRMAA!$E$16:$E$21,0,-1)))))</f>
        <v>13872</v>
      </c>
      <c r="AG110" s="96">
        <f>IF(AG4&lt;$BB$82,0,_xlfn.LET(_xlpm.c,AG87,_xlpm.base,AG6+AG7+AG15+AG8+AG21,24*MAX(0,(_xlfn.XLOOKUP(_xlpm.base+_xlpm.c,IRMAA!$B$16:$B$21,IRMAA!$D$16:$D$21,0,-1)+_xlfn.XLOOKUP(_xlpm.base+_xlpm.c,IRMAA!$B$16:$B$21,IRMAA!$E$16:$E$21,0,-1))-(_xlfn.XLOOKUP(_xlpm.base,IRMAA!$B$16:$B$21,IRMAA!$D$16:$D$21,0,-1)+_xlfn.XLOOKUP(_xlpm.base,IRMAA!$B$16:$B$21,IRMAA!$E$16:$E$21,0,-1)))))</f>
        <v>13872</v>
      </c>
      <c r="AH110" s="96">
        <f>IF(AH4&lt;$BB$82,0,_xlfn.LET(_xlpm.c,AH87,_xlpm.base,AH6+AH7+AH15+AH8+AH21,24*MAX(0,(_xlfn.XLOOKUP(_xlpm.base+_xlpm.c,IRMAA!$B$16:$B$21,IRMAA!$D$16:$D$21,0,-1)+_xlfn.XLOOKUP(_xlpm.base+_xlpm.c,IRMAA!$B$16:$B$21,IRMAA!$E$16:$E$21,0,-1))-(_xlfn.XLOOKUP(_xlpm.base,IRMAA!$B$16:$B$21,IRMAA!$D$16:$D$21,0,-1)+_xlfn.XLOOKUP(_xlpm.base,IRMAA!$B$16:$B$21,IRMAA!$E$16:$E$21,0,-1)))))</f>
        <v>13872</v>
      </c>
      <c r="AI110" s="96">
        <f>IF(AI4&lt;$BB$82,0,_xlfn.LET(_xlpm.c,AI87,_xlpm.base,AI6+AI7+AI15+AI8+AI21,24*MAX(0,(_xlfn.XLOOKUP(_xlpm.base+_xlpm.c,IRMAA!$B$16:$B$21,IRMAA!$D$16:$D$21,0,-1)+_xlfn.XLOOKUP(_xlpm.base+_xlpm.c,IRMAA!$B$16:$B$21,IRMAA!$E$16:$E$21,0,-1))-(_xlfn.XLOOKUP(_xlpm.base,IRMAA!$B$16:$B$21,IRMAA!$D$16:$D$21,0,-1)+_xlfn.XLOOKUP(_xlpm.base,IRMAA!$B$16:$B$21,IRMAA!$E$16:$E$21,0,-1)))))</f>
        <v>13872</v>
      </c>
      <c r="AJ110" s="96">
        <f>IF(AJ4&lt;$BB$82,0,_xlfn.LET(_xlpm.c,AJ87,_xlpm.base,AJ6+AJ7+AJ15+AJ8+AJ21,24*MAX(0,(_xlfn.XLOOKUP(_xlpm.base+_xlpm.c,IRMAA!$B$16:$B$21,IRMAA!$D$16:$D$21,0,-1)+_xlfn.XLOOKUP(_xlpm.base+_xlpm.c,IRMAA!$B$16:$B$21,IRMAA!$E$16:$E$21,0,-1))-(_xlfn.XLOOKUP(_xlpm.base,IRMAA!$B$16:$B$21,IRMAA!$D$16:$D$21,0,-1)+_xlfn.XLOOKUP(_xlpm.base,IRMAA!$B$16:$B$21,IRMAA!$E$16:$E$21,0,-1)))))</f>
        <v>13872</v>
      </c>
      <c r="AK110" s="96">
        <f>IF(AK4&lt;$BB$82,0,_xlfn.LET(_xlpm.c,AK87,_xlpm.base,AK6+AK7+AK15+AK8+AK21,24*MAX(0,(_xlfn.XLOOKUP(_xlpm.base+_xlpm.c,IRMAA!$B$16:$B$21,IRMAA!$D$16:$D$21,0,-1)+_xlfn.XLOOKUP(_xlpm.base+_xlpm.c,IRMAA!$B$16:$B$21,IRMAA!$E$16:$E$21,0,-1))-(_xlfn.XLOOKUP(_xlpm.base,IRMAA!$B$16:$B$21,IRMAA!$D$16:$D$21,0,-1)+_xlfn.XLOOKUP(_xlpm.base,IRMAA!$B$16:$B$21,IRMAA!$E$16:$E$21,0,-1)))))</f>
        <v>13872</v>
      </c>
      <c r="AL110" s="96">
        <f>IF(AL4&lt;$BB$82,0,_xlfn.LET(_xlpm.c,AL87,_xlpm.base,AL6+AL7+AL15+AL8+AL21,24*MAX(0,(_xlfn.XLOOKUP(_xlpm.base+_xlpm.c,IRMAA!$B$16:$B$21,IRMAA!$D$16:$D$21,0,-1)+_xlfn.XLOOKUP(_xlpm.base+_xlpm.c,IRMAA!$B$16:$B$21,IRMAA!$E$16:$E$21,0,-1))-(_xlfn.XLOOKUP(_xlpm.base,IRMAA!$B$16:$B$21,IRMAA!$D$16:$D$21,0,-1)+_xlfn.XLOOKUP(_xlpm.base,IRMAA!$B$16:$B$21,IRMAA!$E$16:$E$21,0,-1)))))</f>
        <v>13872</v>
      </c>
      <c r="AM110" s="96">
        <f>IF(AM4&lt;$BB$82,0,_xlfn.LET(_xlpm.c,AM87,_xlpm.base,AM6+AM7+AM15+AM8+AM21,24*MAX(0,(_xlfn.XLOOKUP(_xlpm.base+_xlpm.c,IRMAA!$B$16:$B$21,IRMAA!$D$16:$D$21,0,-1)+_xlfn.XLOOKUP(_xlpm.base+_xlpm.c,IRMAA!$B$16:$B$21,IRMAA!$E$16:$E$21,0,-1))-(_xlfn.XLOOKUP(_xlpm.base,IRMAA!$B$16:$B$21,IRMAA!$D$16:$D$21,0,-1)+_xlfn.XLOOKUP(_xlpm.base,IRMAA!$B$16:$B$21,IRMAA!$E$16:$E$21,0,-1)))))</f>
        <v>13872</v>
      </c>
      <c r="AN110" s="96">
        <f>IF(AN4&lt;$BB$82,0,_xlfn.LET(_xlpm.c,AN87,_xlpm.base,AN6+AN7+AN15+AN8+AN21,24*MAX(0,(_xlfn.XLOOKUP(_xlpm.base+_xlpm.c,IRMAA!$B$16:$B$21,IRMAA!$D$16:$D$21,0,-1)+_xlfn.XLOOKUP(_xlpm.base+_xlpm.c,IRMAA!$B$16:$B$21,IRMAA!$E$16:$E$21,0,-1))-(_xlfn.XLOOKUP(_xlpm.base,IRMAA!$B$16:$B$21,IRMAA!$D$16:$D$21,0,-1)+_xlfn.XLOOKUP(_xlpm.base,IRMAA!$B$16:$B$21,IRMAA!$E$16:$E$21,0,-1)))))</f>
        <v>13872</v>
      </c>
      <c r="AO110" s="96">
        <f>IF(AO4&lt;$BB$82,0,_xlfn.LET(_xlpm.c,AO87,_xlpm.base,AO6+AO7+AO15+AO8+AO21,24*MAX(0,(_xlfn.XLOOKUP(_xlpm.base+_xlpm.c,IRMAA!$B$16:$B$21,IRMAA!$D$16:$D$21,0,-1)+_xlfn.XLOOKUP(_xlpm.base+_xlpm.c,IRMAA!$B$16:$B$21,IRMAA!$E$16:$E$21,0,-1))-(_xlfn.XLOOKUP(_xlpm.base,IRMAA!$B$16:$B$21,IRMAA!$D$16:$D$21,0,-1)+_xlfn.XLOOKUP(_xlpm.base,IRMAA!$B$16:$B$21,IRMAA!$E$16:$E$21,0,-1)))))</f>
        <v>13872</v>
      </c>
      <c r="AP110" s="96">
        <f>IF(AP4&lt;$BB$82,0,_xlfn.LET(_xlpm.c,AP87,_xlpm.base,AP6+AP7+AP15+AP8+AP21,24*MAX(0,(_xlfn.XLOOKUP(_xlpm.base+_xlpm.c,IRMAA!$B$16:$B$21,IRMAA!$D$16:$D$21,0,-1)+_xlfn.XLOOKUP(_xlpm.base+_xlpm.c,IRMAA!$B$16:$B$21,IRMAA!$E$16:$E$21,0,-1))-(_xlfn.XLOOKUP(_xlpm.base,IRMAA!$B$16:$B$21,IRMAA!$D$16:$D$21,0,-1)+_xlfn.XLOOKUP(_xlpm.base,IRMAA!$B$16:$B$21,IRMAA!$E$16:$E$21,0,-1)))))</f>
        <v>13872</v>
      </c>
      <c r="AQ110" s="96">
        <f>IF(AQ4&lt;$BB$82,0,_xlfn.LET(_xlpm.c,AQ87,_xlpm.base,AQ6+AQ7+AQ15+AQ8+AQ21,24*MAX(0,(_xlfn.XLOOKUP(_xlpm.base+_xlpm.c,IRMAA!$B$16:$B$21,IRMAA!$D$16:$D$21,0,-1)+_xlfn.XLOOKUP(_xlpm.base+_xlpm.c,IRMAA!$B$16:$B$21,IRMAA!$E$16:$E$21,0,-1))-(_xlfn.XLOOKUP(_xlpm.base,IRMAA!$B$16:$B$21,IRMAA!$D$16:$D$21,0,-1)+_xlfn.XLOOKUP(_xlpm.base,IRMAA!$B$16:$B$21,IRMAA!$E$16:$E$21,0,-1)))))</f>
        <v>13872</v>
      </c>
      <c r="AR110" s="96">
        <f>IF(AR4&lt;$BB$82,0,_xlfn.LET(_xlpm.c,AR87,_xlpm.base,AR6+AR7+AR15+AR8+AR21,24*MAX(0,(_xlfn.XLOOKUP(_xlpm.base+_xlpm.c,IRMAA!$B$16:$B$21,IRMAA!$D$16:$D$21,0,-1)+_xlfn.XLOOKUP(_xlpm.base+_xlpm.c,IRMAA!$B$16:$B$21,IRMAA!$E$16:$E$21,0,-1))-(_xlfn.XLOOKUP(_xlpm.base,IRMAA!$B$16:$B$21,IRMAA!$D$16:$D$21,0,-1)+_xlfn.XLOOKUP(_xlpm.base,IRMAA!$B$16:$B$21,IRMAA!$E$16:$E$21,0,-1)))))</f>
        <v>13872</v>
      </c>
      <c r="AS110" s="96">
        <f>IF(AS4&lt;$BB$82,0,_xlfn.LET(_xlpm.c,AS87,_xlpm.base,AS6+AS7+AS15+AS8+AS21,24*MAX(0,(_xlfn.XLOOKUP(_xlpm.base+_xlpm.c,IRMAA!$B$16:$B$21,IRMAA!$D$16:$D$21,0,-1)+_xlfn.XLOOKUP(_xlpm.base+_xlpm.c,IRMAA!$B$16:$B$21,IRMAA!$E$16:$E$21,0,-1))-(_xlfn.XLOOKUP(_xlpm.base,IRMAA!$B$16:$B$21,IRMAA!$D$16:$D$21,0,-1)+_xlfn.XLOOKUP(_xlpm.base,IRMAA!$B$16:$B$21,IRMAA!$E$16:$E$21,0,-1)))))</f>
        <v>13872</v>
      </c>
      <c r="AT110" s="96">
        <f>IF(AT4&lt;$BB$82,0,_xlfn.LET(_xlpm.c,AT87,_xlpm.base,AT6+AT7+AT15+AT8+AT21,24*MAX(0,(_xlfn.XLOOKUP(_xlpm.base+_xlpm.c,IRMAA!$B$16:$B$21,IRMAA!$D$16:$D$21,0,-1)+_xlfn.XLOOKUP(_xlpm.base+_xlpm.c,IRMAA!$B$16:$B$21,IRMAA!$E$16:$E$21,0,-1))-(_xlfn.XLOOKUP(_xlpm.base,IRMAA!$B$16:$B$21,IRMAA!$D$16:$D$21,0,-1)+_xlfn.XLOOKUP(_xlpm.base,IRMAA!$B$16:$B$21,IRMAA!$E$16:$E$21,0,-1)))))</f>
        <v>13872</v>
      </c>
      <c r="AU110" s="96">
        <f>IF(AU4&lt;$BB$82,0,_xlfn.LET(_xlpm.c,AU87,_xlpm.base,AU6+AU7+AU15+AU8+AU21,24*MAX(0,(_xlfn.XLOOKUP(_xlpm.base+_xlpm.c,IRMAA!$B$16:$B$21,IRMAA!$D$16:$D$21,0,-1)+_xlfn.XLOOKUP(_xlpm.base+_xlpm.c,IRMAA!$B$16:$B$21,IRMAA!$E$16:$E$21,0,-1))-(_xlfn.XLOOKUP(_xlpm.base,IRMAA!$B$16:$B$21,IRMAA!$D$16:$D$21,0,-1)+_xlfn.XLOOKUP(_xlpm.base,IRMAA!$B$16:$B$21,IRMAA!$E$16:$E$21,0,-1)))))</f>
        <v>13872</v>
      </c>
      <c r="AV110" s="96">
        <f>IF(AV4&lt;$BB$82,0,_xlfn.LET(_xlpm.c,AV87,_xlpm.base,AV6+AV7+AV15+AV8+AV21,24*MAX(0,(_xlfn.XLOOKUP(_xlpm.base+_xlpm.c,IRMAA!$B$16:$B$21,IRMAA!$D$16:$D$21,0,-1)+_xlfn.XLOOKUP(_xlpm.base+_xlpm.c,IRMAA!$B$16:$B$21,IRMAA!$E$16:$E$21,0,-1))-(_xlfn.XLOOKUP(_xlpm.base,IRMAA!$B$16:$B$21,IRMAA!$D$16:$D$21,0,-1)+_xlfn.XLOOKUP(_xlpm.base,IRMAA!$B$16:$B$21,IRMAA!$E$16:$E$21,0,-1)))))</f>
        <v>13872</v>
      </c>
      <c r="AW110" s="96">
        <f>IF(AW4&lt;$BB$82,0,_xlfn.LET(_xlpm.c,AW87,_xlpm.base,AW6+AW7+AW15+AW8+AW21,24*MAX(0,(_xlfn.XLOOKUP(_xlpm.base+_xlpm.c,IRMAA!$B$16:$B$21,IRMAA!$D$16:$D$21,0,-1)+_xlfn.XLOOKUP(_xlpm.base+_xlpm.c,IRMAA!$B$16:$B$21,IRMAA!$E$16:$E$21,0,-1))-(_xlfn.XLOOKUP(_xlpm.base,IRMAA!$B$16:$B$21,IRMAA!$D$16:$D$21,0,-1)+_xlfn.XLOOKUP(_xlpm.base,IRMAA!$B$16:$B$21,IRMAA!$E$16:$E$21,0,-1)))))</f>
        <v>13872</v>
      </c>
      <c r="AX110" s="96">
        <f>IF(AX4&lt;$BB$82,0,_xlfn.LET(_xlpm.c,AX87,_xlpm.base,AX6+AX7+AX15+AX8+AX21,24*MAX(0,(_xlfn.XLOOKUP(_xlpm.base+_xlpm.c,IRMAA!$B$16:$B$21,IRMAA!$D$16:$D$21,0,-1)+_xlfn.XLOOKUP(_xlpm.base+_xlpm.c,IRMAA!$B$16:$B$21,IRMAA!$E$16:$E$21,0,-1))-(_xlfn.XLOOKUP(_xlpm.base,IRMAA!$B$16:$B$21,IRMAA!$D$16:$D$21,0,-1)+_xlfn.XLOOKUP(_xlpm.base,IRMAA!$B$16:$B$21,IRMAA!$E$16:$E$21,0,-1)))))</f>
        <v>13872</v>
      </c>
      <c r="AY110" s="96">
        <f>IF(AY4&lt;$BB$82,0,_xlfn.LET(_xlpm.c,AY87,_xlpm.base,AY6+AY7+AY15+AY8+AY21,24*MAX(0,(_xlfn.XLOOKUP(_xlpm.base+_xlpm.c,IRMAA!$B$16:$B$21,IRMAA!$D$16:$D$21,0,-1)+_xlfn.XLOOKUP(_xlpm.base+_xlpm.c,IRMAA!$B$16:$B$21,IRMAA!$E$16:$E$21,0,-1))-(_xlfn.XLOOKUP(_xlpm.base,IRMAA!$B$16:$B$21,IRMAA!$D$16:$D$21,0,-1)+_xlfn.XLOOKUP(_xlpm.base,IRMAA!$B$16:$B$21,IRMAA!$E$16:$E$21,0,-1)))))</f>
        <v>13872</v>
      </c>
      <c r="BA110" s="188"/>
      <c r="BB110" s="188"/>
      <c r="BC110" s="188"/>
      <c r="BD110" s="188"/>
    </row>
    <row r="111" spans="1:56" hidden="1" x14ac:dyDescent="0.55000000000000004"/>
    <row r="112" spans="1:56" hidden="1" x14ac:dyDescent="0.55000000000000004"/>
    <row r="113" hidden="1" x14ac:dyDescent="0.55000000000000004"/>
    <row r="114" hidden="1" x14ac:dyDescent="0.55000000000000004"/>
    <row r="115" hidden="1" x14ac:dyDescent="0.55000000000000004"/>
    <row r="116" hidden="1" x14ac:dyDescent="0.55000000000000004"/>
    <row r="117" hidden="1" x14ac:dyDescent="0.55000000000000004"/>
    <row r="118" hidden="1" x14ac:dyDescent="0.55000000000000004"/>
    <row r="119" hidden="1" x14ac:dyDescent="0.55000000000000004"/>
    <row r="120" hidden="1" x14ac:dyDescent="0.55000000000000004"/>
    <row r="121" hidden="1" x14ac:dyDescent="0.55000000000000004"/>
    <row r="122" hidden="1" x14ac:dyDescent="0.55000000000000004"/>
    <row r="123" hidden="1" x14ac:dyDescent="0.55000000000000004"/>
    <row r="124" hidden="1" x14ac:dyDescent="0.55000000000000004"/>
    <row r="125" hidden="1" x14ac:dyDescent="0.55000000000000004"/>
    <row r="126" hidden="1" x14ac:dyDescent="0.55000000000000004"/>
    <row r="127" hidden="1" x14ac:dyDescent="0.55000000000000004"/>
    <row r="128" hidden="1" x14ac:dyDescent="0.55000000000000004"/>
    <row r="129" hidden="1" x14ac:dyDescent="0.55000000000000004"/>
    <row r="130" hidden="1" x14ac:dyDescent="0.55000000000000004"/>
    <row r="131" hidden="1" x14ac:dyDescent="0.55000000000000004"/>
    <row r="132" hidden="1" x14ac:dyDescent="0.55000000000000004"/>
    <row r="133" hidden="1" x14ac:dyDescent="0.55000000000000004"/>
    <row r="134" hidden="1" x14ac:dyDescent="0.55000000000000004"/>
    <row r="135" hidden="1" x14ac:dyDescent="0.55000000000000004"/>
    <row r="136" hidden="1" x14ac:dyDescent="0.55000000000000004"/>
    <row r="137" hidden="1" x14ac:dyDescent="0.55000000000000004"/>
    <row r="138" hidden="1" x14ac:dyDescent="0.55000000000000004"/>
    <row r="139" hidden="1" x14ac:dyDescent="0.55000000000000004"/>
    <row r="140" hidden="1" x14ac:dyDescent="0.55000000000000004"/>
    <row r="141" hidden="1" x14ac:dyDescent="0.55000000000000004"/>
    <row r="142" hidden="1" x14ac:dyDescent="0.55000000000000004"/>
    <row r="143" hidden="1" x14ac:dyDescent="0.55000000000000004"/>
    <row r="144" hidden="1" x14ac:dyDescent="0.55000000000000004"/>
    <row r="145" hidden="1" x14ac:dyDescent="0.55000000000000004"/>
    <row r="146" hidden="1" x14ac:dyDescent="0.55000000000000004"/>
    <row r="147" hidden="1" x14ac:dyDescent="0.55000000000000004"/>
    <row r="148" hidden="1" x14ac:dyDescent="0.55000000000000004"/>
    <row r="149" hidden="1" x14ac:dyDescent="0.55000000000000004"/>
    <row r="150" hidden="1" x14ac:dyDescent="0.55000000000000004"/>
    <row r="151" hidden="1" x14ac:dyDescent="0.55000000000000004"/>
    <row r="152" hidden="1" x14ac:dyDescent="0.55000000000000004"/>
    <row r="153" hidden="1" x14ac:dyDescent="0.55000000000000004"/>
    <row r="154" hidden="1" x14ac:dyDescent="0.55000000000000004"/>
    <row r="155" hidden="1" x14ac:dyDescent="0.55000000000000004"/>
    <row r="156" hidden="1" x14ac:dyDescent="0.55000000000000004"/>
    <row r="157" hidden="1" x14ac:dyDescent="0.55000000000000004"/>
    <row r="158" hidden="1" x14ac:dyDescent="0.55000000000000004"/>
    <row r="159" hidden="1" x14ac:dyDescent="0.55000000000000004"/>
    <row r="160" hidden="1" x14ac:dyDescent="0.55000000000000004"/>
    <row r="161" hidden="1" x14ac:dyDescent="0.55000000000000004"/>
    <row r="162" hidden="1" x14ac:dyDescent="0.55000000000000004"/>
    <row r="163" hidden="1" x14ac:dyDescent="0.55000000000000004"/>
    <row r="164" hidden="1" x14ac:dyDescent="0.55000000000000004"/>
    <row r="165" hidden="1" x14ac:dyDescent="0.55000000000000004"/>
    <row r="166" hidden="1" x14ac:dyDescent="0.55000000000000004"/>
    <row r="167" hidden="1" x14ac:dyDescent="0.55000000000000004"/>
    <row r="168" hidden="1" x14ac:dyDescent="0.55000000000000004"/>
    <row r="169" hidden="1" x14ac:dyDescent="0.55000000000000004"/>
    <row r="170" hidden="1" x14ac:dyDescent="0.55000000000000004"/>
    <row r="171" hidden="1" x14ac:dyDescent="0.55000000000000004"/>
    <row r="172" hidden="1" x14ac:dyDescent="0.55000000000000004"/>
    <row r="173" hidden="1" x14ac:dyDescent="0.55000000000000004"/>
    <row r="174" hidden="1" x14ac:dyDescent="0.55000000000000004"/>
    <row r="175" hidden="1" x14ac:dyDescent="0.55000000000000004"/>
    <row r="176" hidden="1" x14ac:dyDescent="0.55000000000000004"/>
    <row r="177" hidden="1" x14ac:dyDescent="0.55000000000000004"/>
    <row r="178" hidden="1" x14ac:dyDescent="0.55000000000000004"/>
    <row r="179" hidden="1" x14ac:dyDescent="0.55000000000000004"/>
    <row r="180" hidden="1" x14ac:dyDescent="0.55000000000000004"/>
    <row r="181" hidden="1" x14ac:dyDescent="0.55000000000000004"/>
    <row r="182" hidden="1" x14ac:dyDescent="0.55000000000000004"/>
    <row r="183" hidden="1" x14ac:dyDescent="0.55000000000000004"/>
    <row r="184" hidden="1" x14ac:dyDescent="0.55000000000000004"/>
    <row r="185" hidden="1" x14ac:dyDescent="0.55000000000000004"/>
    <row r="186" hidden="1" x14ac:dyDescent="0.55000000000000004"/>
    <row r="187" hidden="1" x14ac:dyDescent="0.55000000000000004"/>
    <row r="188" hidden="1" x14ac:dyDescent="0.55000000000000004"/>
    <row r="189" hidden="1" x14ac:dyDescent="0.55000000000000004"/>
    <row r="190" hidden="1" x14ac:dyDescent="0.55000000000000004"/>
    <row r="191" hidden="1" x14ac:dyDescent="0.55000000000000004"/>
    <row r="192" hidden="1" x14ac:dyDescent="0.55000000000000004"/>
    <row r="193" hidden="1" x14ac:dyDescent="0.55000000000000004"/>
    <row r="194" hidden="1" x14ac:dyDescent="0.55000000000000004"/>
    <row r="195" hidden="1" x14ac:dyDescent="0.55000000000000004"/>
    <row r="196" hidden="1" x14ac:dyDescent="0.55000000000000004"/>
    <row r="197" hidden="1" x14ac:dyDescent="0.55000000000000004"/>
    <row r="198" hidden="1" x14ac:dyDescent="0.55000000000000004"/>
    <row r="199" hidden="1" x14ac:dyDescent="0.55000000000000004"/>
    <row r="200" hidden="1" x14ac:dyDescent="0.55000000000000004"/>
  </sheetData>
  <mergeCells count="4">
    <mergeCell ref="A69:AY69"/>
    <mergeCell ref="A1:AY1"/>
    <mergeCell ref="A2:AY2"/>
    <mergeCell ref="A40:AY40"/>
  </mergeCells>
  <dataValidations count="1">
    <dataValidation type="list" allowBlank="1" showInputMessage="1" showErrorMessage="1" promptTitle="Conversion Mode" prompt="Base = yellow plan. Suggested = apply fill. Aggressive = fill to 24%." sqref="BB22" xr:uid="{72B247BC-8E4E-4DA9-B2B5-57B52A881A16}">
      <formula1>$BD$21:$BD$23</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FC2A8A-F26B-4726-87A5-185B121F70A0}">
  <dimension ref="A1:F200"/>
  <sheetViews>
    <sheetView topLeftCell="A33" workbookViewId="0">
      <selection activeCell="A31" sqref="A31:F31"/>
    </sheetView>
  </sheetViews>
  <sheetFormatPr defaultRowHeight="14.4" x14ac:dyDescent="0.55000000000000004"/>
  <cols>
    <col min="1" max="1" width="30.68359375" customWidth="1"/>
    <col min="2" max="2" width="26.26171875" customWidth="1"/>
    <col min="3" max="3" width="45.578125" customWidth="1"/>
    <col min="4" max="6" width="15.83984375" customWidth="1"/>
    <col min="7" max="50" width="0" hidden="1" customWidth="1"/>
  </cols>
  <sheetData>
    <row r="1" spans="1:6" ht="32.1" customHeight="1" x14ac:dyDescent="0.55000000000000004">
      <c r="A1" s="279" t="s">
        <v>700</v>
      </c>
      <c r="B1" s="279"/>
      <c r="C1" s="279"/>
      <c r="D1" s="279"/>
      <c r="E1" s="279"/>
      <c r="F1" s="279"/>
    </row>
    <row r="2" spans="1:6" ht="24" customHeight="1" x14ac:dyDescent="0.55000000000000004">
      <c r="A2" s="280" t="s">
        <v>701</v>
      </c>
      <c r="B2" s="280"/>
      <c r="C2" s="280"/>
      <c r="D2" s="280"/>
      <c r="E2" s="280"/>
      <c r="F2" s="280"/>
    </row>
    <row r="3" spans="1:6" x14ac:dyDescent="0.55000000000000004">
      <c r="A3" s="253"/>
      <c r="B3" s="253"/>
      <c r="C3" s="253"/>
      <c r="D3" s="253"/>
      <c r="E3" s="253"/>
      <c r="F3" s="253"/>
    </row>
    <row r="4" spans="1:6" ht="24" customHeight="1" x14ac:dyDescent="0.55000000000000004">
      <c r="A4" s="281" t="s">
        <v>702</v>
      </c>
      <c r="B4" s="281"/>
      <c r="C4" s="281"/>
      <c r="D4" s="281"/>
      <c r="E4" s="281"/>
      <c r="F4" s="281"/>
    </row>
    <row r="5" spans="1:6" x14ac:dyDescent="0.55000000000000004">
      <c r="A5" s="254" t="s">
        <v>703</v>
      </c>
      <c r="B5" s="255" t="str">
        <f>Timeline!BB22</f>
        <v>Base</v>
      </c>
      <c r="C5" s="253"/>
      <c r="D5" s="282" t="str">
        <f>IF(B5="Base","Base mode is active: yearly conversions come from the editable Base_Roth_Conversion row. Suggested recommendations are visible but are not applied.",IF(B5="Suggested","Suggested mode is active: the model applies only conversions with a positive estimated after-tax benefit.","Aggressive mode is active: the model fills toward the 24% target for comparison and does not optimize after-tax benefit."))</f>
        <v>Base mode is active: yearly conversions come from the editable Base_Roth_Conversion row. Suggested recommendations are visible but are not applied.</v>
      </c>
      <c r="E5" s="282"/>
      <c r="F5" s="282"/>
    </row>
    <row r="6" spans="1:6" x14ac:dyDescent="0.55000000000000004">
      <c r="A6" s="254" t="s">
        <v>486</v>
      </c>
      <c r="B6" s="256">
        <f>Timeline!D41</f>
        <v>693787.13756312872</v>
      </c>
      <c r="C6" s="253"/>
      <c r="D6" s="282"/>
      <c r="E6" s="282"/>
      <c r="F6" s="282"/>
    </row>
    <row r="7" spans="1:6" x14ac:dyDescent="0.55000000000000004">
      <c r="A7" s="254" t="s">
        <v>488</v>
      </c>
      <c r="B7" s="256">
        <f>Timeline!D43</f>
        <v>1978072.2990196953</v>
      </c>
      <c r="C7" s="253"/>
      <c r="D7" s="282"/>
      <c r="E7" s="282"/>
      <c r="F7" s="282"/>
    </row>
    <row r="8" spans="1:6" x14ac:dyDescent="0.55000000000000004">
      <c r="A8" s="254" t="s">
        <v>704</v>
      </c>
      <c r="B8" s="256">
        <f>Timeline!D100</f>
        <v>1745129.9685042307</v>
      </c>
      <c r="C8" s="253"/>
      <c r="D8" s="282"/>
      <c r="E8" s="282"/>
      <c r="F8" s="282"/>
    </row>
    <row r="9" spans="1:6" x14ac:dyDescent="0.55000000000000004">
      <c r="A9" s="254" t="s">
        <v>705</v>
      </c>
      <c r="B9" s="256">
        <f>Timeline!D44</f>
        <v>1941186.0876288703</v>
      </c>
      <c r="C9" s="253"/>
      <c r="D9" s="253"/>
      <c r="E9" s="253"/>
      <c r="F9" s="253"/>
    </row>
    <row r="10" spans="1:6" x14ac:dyDescent="0.55000000000000004">
      <c r="A10" s="254" t="s">
        <v>706</v>
      </c>
      <c r="B10" s="256">
        <f>Timeline!D45</f>
        <v>36886.211390824894</v>
      </c>
      <c r="C10" s="253"/>
      <c r="D10" s="282" t="str">
        <f>"The active path ends with "&amp;TEXT(B9,"$#,##0")&amp;" pre-tax and "&amp;TEXT(B10,"$#,##0")&amp;" Roth. Use Suggested mode only when you want the optimizer recommendations applied."</f>
        <v>The active path ends with $1,941,186 pre-tax and $36,886 Roth. Use Suggested mode only when you want the optimizer recommendations applied.</v>
      </c>
      <c r="E10" s="282"/>
      <c r="F10" s="282"/>
    </row>
    <row r="11" spans="1:6" x14ac:dyDescent="0.55000000000000004">
      <c r="A11" s="254" t="s">
        <v>707</v>
      </c>
      <c r="B11" s="257">
        <f>Timeline!D46</f>
        <v>0</v>
      </c>
      <c r="C11" s="253"/>
      <c r="D11" s="282"/>
      <c r="E11" s="282"/>
      <c r="F11" s="282"/>
    </row>
    <row r="12" spans="1:6" ht="28.8" x14ac:dyDescent="0.55000000000000004">
      <c r="A12" s="254" t="s">
        <v>708</v>
      </c>
      <c r="B12" s="257">
        <f>Timeline!D47</f>
        <v>25</v>
      </c>
      <c r="C12" s="253"/>
      <c r="D12" s="282"/>
      <c r="E12" s="282"/>
      <c r="F12" s="282"/>
    </row>
    <row r="13" spans="1:6" x14ac:dyDescent="0.55000000000000004">
      <c r="A13" s="258"/>
      <c r="B13" s="253"/>
      <c r="C13" s="253"/>
      <c r="D13" s="253"/>
      <c r="E13" s="253"/>
      <c r="F13" s="253"/>
    </row>
    <row r="14" spans="1:6" ht="24" customHeight="1" x14ac:dyDescent="0.55000000000000004">
      <c r="A14" s="281" t="s">
        <v>709</v>
      </c>
      <c r="B14" s="281"/>
      <c r="C14" s="281"/>
      <c r="D14" s="281"/>
      <c r="E14" s="281"/>
      <c r="F14" s="281"/>
    </row>
    <row r="15" spans="1:6" x14ac:dyDescent="0.55000000000000004">
      <c r="A15" s="259" t="s">
        <v>710</v>
      </c>
      <c r="B15" s="260">
        <f>Timeline!D53</f>
        <v>410756.07415505353</v>
      </c>
      <c r="C15" s="253"/>
      <c r="D15" s="253"/>
      <c r="E15" s="253"/>
      <c r="F15" s="253"/>
    </row>
    <row r="16" spans="1:6" x14ac:dyDescent="0.55000000000000004">
      <c r="A16" s="259" t="s">
        <v>711</v>
      </c>
      <c r="B16" s="260">
        <f>Timeline!D103</f>
        <v>15325</v>
      </c>
      <c r="C16" s="253"/>
      <c r="D16" s="253"/>
      <c r="E16" s="253"/>
      <c r="F16" s="253"/>
    </row>
    <row r="17" spans="1:6" ht="28.8" x14ac:dyDescent="0.55000000000000004">
      <c r="A17" s="259" t="s">
        <v>712</v>
      </c>
      <c r="B17" s="261" t="str">
        <f>IF(B15=0,"No conversion currently improves the estimate","Positive-benefit conversion years identified")</f>
        <v>Positive-benefit conversion years identified</v>
      </c>
      <c r="C17" s="253"/>
      <c r="D17" s="253"/>
      <c r="E17" s="253"/>
      <c r="F17" s="253"/>
    </row>
    <row r="18" spans="1:6" x14ac:dyDescent="0.55000000000000004">
      <c r="A18" s="282" t="s">
        <v>713</v>
      </c>
      <c r="B18" s="282"/>
      <c r="C18" s="282"/>
      <c r="D18" s="282"/>
      <c r="E18" s="282"/>
      <c r="F18" s="282"/>
    </row>
    <row r="19" spans="1:6" x14ac:dyDescent="0.55000000000000004">
      <c r="A19" s="282" t="str" cm="1">
        <f t="array" ref="A19">IFERROR(_xlfn.TEXTJOIN(", ",TRUE,_xlfn._xlws.FILTER(Timeline!D3:AY3&amp;" (age "&amp;Timeline!D4:AY4&amp;"): "&amp;TEXT(Timeline!D29:AY29,"$#,##0"),Timeline!D29:AY29&gt;0)),"No positive-benefit conversions")</f>
        <v>2049 (age 61): $100,800, 2050 (age 62): $100,800, 2051 (age 63): $100,800, 2052 (age 64): $100,800, 2064 (age 76): $7,556</v>
      </c>
      <c r="B19" s="282"/>
      <c r="C19" s="282"/>
      <c r="D19" s="282"/>
      <c r="E19" s="282"/>
      <c r="F19" s="282"/>
    </row>
    <row r="20" spans="1:6" x14ac:dyDescent="0.55000000000000004">
      <c r="A20" s="282"/>
      <c r="B20" s="282"/>
      <c r="C20" s="282"/>
      <c r="D20" s="282"/>
      <c r="E20" s="282"/>
      <c r="F20" s="282"/>
    </row>
    <row r="21" spans="1:6" x14ac:dyDescent="0.55000000000000004">
      <c r="A21" s="282" t="s">
        <v>714</v>
      </c>
      <c r="B21" s="282"/>
      <c r="C21" s="282"/>
      <c r="D21" s="282"/>
      <c r="E21" s="282"/>
      <c r="F21" s="282"/>
    </row>
    <row r="22" spans="1:6" x14ac:dyDescent="0.55000000000000004">
      <c r="A22" s="282"/>
      <c r="B22" s="282"/>
      <c r="C22" s="282"/>
      <c r="D22" s="282"/>
      <c r="E22" s="282"/>
      <c r="F22" s="282"/>
    </row>
    <row r="23" spans="1:6" x14ac:dyDescent="0.55000000000000004">
      <c r="A23" s="253"/>
      <c r="B23" s="253"/>
      <c r="C23" s="253"/>
      <c r="D23" s="253"/>
      <c r="E23" s="253"/>
      <c r="F23" s="253"/>
    </row>
    <row r="24" spans="1:6" ht="24" customHeight="1" x14ac:dyDescent="0.55000000000000004">
      <c r="A24" s="281" t="s">
        <v>715</v>
      </c>
      <c r="B24" s="281"/>
      <c r="C24" s="281"/>
      <c r="D24" s="281"/>
      <c r="E24" s="281"/>
      <c r="F24" s="281"/>
    </row>
    <row r="25" spans="1:6" ht="30" customHeight="1" x14ac:dyDescent="0.55000000000000004">
      <c r="A25" s="282" t="s">
        <v>716</v>
      </c>
      <c r="B25" s="282"/>
      <c r="C25" s="282"/>
      <c r="D25" s="282"/>
      <c r="E25" s="282"/>
      <c r="F25" s="282"/>
    </row>
    <row r="26" spans="1:6" ht="30" customHeight="1" x14ac:dyDescent="0.55000000000000004">
      <c r="A26" s="282" t="s">
        <v>717</v>
      </c>
      <c r="B26" s="282"/>
      <c r="C26" s="282"/>
      <c r="D26" s="282"/>
      <c r="E26" s="282"/>
      <c r="F26" s="282"/>
    </row>
    <row r="27" spans="1:6" ht="30" customHeight="1" x14ac:dyDescent="0.55000000000000004">
      <c r="A27" s="282" t="s">
        <v>718</v>
      </c>
      <c r="B27" s="282"/>
      <c r="C27" s="282"/>
      <c r="D27" s="282"/>
      <c r="E27" s="282"/>
      <c r="F27" s="282"/>
    </row>
    <row r="28" spans="1:6" ht="30" customHeight="1" x14ac:dyDescent="0.55000000000000004">
      <c r="A28" s="282" t="s">
        <v>719</v>
      </c>
      <c r="B28" s="282"/>
      <c r="C28" s="282"/>
      <c r="D28" s="282"/>
      <c r="E28" s="282"/>
      <c r="F28" s="282"/>
    </row>
    <row r="29" spans="1:6" ht="30" customHeight="1" x14ac:dyDescent="0.55000000000000004">
      <c r="A29" s="282" t="s">
        <v>720</v>
      </c>
      <c r="B29" s="282"/>
      <c r="C29" s="282"/>
      <c r="D29" s="282"/>
      <c r="E29" s="282"/>
      <c r="F29" s="282"/>
    </row>
    <row r="30" spans="1:6" x14ac:dyDescent="0.55000000000000004">
      <c r="A30" s="253"/>
      <c r="B30" s="253"/>
      <c r="C30" s="253"/>
      <c r="D30" s="253"/>
      <c r="E30" s="253"/>
      <c r="F30" s="253"/>
    </row>
    <row r="31" spans="1:6" ht="24" customHeight="1" x14ac:dyDescent="0.55000000000000004">
      <c r="A31" s="281" t="s">
        <v>721</v>
      </c>
      <c r="B31" s="281"/>
      <c r="C31" s="281"/>
      <c r="D31" s="281"/>
      <c r="E31" s="281"/>
      <c r="F31" s="281"/>
    </row>
    <row r="32" spans="1:6" x14ac:dyDescent="0.55000000000000004">
      <c r="A32" s="252" t="s">
        <v>722</v>
      </c>
      <c r="B32" s="252" t="s">
        <v>723</v>
      </c>
      <c r="C32" s="252" t="s">
        <v>724</v>
      </c>
      <c r="D32" s="253"/>
      <c r="E32" s="253"/>
      <c r="F32" s="253"/>
    </row>
    <row r="33" spans="1:6" ht="34" customHeight="1" x14ac:dyDescent="0.55000000000000004">
      <c r="A33" s="254" t="s">
        <v>725</v>
      </c>
      <c r="B33" s="255" t="s">
        <v>726</v>
      </c>
      <c r="C33" s="255" t="s">
        <v>727</v>
      </c>
      <c r="D33" s="253"/>
      <c r="E33" s="253"/>
      <c r="F33" s="253"/>
    </row>
    <row r="34" spans="1:6" ht="34" customHeight="1" x14ac:dyDescent="0.55000000000000004">
      <c r="A34" s="262" t="s">
        <v>728</v>
      </c>
      <c r="B34" s="263" t="s">
        <v>729</v>
      </c>
      <c r="C34" s="263" t="s">
        <v>730</v>
      </c>
      <c r="D34" s="253"/>
      <c r="E34" s="253"/>
      <c r="F34" s="253"/>
    </row>
    <row r="35" spans="1:6" ht="34" customHeight="1" x14ac:dyDescent="0.55000000000000004">
      <c r="A35" s="254" t="s">
        <v>731</v>
      </c>
      <c r="B35" s="255" t="s">
        <v>732</v>
      </c>
      <c r="C35" s="255" t="s">
        <v>733</v>
      </c>
      <c r="D35" s="253"/>
      <c r="E35" s="253"/>
      <c r="F35" s="253"/>
    </row>
    <row r="36" spans="1:6" ht="34" customHeight="1" x14ac:dyDescent="0.55000000000000004">
      <c r="A36" s="262" t="s">
        <v>382</v>
      </c>
      <c r="B36" s="263" t="s">
        <v>734</v>
      </c>
      <c r="C36" s="263" t="s">
        <v>735</v>
      </c>
      <c r="D36" s="253"/>
      <c r="E36" s="253"/>
      <c r="F36" s="253"/>
    </row>
    <row r="37" spans="1:6" ht="34" customHeight="1" x14ac:dyDescent="0.55000000000000004">
      <c r="A37" s="254" t="s">
        <v>736</v>
      </c>
      <c r="B37" s="255" t="s">
        <v>737</v>
      </c>
      <c r="C37" s="255" t="s">
        <v>738</v>
      </c>
      <c r="D37" s="253"/>
      <c r="E37" s="253"/>
      <c r="F37" s="253"/>
    </row>
    <row r="38" spans="1:6" ht="34" customHeight="1" x14ac:dyDescent="0.55000000000000004">
      <c r="A38" s="262" t="s">
        <v>739</v>
      </c>
      <c r="B38" s="263" t="s">
        <v>740</v>
      </c>
      <c r="C38" s="263" t="s">
        <v>741</v>
      </c>
      <c r="D38" s="253"/>
      <c r="E38" s="253"/>
      <c r="F38" s="253"/>
    </row>
    <row r="39" spans="1:6" ht="34" customHeight="1" x14ac:dyDescent="0.55000000000000004">
      <c r="A39" s="254" t="s">
        <v>742</v>
      </c>
      <c r="B39" s="255" t="s">
        <v>743</v>
      </c>
      <c r="C39" s="255" t="s">
        <v>744</v>
      </c>
      <c r="D39" s="253"/>
      <c r="E39" s="253"/>
      <c r="F39" s="253"/>
    </row>
    <row r="40" spans="1:6" x14ac:dyDescent="0.55000000000000004">
      <c r="A40" s="253"/>
      <c r="B40" s="253"/>
      <c r="C40" s="253"/>
      <c r="D40" s="253"/>
      <c r="E40" s="253"/>
      <c r="F40" s="253"/>
    </row>
    <row r="41" spans="1:6" ht="24" customHeight="1" x14ac:dyDescent="0.55000000000000004">
      <c r="A41" s="281" t="s">
        <v>745</v>
      </c>
      <c r="B41" s="281"/>
      <c r="C41" s="281"/>
      <c r="D41" s="281"/>
      <c r="E41" s="281"/>
      <c r="F41" s="281"/>
    </row>
    <row r="42" spans="1:6" x14ac:dyDescent="0.55000000000000004">
      <c r="A42" s="252" t="s">
        <v>746</v>
      </c>
      <c r="B42" s="252" t="s">
        <v>747</v>
      </c>
      <c r="C42" s="252" t="s">
        <v>748</v>
      </c>
      <c r="D42" s="253"/>
      <c r="E42" s="253"/>
      <c r="F42" s="253"/>
    </row>
    <row r="43" spans="1:6" ht="30" customHeight="1" x14ac:dyDescent="0.55000000000000004">
      <c r="A43" s="254" t="s">
        <v>749</v>
      </c>
      <c r="B43" s="255" t="s">
        <v>750</v>
      </c>
      <c r="C43" s="255" t="s">
        <v>751</v>
      </c>
      <c r="D43" s="253"/>
      <c r="E43" s="253"/>
      <c r="F43" s="253"/>
    </row>
    <row r="44" spans="1:6" ht="30" customHeight="1" x14ac:dyDescent="0.55000000000000004">
      <c r="A44" s="262" t="s">
        <v>752</v>
      </c>
      <c r="B44" s="263" t="s">
        <v>753</v>
      </c>
      <c r="C44" s="263" t="s">
        <v>754</v>
      </c>
      <c r="D44" s="253"/>
      <c r="E44" s="253"/>
      <c r="F44" s="253"/>
    </row>
    <row r="45" spans="1:6" ht="30" customHeight="1" x14ac:dyDescent="0.55000000000000004">
      <c r="A45" s="254" t="s">
        <v>755</v>
      </c>
      <c r="B45" s="255" t="s">
        <v>756</v>
      </c>
      <c r="C45" s="255" t="s">
        <v>757</v>
      </c>
      <c r="D45" s="253"/>
      <c r="E45" s="253"/>
      <c r="F45" s="253"/>
    </row>
    <row r="46" spans="1:6" ht="30" customHeight="1" x14ac:dyDescent="0.55000000000000004">
      <c r="A46" s="262" t="s">
        <v>758</v>
      </c>
      <c r="B46" s="263" t="s">
        <v>759</v>
      </c>
      <c r="C46" s="263" t="s">
        <v>760</v>
      </c>
      <c r="D46" s="253"/>
      <c r="E46" s="253"/>
      <c r="F46" s="253"/>
    </row>
    <row r="47" spans="1:6" ht="30" customHeight="1" x14ac:dyDescent="0.55000000000000004">
      <c r="A47" s="254" t="s">
        <v>761</v>
      </c>
      <c r="B47" s="255" t="s">
        <v>762</v>
      </c>
      <c r="C47" s="255" t="s">
        <v>763</v>
      </c>
      <c r="D47" s="253"/>
      <c r="E47" s="253"/>
      <c r="F47" s="253"/>
    </row>
    <row r="48" spans="1:6" ht="30" customHeight="1" x14ac:dyDescent="0.55000000000000004">
      <c r="A48" s="262" t="s">
        <v>764</v>
      </c>
      <c r="B48" s="263" t="s">
        <v>765</v>
      </c>
      <c r="C48" s="263" t="s">
        <v>766</v>
      </c>
      <c r="D48" s="253"/>
      <c r="E48" s="253"/>
      <c r="F48" s="253"/>
    </row>
    <row r="49" hidden="1" x14ac:dyDescent="0.55000000000000004"/>
    <row r="50" hidden="1" x14ac:dyDescent="0.55000000000000004"/>
    <row r="51" hidden="1" x14ac:dyDescent="0.55000000000000004"/>
    <row r="52" hidden="1" x14ac:dyDescent="0.55000000000000004"/>
    <row r="53" hidden="1" x14ac:dyDescent="0.55000000000000004"/>
    <row r="54" hidden="1" x14ac:dyDescent="0.55000000000000004"/>
    <row r="55" hidden="1" x14ac:dyDescent="0.55000000000000004"/>
    <row r="56" hidden="1" x14ac:dyDescent="0.55000000000000004"/>
    <row r="57" hidden="1" x14ac:dyDescent="0.55000000000000004"/>
    <row r="58" hidden="1" x14ac:dyDescent="0.55000000000000004"/>
    <row r="59" hidden="1" x14ac:dyDescent="0.55000000000000004"/>
    <row r="60" hidden="1" x14ac:dyDescent="0.55000000000000004"/>
    <row r="61" hidden="1" x14ac:dyDescent="0.55000000000000004"/>
    <row r="62" hidden="1" x14ac:dyDescent="0.55000000000000004"/>
    <row r="63" hidden="1" x14ac:dyDescent="0.55000000000000004"/>
    <row r="64" hidden="1" x14ac:dyDescent="0.55000000000000004"/>
    <row r="65" hidden="1" x14ac:dyDescent="0.55000000000000004"/>
    <row r="66" hidden="1" x14ac:dyDescent="0.55000000000000004"/>
    <row r="67" hidden="1" x14ac:dyDescent="0.55000000000000004"/>
    <row r="68" hidden="1" x14ac:dyDescent="0.55000000000000004"/>
    <row r="69" hidden="1" x14ac:dyDescent="0.55000000000000004"/>
    <row r="70" hidden="1" x14ac:dyDescent="0.55000000000000004"/>
    <row r="71" hidden="1" x14ac:dyDescent="0.55000000000000004"/>
    <row r="72" hidden="1" x14ac:dyDescent="0.55000000000000004"/>
    <row r="73" hidden="1" x14ac:dyDescent="0.55000000000000004"/>
    <row r="74" hidden="1" x14ac:dyDescent="0.55000000000000004"/>
    <row r="75" hidden="1" x14ac:dyDescent="0.55000000000000004"/>
    <row r="76" hidden="1" x14ac:dyDescent="0.55000000000000004"/>
    <row r="77" hidden="1" x14ac:dyDescent="0.55000000000000004"/>
    <row r="78" hidden="1" x14ac:dyDescent="0.55000000000000004"/>
    <row r="79" hidden="1" x14ac:dyDescent="0.55000000000000004"/>
    <row r="80" hidden="1" x14ac:dyDescent="0.55000000000000004"/>
    <row r="81" hidden="1" x14ac:dyDescent="0.55000000000000004"/>
    <row r="82" hidden="1" x14ac:dyDescent="0.55000000000000004"/>
    <row r="83" hidden="1" x14ac:dyDescent="0.55000000000000004"/>
    <row r="84" hidden="1" x14ac:dyDescent="0.55000000000000004"/>
    <row r="85" hidden="1" x14ac:dyDescent="0.55000000000000004"/>
    <row r="86" hidden="1" x14ac:dyDescent="0.55000000000000004"/>
    <row r="87" hidden="1" x14ac:dyDescent="0.55000000000000004"/>
    <row r="88" hidden="1" x14ac:dyDescent="0.55000000000000004"/>
    <row r="89" hidden="1" x14ac:dyDescent="0.55000000000000004"/>
    <row r="90" hidden="1" x14ac:dyDescent="0.55000000000000004"/>
    <row r="91" hidden="1" x14ac:dyDescent="0.55000000000000004"/>
    <row r="92" hidden="1" x14ac:dyDescent="0.55000000000000004"/>
    <row r="93" hidden="1" x14ac:dyDescent="0.55000000000000004"/>
    <row r="94" hidden="1" x14ac:dyDescent="0.55000000000000004"/>
    <row r="95" hidden="1" x14ac:dyDescent="0.55000000000000004"/>
    <row r="96" hidden="1" x14ac:dyDescent="0.55000000000000004"/>
    <row r="97" hidden="1" x14ac:dyDescent="0.55000000000000004"/>
    <row r="98" hidden="1" x14ac:dyDescent="0.55000000000000004"/>
    <row r="99" hidden="1" x14ac:dyDescent="0.55000000000000004"/>
    <row r="100" hidden="1" x14ac:dyDescent="0.55000000000000004"/>
    <row r="101" hidden="1" x14ac:dyDescent="0.55000000000000004"/>
    <row r="102" hidden="1" x14ac:dyDescent="0.55000000000000004"/>
    <row r="103" hidden="1" x14ac:dyDescent="0.55000000000000004"/>
    <row r="104" hidden="1" x14ac:dyDescent="0.55000000000000004"/>
    <row r="105" hidden="1" x14ac:dyDescent="0.55000000000000004"/>
    <row r="106" hidden="1" x14ac:dyDescent="0.55000000000000004"/>
    <row r="107" hidden="1" x14ac:dyDescent="0.55000000000000004"/>
    <row r="108" hidden="1" x14ac:dyDescent="0.55000000000000004"/>
    <row r="109" hidden="1" x14ac:dyDescent="0.55000000000000004"/>
    <row r="110" hidden="1" x14ac:dyDescent="0.55000000000000004"/>
    <row r="111" hidden="1" x14ac:dyDescent="0.55000000000000004"/>
    <row r="112" hidden="1" x14ac:dyDescent="0.55000000000000004"/>
    <row r="113" hidden="1" x14ac:dyDescent="0.55000000000000004"/>
    <row r="114" hidden="1" x14ac:dyDescent="0.55000000000000004"/>
    <row r="115" hidden="1" x14ac:dyDescent="0.55000000000000004"/>
    <row r="116" hidden="1" x14ac:dyDescent="0.55000000000000004"/>
    <row r="117" hidden="1" x14ac:dyDescent="0.55000000000000004"/>
    <row r="118" hidden="1" x14ac:dyDescent="0.55000000000000004"/>
    <row r="119" hidden="1" x14ac:dyDescent="0.55000000000000004"/>
    <row r="120" hidden="1" x14ac:dyDescent="0.55000000000000004"/>
    <row r="121" hidden="1" x14ac:dyDescent="0.55000000000000004"/>
    <row r="122" hidden="1" x14ac:dyDescent="0.55000000000000004"/>
    <row r="123" hidden="1" x14ac:dyDescent="0.55000000000000004"/>
    <row r="124" hidden="1" x14ac:dyDescent="0.55000000000000004"/>
    <row r="125" hidden="1" x14ac:dyDescent="0.55000000000000004"/>
    <row r="126" hidden="1" x14ac:dyDescent="0.55000000000000004"/>
    <row r="127" hidden="1" x14ac:dyDescent="0.55000000000000004"/>
    <row r="128" hidden="1" x14ac:dyDescent="0.55000000000000004"/>
    <row r="129" hidden="1" x14ac:dyDescent="0.55000000000000004"/>
    <row r="130" hidden="1" x14ac:dyDescent="0.55000000000000004"/>
    <row r="131" hidden="1" x14ac:dyDescent="0.55000000000000004"/>
    <row r="132" hidden="1" x14ac:dyDescent="0.55000000000000004"/>
    <row r="133" hidden="1" x14ac:dyDescent="0.55000000000000004"/>
    <row r="134" hidden="1" x14ac:dyDescent="0.55000000000000004"/>
    <row r="135" hidden="1" x14ac:dyDescent="0.55000000000000004"/>
    <row r="136" hidden="1" x14ac:dyDescent="0.55000000000000004"/>
    <row r="137" hidden="1" x14ac:dyDescent="0.55000000000000004"/>
    <row r="138" hidden="1" x14ac:dyDescent="0.55000000000000004"/>
    <row r="139" hidden="1" x14ac:dyDescent="0.55000000000000004"/>
    <row r="140" hidden="1" x14ac:dyDescent="0.55000000000000004"/>
    <row r="141" hidden="1" x14ac:dyDescent="0.55000000000000004"/>
    <row r="142" hidden="1" x14ac:dyDescent="0.55000000000000004"/>
    <row r="143" hidden="1" x14ac:dyDescent="0.55000000000000004"/>
    <row r="144" hidden="1" x14ac:dyDescent="0.55000000000000004"/>
    <row r="145" hidden="1" x14ac:dyDescent="0.55000000000000004"/>
    <row r="146" hidden="1" x14ac:dyDescent="0.55000000000000004"/>
    <row r="147" hidden="1" x14ac:dyDescent="0.55000000000000004"/>
    <row r="148" hidden="1" x14ac:dyDescent="0.55000000000000004"/>
    <row r="149" hidden="1" x14ac:dyDescent="0.55000000000000004"/>
    <row r="150" hidden="1" x14ac:dyDescent="0.55000000000000004"/>
    <row r="151" hidden="1" x14ac:dyDescent="0.55000000000000004"/>
    <row r="152" hidden="1" x14ac:dyDescent="0.55000000000000004"/>
    <row r="153" hidden="1" x14ac:dyDescent="0.55000000000000004"/>
    <row r="154" hidden="1" x14ac:dyDescent="0.55000000000000004"/>
    <row r="155" hidden="1" x14ac:dyDescent="0.55000000000000004"/>
    <row r="156" hidden="1" x14ac:dyDescent="0.55000000000000004"/>
    <row r="157" hidden="1" x14ac:dyDescent="0.55000000000000004"/>
    <row r="158" hidden="1" x14ac:dyDescent="0.55000000000000004"/>
    <row r="159" hidden="1" x14ac:dyDescent="0.55000000000000004"/>
    <row r="160" hidden="1" x14ac:dyDescent="0.55000000000000004"/>
    <row r="161" hidden="1" x14ac:dyDescent="0.55000000000000004"/>
    <row r="162" hidden="1" x14ac:dyDescent="0.55000000000000004"/>
    <row r="163" hidden="1" x14ac:dyDescent="0.55000000000000004"/>
    <row r="164" hidden="1" x14ac:dyDescent="0.55000000000000004"/>
    <row r="165" hidden="1" x14ac:dyDescent="0.55000000000000004"/>
    <row r="166" hidden="1" x14ac:dyDescent="0.55000000000000004"/>
    <row r="167" hidden="1" x14ac:dyDescent="0.55000000000000004"/>
    <row r="168" hidden="1" x14ac:dyDescent="0.55000000000000004"/>
    <row r="169" hidden="1" x14ac:dyDescent="0.55000000000000004"/>
    <row r="170" hidden="1" x14ac:dyDescent="0.55000000000000004"/>
    <row r="171" hidden="1" x14ac:dyDescent="0.55000000000000004"/>
    <row r="172" hidden="1" x14ac:dyDescent="0.55000000000000004"/>
    <row r="173" hidden="1" x14ac:dyDescent="0.55000000000000004"/>
    <row r="174" hidden="1" x14ac:dyDescent="0.55000000000000004"/>
    <row r="175" hidden="1" x14ac:dyDescent="0.55000000000000004"/>
    <row r="176" hidden="1" x14ac:dyDescent="0.55000000000000004"/>
    <row r="177" hidden="1" x14ac:dyDescent="0.55000000000000004"/>
    <row r="178" hidden="1" x14ac:dyDescent="0.55000000000000004"/>
    <row r="179" hidden="1" x14ac:dyDescent="0.55000000000000004"/>
    <row r="180" hidden="1" x14ac:dyDescent="0.55000000000000004"/>
    <row r="181" hidden="1" x14ac:dyDescent="0.55000000000000004"/>
    <row r="182" hidden="1" x14ac:dyDescent="0.55000000000000004"/>
    <row r="183" hidden="1" x14ac:dyDescent="0.55000000000000004"/>
    <row r="184" hidden="1" x14ac:dyDescent="0.55000000000000004"/>
    <row r="185" hidden="1" x14ac:dyDescent="0.55000000000000004"/>
    <row r="186" hidden="1" x14ac:dyDescent="0.55000000000000004"/>
    <row r="187" hidden="1" x14ac:dyDescent="0.55000000000000004"/>
    <row r="188" hidden="1" x14ac:dyDescent="0.55000000000000004"/>
    <row r="189" hidden="1" x14ac:dyDescent="0.55000000000000004"/>
    <row r="190" hidden="1" x14ac:dyDescent="0.55000000000000004"/>
    <row r="191" hidden="1" x14ac:dyDescent="0.55000000000000004"/>
    <row r="192" hidden="1" x14ac:dyDescent="0.55000000000000004"/>
    <row r="193" hidden="1" x14ac:dyDescent="0.55000000000000004"/>
    <row r="194" hidden="1" x14ac:dyDescent="0.55000000000000004"/>
    <row r="195" hidden="1" x14ac:dyDescent="0.55000000000000004"/>
    <row r="196" hidden="1" x14ac:dyDescent="0.55000000000000004"/>
    <row r="197" hidden="1" x14ac:dyDescent="0.55000000000000004"/>
    <row r="198" hidden="1" x14ac:dyDescent="0.55000000000000004"/>
    <row r="199" hidden="1" x14ac:dyDescent="0.55000000000000004"/>
    <row r="200" hidden="1" x14ac:dyDescent="0.55000000000000004"/>
  </sheetData>
  <mergeCells count="17">
    <mergeCell ref="A31:F31"/>
    <mergeCell ref="A41:F41"/>
    <mergeCell ref="A24:F24"/>
    <mergeCell ref="A25:F25"/>
    <mergeCell ref="A26:F26"/>
    <mergeCell ref="A27:F27"/>
    <mergeCell ref="A28:F28"/>
    <mergeCell ref="A14:F14"/>
    <mergeCell ref="A18:F18"/>
    <mergeCell ref="A19:F20"/>
    <mergeCell ref="A21:F22"/>
    <mergeCell ref="A29:F29"/>
    <mergeCell ref="A1:F1"/>
    <mergeCell ref="A2:F2"/>
    <mergeCell ref="A4:F4"/>
    <mergeCell ref="D5:F8"/>
    <mergeCell ref="D10:F12"/>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616423-DC89-48C2-BFF9-C2605E8FEF8D}">
  <dimension ref="A1:F200"/>
  <sheetViews>
    <sheetView workbookViewId="0">
      <selection activeCell="A47" sqref="A47"/>
    </sheetView>
  </sheetViews>
  <sheetFormatPr defaultRowHeight="14.4" x14ac:dyDescent="0.55000000000000004"/>
  <cols>
    <col min="1" max="1" width="33.26171875" customWidth="1"/>
    <col min="2" max="4" width="19.26171875" customWidth="1"/>
    <col min="5" max="6" width="16.68359375" customWidth="1"/>
    <col min="7" max="50" width="0" hidden="1" customWidth="1"/>
  </cols>
  <sheetData>
    <row r="1" spans="1:6" ht="32.1" customHeight="1" x14ac:dyDescent="0.55000000000000004">
      <c r="A1" s="283" t="s">
        <v>767</v>
      </c>
      <c r="B1" s="283"/>
      <c r="C1" s="283"/>
      <c r="D1" s="283"/>
      <c r="E1" s="283"/>
      <c r="F1" s="283"/>
    </row>
    <row r="2" spans="1:6" ht="24" customHeight="1" x14ac:dyDescent="0.55000000000000004">
      <c r="A2" s="284" t="s">
        <v>768</v>
      </c>
      <c r="B2" s="284"/>
      <c r="C2" s="284"/>
      <c r="D2" s="284"/>
      <c r="E2" s="284"/>
      <c r="F2" s="284"/>
    </row>
    <row r="3" spans="1:6" x14ac:dyDescent="0.55000000000000004">
      <c r="A3" s="248"/>
      <c r="B3" s="248"/>
      <c r="C3" s="248"/>
      <c r="D3" s="248"/>
      <c r="E3" s="248"/>
      <c r="F3" s="248"/>
    </row>
    <row r="4" spans="1:6" ht="24" customHeight="1" x14ac:dyDescent="0.55000000000000004">
      <c r="A4" s="281" t="s">
        <v>769</v>
      </c>
      <c r="B4" s="281"/>
      <c r="C4" s="281"/>
      <c r="D4" s="281"/>
      <c r="E4" s="281"/>
      <c r="F4" s="281"/>
    </row>
    <row r="5" spans="1:6" x14ac:dyDescent="0.55000000000000004">
      <c r="A5" s="249" t="s">
        <v>770</v>
      </c>
      <c r="B5" s="250" t="str">
        <f>Timeline!BB22</f>
        <v>Base</v>
      </c>
      <c r="C5" s="248"/>
      <c r="D5" s="248"/>
      <c r="E5" s="248"/>
      <c r="F5" s="248"/>
    </row>
    <row r="6" spans="1:6" x14ac:dyDescent="0.55000000000000004">
      <c r="A6" s="249" t="s">
        <v>771</v>
      </c>
      <c r="B6" s="251">
        <f>Timeline!D52</f>
        <v>0</v>
      </c>
      <c r="C6" s="248"/>
      <c r="D6" s="248"/>
      <c r="E6" s="248"/>
      <c r="F6" s="248"/>
    </row>
    <row r="7" spans="1:6" x14ac:dyDescent="0.55000000000000004">
      <c r="A7" s="249" t="s">
        <v>772</v>
      </c>
      <c r="B7" s="251">
        <f>Timeline!D53</f>
        <v>410756.07415505353</v>
      </c>
      <c r="C7" s="248"/>
      <c r="D7" s="248"/>
      <c r="E7" s="248"/>
      <c r="F7" s="248"/>
    </row>
    <row r="8" spans="1:6" x14ac:dyDescent="0.55000000000000004">
      <c r="A8" s="249" t="s">
        <v>773</v>
      </c>
      <c r="B8" s="251">
        <f>Timeline!D103</f>
        <v>15325</v>
      </c>
      <c r="C8" s="248"/>
      <c r="D8" s="248"/>
      <c r="E8" s="248"/>
      <c r="F8" s="248"/>
    </row>
    <row r="9" spans="1:6" x14ac:dyDescent="0.55000000000000004">
      <c r="A9" s="249" t="s">
        <v>713</v>
      </c>
      <c r="B9" s="285" t="str" cm="1">
        <f t="array" ref="B9">IFERROR(_xlfn.TEXTJOIN(", ",TRUE,_xlfn._xlws.FILTER(Timeline!D3:AY3&amp;" (age "&amp;Timeline!D4:AY4&amp;"): "&amp;TEXT(Timeline!D29:AY29,"$#,##0"),Timeline!D29:AY29&gt;0)),"No positive-benefit conversions")</f>
        <v>2049 (age 61): $100,800, 2050 (age 62): $100,800, 2051 (age 63): $100,800, 2052 (age 64): $100,800, 2064 (age 76): $7,556</v>
      </c>
      <c r="C9" s="286"/>
      <c r="D9" s="286"/>
      <c r="E9" s="286"/>
      <c r="F9" s="286"/>
    </row>
    <row r="10" spans="1:6" x14ac:dyDescent="0.55000000000000004">
      <c r="A10" s="248"/>
      <c r="B10" s="286"/>
      <c r="C10" s="286"/>
      <c r="D10" s="286"/>
      <c r="E10" s="286"/>
      <c r="F10" s="286"/>
    </row>
    <row r="11" spans="1:6" x14ac:dyDescent="0.55000000000000004">
      <c r="A11" s="248"/>
      <c r="B11" s="248"/>
      <c r="C11" s="248"/>
      <c r="D11" s="248"/>
      <c r="E11" s="248"/>
      <c r="F11" s="248"/>
    </row>
    <row r="12" spans="1:6" ht="24" customHeight="1" x14ac:dyDescent="0.55000000000000004">
      <c r="A12" s="281" t="s">
        <v>774</v>
      </c>
      <c r="B12" s="281"/>
      <c r="C12" s="281"/>
      <c r="D12" s="281"/>
      <c r="E12" s="281"/>
      <c r="F12" s="281"/>
    </row>
    <row r="13" spans="1:6" x14ac:dyDescent="0.55000000000000004">
      <c r="A13" s="252" t="s">
        <v>284</v>
      </c>
      <c r="B13" s="252" t="s">
        <v>386</v>
      </c>
      <c r="C13" s="252" t="s">
        <v>396</v>
      </c>
      <c r="D13" s="252" t="s">
        <v>775</v>
      </c>
      <c r="E13" s="248"/>
      <c r="F13" s="248"/>
    </row>
    <row r="14" spans="1:6" x14ac:dyDescent="0.55000000000000004">
      <c r="A14" s="249" t="s">
        <v>487</v>
      </c>
      <c r="B14" s="251">
        <f>Timeline!D52</f>
        <v>0</v>
      </c>
      <c r="C14" s="251">
        <f>Timeline!D54</f>
        <v>845433.52337476925</v>
      </c>
      <c r="D14" s="251">
        <f t="shared" ref="D14:D19" si="0">C14-B14</f>
        <v>845433.52337476925</v>
      </c>
      <c r="E14" s="248"/>
      <c r="F14" s="248"/>
    </row>
    <row r="15" spans="1:6" x14ac:dyDescent="0.55000000000000004">
      <c r="A15" s="264" t="s">
        <v>486</v>
      </c>
      <c r="B15" s="265">
        <f>Timeline!D70</f>
        <v>693787.13756312872</v>
      </c>
      <c r="C15" s="265">
        <f>Timeline!D71</f>
        <v>709063.15233747696</v>
      </c>
      <c r="D15" s="265">
        <f t="shared" si="0"/>
        <v>15276.014774348238</v>
      </c>
      <c r="E15" s="248"/>
      <c r="F15" s="248"/>
    </row>
    <row r="16" spans="1:6" x14ac:dyDescent="0.55000000000000004">
      <c r="A16" s="249" t="s">
        <v>776</v>
      </c>
      <c r="B16" s="251">
        <f>Timeline!D72</f>
        <v>1978072.2990196953</v>
      </c>
      <c r="C16" s="251">
        <f>Timeline!D73</f>
        <v>3350430.0475923708</v>
      </c>
      <c r="D16" s="251">
        <f t="shared" si="0"/>
        <v>1372357.7485726755</v>
      </c>
      <c r="E16" s="248"/>
      <c r="F16" s="248"/>
    </row>
    <row r="17" spans="1:6" x14ac:dyDescent="0.55000000000000004">
      <c r="A17" s="264" t="s">
        <v>187</v>
      </c>
      <c r="B17" s="265">
        <f>Timeline!D74</f>
        <v>36886.211390824894</v>
      </c>
      <c r="C17" s="265">
        <f>Timeline!D75</f>
        <v>3350430.0475923708</v>
      </c>
      <c r="D17" s="265">
        <f t="shared" si="0"/>
        <v>3313543.8362015458</v>
      </c>
      <c r="E17" s="248"/>
      <c r="F17" s="248"/>
    </row>
    <row r="18" spans="1:6" x14ac:dyDescent="0.55000000000000004">
      <c r="A18" s="249" t="s">
        <v>172</v>
      </c>
      <c r="B18" s="251">
        <f>Timeline!D76</f>
        <v>1941186.0876288703</v>
      </c>
      <c r="C18" s="251">
        <f>Timeline!D77</f>
        <v>0</v>
      </c>
      <c r="D18" s="251">
        <f t="shared" si="0"/>
        <v>-1941186.0876288703</v>
      </c>
      <c r="E18" s="248"/>
      <c r="F18" s="248"/>
    </row>
    <row r="19" spans="1:6" x14ac:dyDescent="0.55000000000000004">
      <c r="A19" s="264" t="s">
        <v>777</v>
      </c>
      <c r="B19" s="265">
        <f>Timeline!D101</f>
        <v>1745129.9685042307</v>
      </c>
      <c r="C19" s="265">
        <f>Timeline!D102</f>
        <v>3350430.0475923708</v>
      </c>
      <c r="D19" s="265">
        <f t="shared" si="0"/>
        <v>1605300.07908814</v>
      </c>
      <c r="E19" s="248"/>
      <c r="F19" s="248"/>
    </row>
    <row r="20" spans="1:6" ht="50.1" customHeight="1" x14ac:dyDescent="0.55000000000000004">
      <c r="A20" s="249" t="s">
        <v>778</v>
      </c>
      <c r="B20" s="251">
        <v>0</v>
      </c>
      <c r="C20" s="251">
        <f>Timeline!D71-Timeline!D70</f>
        <v>15276.014774348238</v>
      </c>
      <c r="D20" s="251">
        <f>C20</f>
        <v>15276.014774348238</v>
      </c>
      <c r="E20" s="248"/>
      <c r="F20" s="248"/>
    </row>
    <row r="21" spans="1:6" x14ac:dyDescent="0.55000000000000004">
      <c r="A21" s="248"/>
      <c r="B21" s="248"/>
      <c r="C21" s="248"/>
      <c r="D21" s="248"/>
      <c r="E21" s="248"/>
      <c r="F21" s="248"/>
    </row>
    <row r="22" spans="1:6" ht="24" customHeight="1" x14ac:dyDescent="0.55000000000000004">
      <c r="A22" s="281" t="s">
        <v>779</v>
      </c>
      <c r="B22" s="281"/>
      <c r="C22" s="281"/>
      <c r="D22" s="281"/>
      <c r="E22" s="281"/>
      <c r="F22" s="281"/>
    </row>
    <row r="23" spans="1:6" ht="34" customHeight="1" x14ac:dyDescent="0.55000000000000004">
      <c r="A23" s="286" t="str">
        <f>"Aggressive converts "&amp;TEXT(C14,"$#,##0")&amp;" versus "&amp;TEXT(B14,"$#,##0")&amp;" in Base and produces "&amp;TEXT(C17,"$#,##0")&amp;" of ending Roth. Its modeled lifetime federal tax is "&amp;TEXT(C15-B15,"$#,##0;($#,##0)")&amp;" higher than Base."</f>
        <v>Aggressive converts $845,434 versus $0 in Base and produces $3,350,430 of ending Roth. Its modeled lifetime federal tax is $15,276 higher than Base.</v>
      </c>
      <c r="B23" s="286"/>
      <c r="C23" s="286"/>
      <c r="D23" s="286"/>
      <c r="E23" s="286"/>
      <c r="F23" s="286"/>
    </row>
    <row r="24" spans="1:6" ht="34" customHeight="1" x14ac:dyDescent="0.55000000000000004">
      <c r="A24" s="286"/>
      <c r="B24" s="286"/>
      <c r="C24" s="286"/>
      <c r="D24" s="286"/>
      <c r="E24" s="286"/>
      <c r="F24" s="286"/>
    </row>
    <row r="25" spans="1:6" ht="34" customHeight="1" x14ac:dyDescent="0.55000000000000004">
      <c r="A25" s="287" t="s">
        <v>780</v>
      </c>
      <c r="B25" s="287"/>
      <c r="C25" s="287"/>
      <c r="D25" s="287"/>
      <c r="E25" s="287"/>
      <c r="F25" s="287"/>
    </row>
    <row r="26" spans="1:6" ht="34" customHeight="1" x14ac:dyDescent="0.55000000000000004">
      <c r="A26" s="287"/>
      <c r="B26" s="287"/>
      <c r="C26" s="287"/>
      <c r="D26" s="287"/>
      <c r="E26" s="287"/>
      <c r="F26" s="287"/>
    </row>
    <row r="27" spans="1:6" ht="34" customHeight="1" x14ac:dyDescent="0.55000000000000004">
      <c r="A27" s="285" t="s">
        <v>781</v>
      </c>
      <c r="B27" s="285"/>
      <c r="C27" s="285"/>
      <c r="D27" s="285"/>
      <c r="E27" s="285"/>
      <c r="F27" s="285"/>
    </row>
    <row r="28" spans="1:6" ht="34" customHeight="1" x14ac:dyDescent="0.55000000000000004">
      <c r="A28" s="285"/>
      <c r="B28" s="285"/>
      <c r="C28" s="285"/>
      <c r="D28" s="285"/>
      <c r="E28" s="285"/>
      <c r="F28" s="285"/>
    </row>
    <row r="29" spans="1:6" x14ac:dyDescent="0.55000000000000004">
      <c r="A29" s="248"/>
      <c r="B29" s="248"/>
      <c r="C29" s="248"/>
      <c r="D29" s="248"/>
      <c r="E29" s="248"/>
      <c r="F29" s="248"/>
    </row>
    <row r="30" spans="1:6" ht="24" customHeight="1" x14ac:dyDescent="0.55000000000000004">
      <c r="A30" s="281" t="s">
        <v>782</v>
      </c>
      <c r="B30" s="281"/>
      <c r="C30" s="281"/>
      <c r="D30" s="281"/>
      <c r="E30" s="281"/>
      <c r="F30" s="281"/>
    </row>
    <row r="31" spans="1:6" x14ac:dyDescent="0.55000000000000004">
      <c r="A31" s="252" t="s">
        <v>184</v>
      </c>
      <c r="B31" s="252" t="s">
        <v>76</v>
      </c>
      <c r="C31" s="252" t="s">
        <v>391</v>
      </c>
      <c r="D31" s="252" t="s">
        <v>396</v>
      </c>
      <c r="E31" s="248"/>
      <c r="F31" s="248"/>
    </row>
    <row r="32" spans="1:6" x14ac:dyDescent="0.55000000000000004">
      <c r="A32" s="248" cm="1">
        <f t="array" ref="A32:A36">TRANSPOSE(_xlfn._xlws.FILTER(Timeline!D3:AY3,(Timeline!D29:AY29+Timeline!D63:AY63)&gt;0,""))</f>
        <v>2049</v>
      </c>
      <c r="B32" s="248" cm="1">
        <f t="array" ref="B32:B36">TRANSPOSE(_xlfn._xlws.FILTER(Timeline!D4:AY4,(Timeline!D29:AY29+Timeline!D63:AY63)&gt;0,""))</f>
        <v>61</v>
      </c>
      <c r="C32" s="266" cm="1">
        <f t="array" ref="C32:C36">TRANSPOSE(_xlfn._xlws.FILTER(Timeline!D29:AY29,(Timeline!D29:AY29+Timeline!D63:AY63)&gt;0,""))</f>
        <v>100800</v>
      </c>
      <c r="D32" s="266" cm="1">
        <f t="array" ref="D32:D36">TRANSPOSE(_xlfn._xlws.FILTER(Timeline!D63:AY63,(Timeline!D29:AY29+Timeline!D63:AY63)&gt;0,""))</f>
        <v>403550</v>
      </c>
      <c r="E32" s="248"/>
      <c r="F32" s="248"/>
    </row>
    <row r="33" spans="1:6" x14ac:dyDescent="0.55000000000000004">
      <c r="A33" s="248">
        <v>2050</v>
      </c>
      <c r="B33" s="248">
        <v>62</v>
      </c>
      <c r="C33" s="266">
        <v>100800</v>
      </c>
      <c r="D33" s="266">
        <v>403550</v>
      </c>
      <c r="E33" s="248"/>
      <c r="F33" s="248"/>
    </row>
    <row r="34" spans="1:6" x14ac:dyDescent="0.55000000000000004">
      <c r="A34" s="248">
        <v>2051</v>
      </c>
      <c r="B34" s="248">
        <v>63</v>
      </c>
      <c r="C34" s="266">
        <v>100800</v>
      </c>
      <c r="D34" s="266">
        <v>38333.523374769276</v>
      </c>
      <c r="E34" s="248"/>
      <c r="F34" s="248"/>
    </row>
    <row r="35" spans="1:6" x14ac:dyDescent="0.55000000000000004">
      <c r="A35" s="248">
        <v>2052</v>
      </c>
      <c r="B35" s="248">
        <v>64</v>
      </c>
      <c r="C35" s="266">
        <v>100800</v>
      </c>
      <c r="D35" s="266">
        <v>0</v>
      </c>
      <c r="E35" s="248"/>
      <c r="F35" s="248"/>
    </row>
    <row r="36" spans="1:6" x14ac:dyDescent="0.55000000000000004">
      <c r="A36" s="248">
        <v>2064</v>
      </c>
      <c r="B36" s="248">
        <v>76</v>
      </c>
      <c r="C36" s="266">
        <v>7556.0741550535313</v>
      </c>
      <c r="D36" s="266">
        <v>0</v>
      </c>
      <c r="E36" s="248"/>
      <c r="F36" s="248"/>
    </row>
    <row r="37" spans="1:6" x14ac:dyDescent="0.55000000000000004">
      <c r="A37" s="248"/>
      <c r="B37" s="248"/>
      <c r="C37" s="266"/>
      <c r="D37" s="266"/>
      <c r="E37" s="248"/>
      <c r="F37" s="248"/>
    </row>
    <row r="38" spans="1:6" x14ac:dyDescent="0.55000000000000004">
      <c r="A38" s="248"/>
      <c r="B38" s="248"/>
      <c r="C38" s="266"/>
      <c r="D38" s="266"/>
      <c r="E38" s="248"/>
      <c r="F38" s="248"/>
    </row>
    <row r="39" spans="1:6" x14ac:dyDescent="0.55000000000000004">
      <c r="A39" s="248"/>
      <c r="B39" s="248"/>
      <c r="C39" s="266"/>
      <c r="D39" s="266"/>
      <c r="E39" s="248"/>
      <c r="F39" s="248"/>
    </row>
    <row r="40" spans="1:6" x14ac:dyDescent="0.55000000000000004">
      <c r="A40" s="248"/>
      <c r="B40" s="248"/>
      <c r="C40" s="266"/>
      <c r="D40" s="266"/>
      <c r="E40" s="248"/>
      <c r="F40" s="248"/>
    </row>
    <row r="41" spans="1:6" x14ac:dyDescent="0.55000000000000004">
      <c r="A41" s="248"/>
      <c r="B41" s="248"/>
      <c r="C41" s="266"/>
      <c r="D41" s="266"/>
      <c r="E41" s="248"/>
      <c r="F41" s="248"/>
    </row>
    <row r="42" spans="1:6" x14ac:dyDescent="0.55000000000000004">
      <c r="A42" s="248"/>
      <c r="B42" s="248"/>
      <c r="C42" s="248"/>
      <c r="D42" s="248"/>
      <c r="E42" s="248"/>
      <c r="F42" s="248"/>
    </row>
    <row r="43" spans="1:6" ht="15.6" x14ac:dyDescent="0.55000000000000004">
      <c r="A43" s="281" t="s">
        <v>294</v>
      </c>
      <c r="B43" s="281"/>
      <c r="C43" s="281"/>
      <c r="D43" s="281"/>
      <c r="E43" s="281"/>
      <c r="F43" s="281"/>
    </row>
    <row r="44" spans="1:6" x14ac:dyDescent="0.55000000000000004">
      <c r="A44" s="286" t="s">
        <v>784</v>
      </c>
      <c r="B44" s="286"/>
      <c r="C44" s="286"/>
      <c r="D44" s="286"/>
      <c r="E44" s="286"/>
      <c r="F44" s="286"/>
    </row>
    <row r="45" spans="1:6" x14ac:dyDescent="0.55000000000000004">
      <c r="A45" s="286" t="s">
        <v>783</v>
      </c>
      <c r="B45" s="286"/>
      <c r="C45" s="286"/>
      <c r="D45" s="286"/>
      <c r="E45" s="286"/>
      <c r="F45" s="286"/>
    </row>
    <row r="81" ht="24" customHeight="1" x14ac:dyDescent="0.55000000000000004"/>
    <row r="82" ht="30" customHeight="1" x14ac:dyDescent="0.55000000000000004"/>
    <row r="83" ht="30" customHeight="1" x14ac:dyDescent="0.55000000000000004"/>
    <row r="84" hidden="1" x14ac:dyDescent="0.55000000000000004"/>
    <row r="85" hidden="1" x14ac:dyDescent="0.55000000000000004"/>
    <row r="86" hidden="1" x14ac:dyDescent="0.55000000000000004"/>
    <row r="87" hidden="1" x14ac:dyDescent="0.55000000000000004"/>
    <row r="88" hidden="1" x14ac:dyDescent="0.55000000000000004"/>
    <row r="89" hidden="1" x14ac:dyDescent="0.55000000000000004"/>
    <row r="90" hidden="1" x14ac:dyDescent="0.55000000000000004"/>
    <row r="91" hidden="1" x14ac:dyDescent="0.55000000000000004"/>
    <row r="92" hidden="1" x14ac:dyDescent="0.55000000000000004"/>
    <row r="93" hidden="1" x14ac:dyDescent="0.55000000000000004"/>
    <row r="94" hidden="1" x14ac:dyDescent="0.55000000000000004"/>
    <row r="95" hidden="1" x14ac:dyDescent="0.55000000000000004"/>
    <row r="96" hidden="1" x14ac:dyDescent="0.55000000000000004"/>
    <row r="97" hidden="1" x14ac:dyDescent="0.55000000000000004"/>
    <row r="98" hidden="1" x14ac:dyDescent="0.55000000000000004"/>
    <row r="99" hidden="1" x14ac:dyDescent="0.55000000000000004"/>
    <row r="100" hidden="1" x14ac:dyDescent="0.55000000000000004"/>
    <row r="101" hidden="1" x14ac:dyDescent="0.55000000000000004"/>
    <row r="102" hidden="1" x14ac:dyDescent="0.55000000000000004"/>
    <row r="103" hidden="1" x14ac:dyDescent="0.55000000000000004"/>
    <row r="104" hidden="1" x14ac:dyDescent="0.55000000000000004"/>
    <row r="105" hidden="1" x14ac:dyDescent="0.55000000000000004"/>
    <row r="106" hidden="1" x14ac:dyDescent="0.55000000000000004"/>
    <row r="107" hidden="1" x14ac:dyDescent="0.55000000000000004"/>
    <row r="108" hidden="1" x14ac:dyDescent="0.55000000000000004"/>
    <row r="109" hidden="1" x14ac:dyDescent="0.55000000000000004"/>
    <row r="110" hidden="1" x14ac:dyDescent="0.55000000000000004"/>
    <row r="111" hidden="1" x14ac:dyDescent="0.55000000000000004"/>
    <row r="112" hidden="1" x14ac:dyDescent="0.55000000000000004"/>
    <row r="113" hidden="1" x14ac:dyDescent="0.55000000000000004"/>
    <row r="114" hidden="1" x14ac:dyDescent="0.55000000000000004"/>
    <row r="115" hidden="1" x14ac:dyDescent="0.55000000000000004"/>
    <row r="116" hidden="1" x14ac:dyDescent="0.55000000000000004"/>
    <row r="117" hidden="1" x14ac:dyDescent="0.55000000000000004"/>
    <row r="118" hidden="1" x14ac:dyDescent="0.55000000000000004"/>
    <row r="119" hidden="1" x14ac:dyDescent="0.55000000000000004"/>
    <row r="120" hidden="1" x14ac:dyDescent="0.55000000000000004"/>
    <row r="121" hidden="1" x14ac:dyDescent="0.55000000000000004"/>
    <row r="122" hidden="1" x14ac:dyDescent="0.55000000000000004"/>
    <row r="123" hidden="1" x14ac:dyDescent="0.55000000000000004"/>
    <row r="124" hidden="1" x14ac:dyDescent="0.55000000000000004"/>
    <row r="125" hidden="1" x14ac:dyDescent="0.55000000000000004"/>
    <row r="126" hidden="1" x14ac:dyDescent="0.55000000000000004"/>
    <row r="127" hidden="1" x14ac:dyDescent="0.55000000000000004"/>
    <row r="128" hidden="1" x14ac:dyDescent="0.55000000000000004"/>
    <row r="129" hidden="1" x14ac:dyDescent="0.55000000000000004"/>
    <row r="130" hidden="1" x14ac:dyDescent="0.55000000000000004"/>
    <row r="131" hidden="1" x14ac:dyDescent="0.55000000000000004"/>
    <row r="132" hidden="1" x14ac:dyDescent="0.55000000000000004"/>
    <row r="133" hidden="1" x14ac:dyDescent="0.55000000000000004"/>
    <row r="134" hidden="1" x14ac:dyDescent="0.55000000000000004"/>
    <row r="135" hidden="1" x14ac:dyDescent="0.55000000000000004"/>
    <row r="136" hidden="1" x14ac:dyDescent="0.55000000000000004"/>
    <row r="137" hidden="1" x14ac:dyDescent="0.55000000000000004"/>
    <row r="138" hidden="1" x14ac:dyDescent="0.55000000000000004"/>
    <row r="139" hidden="1" x14ac:dyDescent="0.55000000000000004"/>
    <row r="140" hidden="1" x14ac:dyDescent="0.55000000000000004"/>
    <row r="141" hidden="1" x14ac:dyDescent="0.55000000000000004"/>
    <row r="142" hidden="1" x14ac:dyDescent="0.55000000000000004"/>
    <row r="143" hidden="1" x14ac:dyDescent="0.55000000000000004"/>
    <row r="144" hidden="1" x14ac:dyDescent="0.55000000000000004"/>
    <row r="145" hidden="1" x14ac:dyDescent="0.55000000000000004"/>
    <row r="146" hidden="1" x14ac:dyDescent="0.55000000000000004"/>
    <row r="147" hidden="1" x14ac:dyDescent="0.55000000000000004"/>
    <row r="148" hidden="1" x14ac:dyDescent="0.55000000000000004"/>
    <row r="149" hidden="1" x14ac:dyDescent="0.55000000000000004"/>
    <row r="150" hidden="1" x14ac:dyDescent="0.55000000000000004"/>
    <row r="151" hidden="1" x14ac:dyDescent="0.55000000000000004"/>
    <row r="152" hidden="1" x14ac:dyDescent="0.55000000000000004"/>
    <row r="153" hidden="1" x14ac:dyDescent="0.55000000000000004"/>
    <row r="154" hidden="1" x14ac:dyDescent="0.55000000000000004"/>
    <row r="155" hidden="1" x14ac:dyDescent="0.55000000000000004"/>
    <row r="156" hidden="1" x14ac:dyDescent="0.55000000000000004"/>
    <row r="157" hidden="1" x14ac:dyDescent="0.55000000000000004"/>
    <row r="158" hidden="1" x14ac:dyDescent="0.55000000000000004"/>
    <row r="159" hidden="1" x14ac:dyDescent="0.55000000000000004"/>
    <row r="160" hidden="1" x14ac:dyDescent="0.55000000000000004"/>
    <row r="161" hidden="1" x14ac:dyDescent="0.55000000000000004"/>
    <row r="162" hidden="1" x14ac:dyDescent="0.55000000000000004"/>
    <row r="163" hidden="1" x14ac:dyDescent="0.55000000000000004"/>
    <row r="164" hidden="1" x14ac:dyDescent="0.55000000000000004"/>
    <row r="165" hidden="1" x14ac:dyDescent="0.55000000000000004"/>
    <row r="166" hidden="1" x14ac:dyDescent="0.55000000000000004"/>
    <row r="167" hidden="1" x14ac:dyDescent="0.55000000000000004"/>
    <row r="168" hidden="1" x14ac:dyDescent="0.55000000000000004"/>
    <row r="169" hidden="1" x14ac:dyDescent="0.55000000000000004"/>
    <row r="170" hidden="1" x14ac:dyDescent="0.55000000000000004"/>
    <row r="171" hidden="1" x14ac:dyDescent="0.55000000000000004"/>
    <row r="172" hidden="1" x14ac:dyDescent="0.55000000000000004"/>
    <row r="173" hidden="1" x14ac:dyDescent="0.55000000000000004"/>
    <row r="174" hidden="1" x14ac:dyDescent="0.55000000000000004"/>
    <row r="175" hidden="1" x14ac:dyDescent="0.55000000000000004"/>
    <row r="176" hidden="1" x14ac:dyDescent="0.55000000000000004"/>
    <row r="177" hidden="1" x14ac:dyDescent="0.55000000000000004"/>
    <row r="178" hidden="1" x14ac:dyDescent="0.55000000000000004"/>
    <row r="179" hidden="1" x14ac:dyDescent="0.55000000000000004"/>
    <row r="180" hidden="1" x14ac:dyDescent="0.55000000000000004"/>
    <row r="181" hidden="1" x14ac:dyDescent="0.55000000000000004"/>
    <row r="182" hidden="1" x14ac:dyDescent="0.55000000000000004"/>
    <row r="183" hidden="1" x14ac:dyDescent="0.55000000000000004"/>
    <row r="184" hidden="1" x14ac:dyDescent="0.55000000000000004"/>
    <row r="185" hidden="1" x14ac:dyDescent="0.55000000000000004"/>
    <row r="186" hidden="1" x14ac:dyDescent="0.55000000000000004"/>
    <row r="187" hidden="1" x14ac:dyDescent="0.55000000000000004"/>
    <row r="188" hidden="1" x14ac:dyDescent="0.55000000000000004"/>
    <row r="189" hidden="1" x14ac:dyDescent="0.55000000000000004"/>
    <row r="190" hidden="1" x14ac:dyDescent="0.55000000000000004"/>
    <row r="191" hidden="1" x14ac:dyDescent="0.55000000000000004"/>
    <row r="192" hidden="1" x14ac:dyDescent="0.55000000000000004"/>
    <row r="193" hidden="1" x14ac:dyDescent="0.55000000000000004"/>
    <row r="194" hidden="1" x14ac:dyDescent="0.55000000000000004"/>
    <row r="195" hidden="1" x14ac:dyDescent="0.55000000000000004"/>
    <row r="196" hidden="1" x14ac:dyDescent="0.55000000000000004"/>
    <row r="197" hidden="1" x14ac:dyDescent="0.55000000000000004"/>
    <row r="198" hidden="1" x14ac:dyDescent="0.55000000000000004"/>
    <row r="199" hidden="1" x14ac:dyDescent="0.55000000000000004"/>
    <row r="200" hidden="1" x14ac:dyDescent="0.55000000000000004"/>
  </sheetData>
  <mergeCells count="13">
    <mergeCell ref="A43:F43"/>
    <mergeCell ref="A44:F44"/>
    <mergeCell ref="A45:F45"/>
    <mergeCell ref="A22:F22"/>
    <mergeCell ref="A23:F24"/>
    <mergeCell ref="A25:F26"/>
    <mergeCell ref="A27:F28"/>
    <mergeCell ref="A30:F30"/>
    <mergeCell ref="A1:F1"/>
    <mergeCell ref="A2:F2"/>
    <mergeCell ref="A4:F4"/>
    <mergeCell ref="B9:F10"/>
    <mergeCell ref="A12:F1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Inputs</vt:lpstr>
      <vt:lpstr>Accounts</vt:lpstr>
      <vt:lpstr>Monthly Balances</vt:lpstr>
      <vt:lpstr>Net Worth</vt:lpstr>
      <vt:lpstr>Retirement Gap</vt:lpstr>
      <vt:lpstr>SS Benefits</vt:lpstr>
      <vt:lpstr>IRMAA</vt:lpstr>
      <vt:lpstr>RMD</vt:lpstr>
      <vt:lpstr>Roth Conversion</vt:lpstr>
      <vt:lpstr>Tax</vt:lpstr>
      <vt:lpstr>What-If</vt:lpstr>
      <vt:lpstr>Notes</vt:lpstr>
      <vt:lpstr>Timeline</vt:lpstr>
      <vt:lpstr>Insights</vt:lpstr>
      <vt:lpstr>Comparison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Roger Bijos</dc:creator>
  <cp:keywords/>
  <dc:description/>
  <cp:lastModifiedBy>Rene De Posada</cp:lastModifiedBy>
  <cp:revision/>
  <dcterms:created xsi:type="dcterms:W3CDTF">2026-08-07T15:24:17Z</dcterms:created>
  <dcterms:modified xsi:type="dcterms:W3CDTF">2026-08-22T21:34:48Z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2796926-da9d-4dd0-b3e7-db58b11a3248_Enabled">
    <vt:lpwstr>true</vt:lpwstr>
  </property>
  <property fmtid="{D5CDD505-2E9C-101B-9397-08002B2CF9AE}" pid="3" name="MSIP_Label_92796926-da9d-4dd0-b3e7-db58b11a3248_SetDate">
    <vt:lpwstr>2026-08-07T18:10:46Z</vt:lpwstr>
  </property>
  <property fmtid="{D5CDD505-2E9C-101B-9397-08002B2CF9AE}" pid="4" name="MSIP_Label_92796926-da9d-4dd0-b3e7-db58b11a3248_Method">
    <vt:lpwstr>Standard</vt:lpwstr>
  </property>
  <property fmtid="{D5CDD505-2E9C-101B-9397-08002B2CF9AE}" pid="5" name="MSIP_Label_92796926-da9d-4dd0-b3e7-db58b11a3248_Name">
    <vt:lpwstr>General</vt:lpwstr>
  </property>
  <property fmtid="{D5CDD505-2E9C-101B-9397-08002B2CF9AE}" pid="6" name="MSIP_Label_92796926-da9d-4dd0-b3e7-db58b11a3248_SiteId">
    <vt:lpwstr>5f175691-8d1c-4932-b7c8-ce990839ac40</vt:lpwstr>
  </property>
  <property fmtid="{D5CDD505-2E9C-101B-9397-08002B2CF9AE}" pid="7" name="MSIP_Label_92796926-da9d-4dd0-b3e7-db58b11a3248_ActionId">
    <vt:lpwstr>ffc5e17a-4b95-4810-8483-c58d2956634f</vt:lpwstr>
  </property>
  <property fmtid="{D5CDD505-2E9C-101B-9397-08002B2CF9AE}" pid="8" name="MSIP_Label_92796926-da9d-4dd0-b3e7-db58b11a3248_ContentBits">
    <vt:lpwstr>0</vt:lpwstr>
  </property>
  <property fmtid="{D5CDD505-2E9C-101B-9397-08002B2CF9AE}" pid="9" name="MSIP_Label_92796926-da9d-4dd0-b3e7-db58b11a3248_Tag">
    <vt:lpwstr>10, 3, 0, 1</vt:lpwstr>
  </property>
</Properties>
</file>